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de226de7bc48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G" sheetId="1" r:id="Rfae4bab9d2f04e21"/>
    <x:sheet xmlns:r="http://schemas.openxmlformats.org/officeDocument/2006/relationships" name="Source Audit" sheetId="2" r:id="R63946e98456b4029"/>
    <x:sheet xmlns:r="http://schemas.openxmlformats.org/officeDocument/2006/relationships" name="Event QA" sheetId="3" r:id="R38c50d46805943cb"/>
    <x:sheet xmlns:r="http://schemas.openxmlformats.org/officeDocument/2006/relationships" name="Methodology" sheetId="4" r:id="R048607d15a1a40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9800e9a3054daf" /><Relationship Type="http://schemas.openxmlformats.org/officeDocument/2006/relationships/theme" Target="/xl/theme/theme1.xml" Id="R85bff8460f544673" /><Relationship Type="http://schemas.openxmlformats.org/officeDocument/2006/relationships/sharedStrings" Target="/xl/sharedStrings.xml" Id="R236516f6e11849f4" /><Relationship Type="http://schemas.openxmlformats.org/officeDocument/2006/relationships/worksheet" Target="/xl/worksheets/sheet1.xml" Id="Rfae4bab9d2f04e21" /><Relationship Type="http://schemas.openxmlformats.org/officeDocument/2006/relationships/worksheet" Target="/xl/worksheets/sheet2.xml" Id="R63946e98456b4029" /><Relationship Type="http://schemas.openxmlformats.org/officeDocument/2006/relationships/worksheet" Target="/xl/worksheets/sheet3.xml" Id="R38c50d46805943cb" /><Relationship Type="http://schemas.openxmlformats.org/officeDocument/2006/relationships/worksheet" Target="/xl/worksheets/sheet4.xml" Id="R048607d15a1a40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9" hidden="0" customWidth="1"/>
    <x:col min="3" max="3" width="18" hidden="0" customWidth="1"/>
    <x:col min="4" max="4" width="13" hidden="0" customWidth="1"/>
    <x:col min="5" max="5" width="13" hidden="0" customWidth="1"/>
    <x:col min="6" max="6" width="11" hidden="0" customWidth="1"/>
    <x:col min="7" max="7" width="14" hidden="0" customWidth="1"/>
    <x:col min="8" max="8" width="11" hidden="0" customWidth="1"/>
    <x:col min="9" max="9" width="11" hidden="0" customWidth="1"/>
    <x:col min="10" max="10" width="11" hidden="0" customWidth="1"/>
    <x:col min="11" max="11" width="18" hidden="0" customWidth="1"/>
    <x:col min="12" max="12" width="18" hidden="0" customWidth="1"/>
    <x:col min="13" max="13" width="96" hidden="0" customWidth="1"/>
    <x:col min="14" max="14" width="65" hidden="0" customWidth="1"/>
    <x:col min="15" max="15" width="65" hidden="0" customWidth="1"/>
    <x:col min="16" max="16" width="65" hidden="0" customWidth="1"/>
    <x:col min="17" max="17" width="80" hidden="0" customWidth="1"/>
    <x:col min="18" max="18" width="12" hidden="0" customWidth="1"/>
    <x:col min="19" max="19" width="12" hidden="0" customWidth="1"/>
  </x:cols>
  <x:sheetData>
    <x:row r="1">
      <x:c r="A1" s="14" t="str">
        <x:v>index</x:v>
      </x:c>
      <x:c r="B1" s="14" t="str">
        <x:v>ticker</x:v>
      </x:c>
      <x:c r="C1" s="14" t="str">
        <x:v>company_name</x:v>
      </x:c>
      <x:c r="D1" s="14" t="str">
        <x:v>fiscal_yearquarter</x:v>
      </x:c>
      <x:c r="E1" s="14" t="str">
        <x:v>earnings_date</x:v>
      </x:c>
      <x:c r="F1" s="14" t="str">
        <x:v>ret_1day_pct</x:v>
      </x:c>
      <x:c r="G1" s="14" t="str">
        <x:v>ret_1daypost_pct</x:v>
      </x:c>
      <x:c r="H1" s="14" t="str">
        <x:v>ret_2day_pct</x:v>
      </x:c>
      <x:c r="I1" s="14" t="str">
        <x:v>ret_3day_pct</x:v>
      </x:c>
      <x:c r="J1" s="14" t="str">
        <x:v>ret_5day_pct</x:v>
      </x:c>
      <x:c r="K1" s="14" t="str">
        <x:v>reaction_basis</x:v>
      </x:c>
      <x:c r="L1" s="14" t="str">
        <x:v>reaction_direction</x:v>
      </x:c>
      <x:c r="M1" s="14" t="str">
        <x:v>contextual_analysis_full</x:v>
      </x:c>
      <x:c r="N1" s="14" t="str">
        <x:v>prior_context_sources</x:v>
      </x:c>
      <x:c r="O1" s="14" t="str">
        <x:v>release_sources</x:v>
      </x:c>
      <x:c r="P1" s="14" t="str">
        <x:v>reaction_sources</x:v>
      </x:c>
      <x:c r="Q1" s="14" t="str">
        <x:v>all_sources</x:v>
      </x:c>
      <x:c r="R1" s="14" t="str">
        <x:v>source_count</x:v>
      </x:c>
      <x:c r="S1" s="14" t="str">
        <x:v>qa_status</x:v>
      </x:c>
    </x:row>
    <x:row r="2" ht="340" customHeight="1">
      <x:c r="A2" s="15" t="n">
        <x:v>0</x:v>
      </x:c>
      <x:c r="B2" s="15" t="str">
        <x:v>PG</x:v>
      </x:c>
      <x:c r="C2" s="15" t="str">
        <x:v>Procter &amp; Gamble</x:v>
      </x:c>
      <x:c r="D2" s="15" t="str">
        <x:v>2016q2</x:v>
      </x:c>
      <x:c r="E2" s="15" t="str">
        <x:v>2016-04-26</x:v>
      </x:c>
      <x:c r="F2" s="18" t="n">
        <x:v>-2.62</x:v>
      </x:c>
      <x:c r="G2" s="18" t="n">
        <x:v>0.16</x:v>
      </x:c>
      <x:c r="H2" s="18" t="n">
        <x:v>-2.46</x:v>
      </x:c>
      <x:c r="I2" s="18" t="n">
        <x:v>-1.64</x:v>
      </x:c>
      <x:c r="J2" s="18" t="n">
        <x:v>-0.06</x:v>
      </x:c>
      <x:c r="K2" s="15" t="str">
        <x:v>ret_1day_pct</x:v>
      </x:c>
      <x:c r="L2" s="15" t="str">
        <x:v>DOWN</x:v>
      </x:c>
      <x:c r="M2" s="15" t="str">
        <x:v>## Prior Context
P&amp;G was deep in a portfolio simplification and productivity program. The key question was whether cost cutting and divestitures could restore underlying demand rather than merely protect margins.
### Verified prior source
2016-04-20 | The Motley Fool | Procter &amp; Gamble Co Earnings: What to Watch | https://www.fool.com/investing/general/2016/04/20/procter-gamble-co-earnings-what-to-watch.aspx
## Current Earnings Release
Fiscal Q3 net sales fell **7% to $15.76 billion**, mainly because of currency, divestitures and Venezuela deconsolidation. The cleaner measure—**organic sales—rose only 1%**, slowing from 2% in the prior quarter. Organic volume was flat, and volume declined in four of five segments.
Profitability was stronger than sales: operating income rose about **10%** and gross margin expanded materially. But pricing and productivity were doing more work than consumer demand. Grooming was particularly weak, with lower volume amid competitive pressure.
### Verified release source
2016-04-26 | SEC / Procter &amp; Gamble | P&amp;G FY2016 Q3 Form 10-Q | https://www.sec.gov/Archives/edgar/data/80424/000008042416000183/fy1516q3jfm10-qreport.htm
## Possible Drivers
**First-order driver.** The stock fell because organic sales slowed to 1% and volume growth remained weak.
**Second-order driver.** Strong cost savings improved margins but did not solve the top-line problem.
**Third-order driver.** Grooming and international weakness reinforced concerns about market-share loss.
### Verified reaction source
2016-04-26 | The Motley Fool | Procter &amp; Gamble Co Earnings: Sales Growth Takes a Step Backwards | https://www.fool.com/investing/general/2016/04/26/procter-gamble-co-earnings-sales-growth-takes-a-st.aspx
## Verification Status
Included sources were checked for Procter &amp; Gamble/PG identity, the correct earnings event or directly relevant same-day catalyst, publication date, timing window and source origin. SEC/P&amp;G filings are the factual anchor. No WSJ, Reuters, Dow Jones or MarketWatch-syndicated article is included.
</x:v>
      </x:c>
      <x:c r="N2" s="15" t="str">
        <x:v>2016-04-20 | The Motley Fool | Procter &amp; Gamble Co Earnings: What to Watch | https://www.fool.com/investing/general/2016/04/20/procter-gamble-co-earnings-what-to-watch.aspx</x:v>
      </x:c>
      <x:c r="O2" s="15" t="str">
        <x:v>2016-04-26 | SEC / Procter &amp; Gamble | P&amp;G FY2016 Q3 Form 10-Q | https://www.sec.gov/Archives/edgar/data/80424/000008042416000183/fy1516q3jfm10-qreport.htm</x:v>
      </x:c>
      <x:c r="P2" s="15" t="str">
        <x:v>2016-04-26 | The Motley Fool | Procter &amp; Gamble Co Earnings: Sales Growth Takes a Step Backwards | https://www.fool.com/investing/general/2016/04/26/procter-gamble-co-earnings-sales-growth-takes-a-st.aspx</x:v>
      </x:c>
      <x:c r="Q2" s="15" t="str">
        <x:v>2016-04-20 | The Motley Fool | Procter &amp; Gamble Co Earnings: What to Watch | https://www.fool.com/investing/general/2016/04/20/procter-gamble-co-earnings-what-to-watch.aspx
2016-04-26 | SEC / Procter &amp; Gamble | P&amp;G FY2016 Q3 Form 10-Q | https://www.sec.gov/Archives/edgar/data/80424/000008042416000183/fy1516q3jfm10-qreport.htm
2016-04-26 | The Motley Fool | Procter &amp; Gamble Co Earnings: Sales Growth Takes a Step Backwards | https://www.fool.com/investing/general/2016/04/26/procter-gamble-co-earnings-sales-growth-takes-a-st.aspx</x:v>
      </x:c>
      <x:c r="R2" s="15" t="n">
        <x:v>3</x:v>
      </x:c>
      <x:c r="S2" s="15" t="str">
        <x:v>PASS</x:v>
      </x:c>
    </x:row>
    <x:row r="3" ht="340" customHeight="1">
      <x:c r="A3" s="15" t="n">
        <x:v>1</x:v>
      </x:c>
      <x:c r="B3" s="15" t="str">
        <x:v>PG</x:v>
      </x:c>
      <x:c r="C3" s="15" t="str">
        <x:v>Procter &amp; Gamble</x:v>
      </x:c>
      <x:c r="D3" s="15" t="str">
        <x:v>2016q3</x:v>
      </x:c>
      <x:c r="E3" s="15" t="str">
        <x:v>2016-08-02</x:v>
      </x:c>
      <x:c r="F3" s="18" t="n">
        <x:v>1.12</x:v>
      </x:c>
      <x:c r="G3" s="18" t="n">
        <x:v>-1.35</x:v>
      </x:c>
      <x:c r="H3" s="18" t="n">
        <x:v>-0.25</x:v>
      </x:c>
      <x:c r="I3" s="18" t="n">
        <x:v>0.93</x:v>
      </x:c>
      <x:c r="J3" s="18" t="n">
        <x:v>-0.19</x:v>
      </x:c>
      <x:c r="K3" s="15" t="str">
        <x:v>ret_1day_pct</x:v>
      </x:c>
      <x:c r="L3" s="15" t="str">
        <x:v>UP</x:v>
      </x:c>
      <x:c r="M3" s="15" t="str">
        <x:v>## Prior Context
After the weak April quarter, expectations were low. Investors wanted evidence that the portfolio cleanup and higher marketing investment could finally produce broader volume-led growth.
### Verified prior source
2016-04-26 | SEC / Procter &amp; Gamble | P&amp;G FY2016 Q3 Form 10-Q | https://www.sec.gov/Archives/edgar/data/80424/000008042416000183/fy1516q3jfm10-qreport.htm
## Current Earnings Release
Fiscal Q4 net sales were **$16.1 billion**, down 3%, but **organic sales increased 2%** and organic volume also increased 2%. Core EPS was **$0.79**, above consensus around $0.74, while revenue also topped expectations.
The quality of growth improved: organic sales and volume increased across all five segments. Health Care and Grooming were particularly strong. Fiscal 2017 EPS guidance was cautious because P&amp;G planned to reinvest productivity savings, but the quarter was a clear step toward more balanced growth.
### Verified release source
2016-08-02 | SEC / Procter &amp; Gamble | P&amp;G Announces Fourth Quarter and Fiscal Year 2016 Results | https://www.sec.gov/Archives/edgar/data/80424/000008042416000202/fy1516q4amj8-kexhibit991.htm
## Possible Drivers
**First-order driver.** Shares rose because revenue and core EPS beat expectations while organic growth improved.
**Second-order driver.** Volume growth across all five segments made the improvement higher quality than prior pricing-led quarters.
**Third-order driver.** Conservative FY2017 guidance limited the upside but did not erase the operational progress.
### Verified reaction source
2016-08-02 | TheStreet | P&amp;G Just Nailed Its Quarter – Here Is How We Know | https://www.thestreet.com/investing/stocks/p-amp-g-just-nailed-its-quarter-here-is-how-we-know-13660478
## Verification Status
Included sources were checked for Procter &amp; Gamble/PG identity, the correct earnings event or directly relevant same-day catalyst, publication date, timing window and source origin. SEC/P&amp;G filings are the factual anchor. No WSJ, Reuters, Dow Jones or MarketWatch-syndicated article is included.
</x:v>
      </x:c>
      <x:c r="N3" s="15" t="str">
        <x:v>2016-04-26 | SEC / Procter &amp; Gamble | P&amp;G FY2016 Q3 Form 10-Q | https://www.sec.gov/Archives/edgar/data/80424/000008042416000183/fy1516q3jfm10-qreport.htm</x:v>
      </x:c>
      <x:c r="O3" s="15" t="str">
        <x:v>2016-08-02 | SEC / Procter &amp; Gamble | P&amp;G Announces Fourth Quarter and Fiscal Year 2016 Results | https://www.sec.gov/Archives/edgar/data/80424/000008042416000202/fy1516q4amj8-kexhibit991.htm</x:v>
      </x:c>
      <x:c r="P3" s="15" t="str">
        <x:v>2016-08-02 | TheStreet | P&amp;G Just Nailed Its Quarter – Here Is How We Know | https://www.thestreet.com/investing/stocks/p-amp-g-just-nailed-its-quarter-here-is-how-we-know-13660478</x:v>
      </x:c>
      <x:c r="Q3" s="15" t="str">
        <x:v>2016-04-26 | SEC / Procter &amp; Gamble | P&amp;G FY2016 Q3 Form 10-Q | https://www.sec.gov/Archives/edgar/data/80424/000008042416000183/fy1516q3jfm10-qreport.htm
2016-08-02 | SEC / Procter &amp; Gamble | P&amp;G Announces Fourth Quarter and Fiscal Year 2016 Results | https://www.sec.gov/Archives/edgar/data/80424/000008042416000202/fy1516q4amj8-kexhibit991.htm
2016-08-02 | TheStreet | P&amp;G Just Nailed Its Quarter – Here Is How We Know | https://www.thestreet.com/investing/stocks/p-amp-g-just-nailed-its-quarter-here-is-how-we-know-13660478</x:v>
      </x:c>
      <x:c r="R3" s="15" t="n">
        <x:v>3</x:v>
      </x:c>
      <x:c r="S3" s="15" t="str">
        <x:v>PASS</x:v>
      </x:c>
    </x:row>
    <x:row r="4" ht="340" customHeight="1">
      <x:c r="A4" s="15" t="n">
        <x:v>2</x:v>
      </x:c>
      <x:c r="B4" s="15" t="str">
        <x:v>PG</x:v>
      </x:c>
      <x:c r="C4" s="15" t="str">
        <x:v>Procter &amp; Gamble</x:v>
      </x:c>
      <x:c r="D4" s="15" t="str">
        <x:v>2016q4</x:v>
      </x:c>
      <x:c r="E4" s="15" t="str">
        <x:v>2016-10-25</x:v>
      </x:c>
      <x:c r="F4" s="18" t="n">
        <x:v>3.85</x:v>
      </x:c>
      <x:c r="G4" s="18" t="n">
        <x:v>0.77</x:v>
      </x:c>
      <x:c r="H4" s="18" t="n">
        <x:v>4.65</x:v>
      </x:c>
      <x:c r="I4" s="18" t="n">
        <x:v>3.9</x:v>
      </x:c>
      <x:c r="J4" s="18" t="n">
        <x:v>3.92</x:v>
      </x:c>
      <x:c r="K4" s="15" t="str">
        <x:v>ret_1day_pct</x:v>
      </x:c>
      <x:c r="L4" s="15" t="str">
        <x:v>UP</x:v>
      </x:c>
      <x:c r="M4" s="15" t="str">
        <x:v>## Prior Context
P&amp;G entered fiscal 2017 with signs that the turnaround was broadening. The market wanted confirmation that organic growth could move beyond the 1%–2% range without sacrificing margins.
### Verified prior source
2016-08-02 | SEC / Procter &amp; Gamble | P&amp;G Announces Fourth Quarter and Fiscal Year 2016 Results | https://www.sec.gov/Archives/edgar/data/80424/000008042416000202/fy1516q4amj8-kexhibit991.htm
## Current Earnings Release
Fiscal Q1 net sales were about **$16.5 billion**, essentially flat, while **organic sales increased 3%**—the best growth rate in several years. Core EPS reached about **$1.03**, above consensus.
Beauty, Health Care and Fabric &amp; Home Care all contributed, while productivity savings continued to support profitability. The report suggested that P&amp;G was beginning to achieve the combination management had promised: modest top-line acceleration with continued cost discipline.
### Verified release source
2016-10-25 | SEC / Procter &amp; Gamble | P&amp;G FY2017 Q1 Earnings 8-K | https://www.sec.gov/Archives/edgar/data/80424/000008042416000238/fy1617q1jas8-kcoverpage.htm
## Possible Drivers
**First-order driver.** The stock jumped because organic growth accelerated to 3% and EPS beat expectations.
**Second-order driver.** The improvement was broad across several categories rather than dependent on one brand.
**Third-order driver.** Productivity gains preserved earnings leverage as sales growth improved.
### Verified reaction source
2016-10-25 | The Motley Fool | What Happened in the Stock Market Today | https://www.fool.com/investing/2016/10/25/what-happened-in-the-stock-market-today.aspx
## Verification Status
Included sources were checked for Procter &amp; Gamble/PG identity, the correct earnings event or directly relevant same-day catalyst, publication date, timing window and source origin. SEC/P&amp;G filings are the factual anchor. No WSJ, Reuters, Dow Jones or MarketWatch-syndicated article is included.
</x:v>
      </x:c>
      <x:c r="N4" s="15" t="str">
        <x:v>2016-08-02 | SEC / Procter &amp; Gamble | P&amp;G Announces Fourth Quarter and Fiscal Year 2016 Results | https://www.sec.gov/Archives/edgar/data/80424/000008042416000202/fy1516q4amj8-kexhibit991.htm</x:v>
      </x:c>
      <x:c r="O4" s="15" t="str">
        <x:v>2016-10-25 | SEC / Procter &amp; Gamble | P&amp;G FY2017 Q1 Earnings 8-K | https://www.sec.gov/Archives/edgar/data/80424/000008042416000238/fy1617q1jas8-kcoverpage.htm</x:v>
      </x:c>
      <x:c r="P4" s="15" t="str">
        <x:v>2016-10-25 | The Motley Fool | What Happened in the Stock Market Today | https://www.fool.com/investing/2016/10/25/what-happened-in-the-stock-market-today.aspx</x:v>
      </x:c>
      <x:c r="Q4" s="15" t="str">
        <x:v>2016-08-02 | SEC / Procter &amp; Gamble | P&amp;G Announces Fourth Quarter and Fiscal Year 2016 Results | https://www.sec.gov/Archives/edgar/data/80424/000008042416000202/fy1516q4amj8-kexhibit991.htm
2016-10-25 | SEC / Procter &amp; Gamble | P&amp;G FY2017 Q1 Earnings 8-K | https://www.sec.gov/Archives/edgar/data/80424/000008042416000238/fy1617q1jas8-kcoverpage.htm
2016-10-25 | The Motley Fool | What Happened in the Stock Market Today | https://www.fool.com/investing/2016/10/25/what-happened-in-the-stock-market-today.aspx</x:v>
      </x:c>
      <x:c r="R4" s="15" t="n">
        <x:v>3</x:v>
      </x:c>
      <x:c r="S4" s="15" t="str">
        <x:v>PASS</x:v>
      </x:c>
    </x:row>
    <x:row r="5" ht="340" customHeight="1">
      <x:c r="A5" s="15" t="n">
        <x:v>3</x:v>
      </x:c>
      <x:c r="B5" s="15" t="str">
        <x:v>PG</x:v>
      </x:c>
      <x:c r="C5" s="15" t="str">
        <x:v>Procter &amp; Gamble</x:v>
      </x:c>
      <x:c r="D5" s="15" t="str">
        <x:v>2017q1</x:v>
      </x:c>
      <x:c r="E5" s="15" t="str">
        <x:v>2017-01-20</x:v>
      </x:c>
      <x:c r="F5" s="18" t="n">
        <x:v>2.88</x:v>
      </x:c>
      <x:c r="G5" s="18" t="n">
        <x:v>-0.37</x:v>
      </x:c>
      <x:c r="H5" s="18" t="n">
        <x:v>2.51</x:v>
      </x:c>
      <x:c r="I5" s="18" t="n">
        <x:v>2.63</x:v>
      </x:c>
      <x:c r="J5" s="18" t="n">
        <x:v>1.18</x:v>
      </x:c>
      <x:c r="K5" s="15" t="str">
        <x:v>ret_1day_pct</x:v>
      </x:c>
      <x:c r="L5" s="15" t="str">
        <x:v>UP</x:v>
      </x:c>
      <x:c r="M5" s="15" t="str">
        <x:v>## Prior Context
Following the October acceleration, investors needed evidence that stronger organic growth was not a one-quarter spike. The consumer backdrop remained volatile across emerging markets and large U.S. retailers.
### Verified prior source
2016-10-25 | SEC / Procter &amp; Gamble | P&amp;G FY2017 Q1 Earnings 8-K | https://www.sec.gov/Archives/edgar/data/80424/000008042416000238/fy1617q1jas8-kcoverpage.htm
## Current Earnings Release
Fiscal Q2 revenue reached about **$16.86 billion**, slightly above consensus, and core EPS was **$1.08**, also ahead of expectations. **Organic sales increased 2%**, with organic sales and volume growth across all five business segments.
The quarter was not spectacular, but it confirmed that the turnaround was becoming more consistent. P&amp;G maintained full-year guidance despite what management described as unusually high geopolitical and macroeconomic volatility.
### Verified release source
2017-01-20 | SEC / Procter &amp; Gamble | P&amp;G FY2017 Q2 Form 10-Q | https://www.sec.gov/Archives/edgar/data/80424/000008042417000011/0000080424-17-000011-index.htm
## Possible Drivers
**First-order driver.** Shares rose because P&amp;G beat both revenue and EPS expectations.
**Second-order driver.** Growth across all five segments reinforced confidence that the turnaround was broadening.
**Third-order driver.** Maintaining guidance despite macro volatility reduced concern that October's improvement was temporary.
### Verified reaction source
2017-01-20 | TheStreet | Procter &amp; Gamble Popped Despite 'Unprecedented' Amount of Geopolitical Disruption and Uncertainty | https://www.thestreet.com/investing/stocks/procter-amp-gamble-stock-gains-as-q2-results-top-expectations-13960333
## Verification Status
Included sources were checked for Procter &amp; Gamble/PG identity, the correct earnings event or directly relevant same-day catalyst, publication date, timing window and source origin. SEC/P&amp;G filings are the factual anchor. No WSJ, Reuters, Dow Jones or MarketWatch-syndicated article is included.
</x:v>
      </x:c>
      <x:c r="N5" s="15" t="str">
        <x:v>2016-10-25 | SEC / Procter &amp; Gamble | P&amp;G FY2017 Q1 Earnings 8-K | https://www.sec.gov/Archives/edgar/data/80424/000008042416000238/fy1617q1jas8-kcoverpage.htm</x:v>
      </x:c>
      <x:c r="O5" s="15" t="str">
        <x:v>2017-01-20 | SEC / Procter &amp; Gamble | P&amp;G FY2017 Q2 Form 10-Q | https://www.sec.gov/Archives/edgar/data/80424/000008042417000011/0000080424-17-000011-index.htm</x:v>
      </x:c>
      <x:c r="P5" s="15" t="str">
        <x:v>2017-01-20 | TheStreet | Procter &amp; Gamble Popped Despite 'Unprecedented' Amount of Geopolitical Disruption and Uncertainty | https://www.thestreet.com/investing/stocks/procter-amp-gamble-stock-gains-as-q2-results-top-expectations-13960333</x:v>
      </x:c>
      <x:c r="Q5" s="15" t="str">
        <x:v>2016-10-25 | SEC / Procter &amp; Gamble | P&amp;G FY2017 Q1 Earnings 8-K | https://www.sec.gov/Archives/edgar/data/80424/000008042416000238/fy1617q1jas8-kcoverpage.htm
2017-01-20 | SEC / Procter &amp; Gamble | P&amp;G FY2017 Q2 Form 10-Q | https://www.sec.gov/Archives/edgar/data/80424/000008042417000011/0000080424-17-000011-index.htm
2017-01-20 | TheStreet | Procter &amp; Gamble Popped Despite 'Unprecedented' Amount of Geopolitical Disruption and Uncertainty | https://www.thestreet.com/investing/stocks/procter-amp-gamble-stock-gains-as-q2-results-top-expectations-13960333</x:v>
      </x:c>
      <x:c r="R5" s="15" t="n">
        <x:v>3</x:v>
      </x:c>
      <x:c r="S5" s="15" t="str">
        <x:v>PASS</x:v>
      </x:c>
    </x:row>
    <x:row r="6" ht="340" customHeight="1">
      <x:c r="A6" s="15" t="n">
        <x:v>4</x:v>
      </x:c>
      <x:c r="B6" s="15" t="str">
        <x:v>PG</x:v>
      </x:c>
      <x:c r="C6" s="15" t="str">
        <x:v>Procter &amp; Gamble</x:v>
      </x:c>
      <x:c r="D6" s="15" t="str">
        <x:v>2017q2</x:v>
      </x:c>
      <x:c r="E6" s="15" t="str">
        <x:v>2017-04-26</x:v>
      </x:c>
      <x:c r="F6" s="18" t="n">
        <x:v>-2.5</x:v>
      </x:c>
      <x:c r="G6" s="18" t="n">
        <x:v>-0.05</x:v>
      </x:c>
      <x:c r="H6" s="18" t="n">
        <x:v>-2.55</x:v>
      </x:c>
      <x:c r="I6" s="18" t="n">
        <x:v>-2.64</x:v>
      </x:c>
      <x:c r="J6" s="18" t="n">
        <x:v>-3.25</x:v>
      </x:c>
      <x:c r="K6" s="15" t="str">
        <x:v>ret_1day_pct</x:v>
      </x:c>
      <x:c r="L6" s="15" t="str">
        <x:v>DOWN</x:v>
      </x:c>
      <x:c r="M6" s="15" t="str">
        <x:v>## Prior Context
By spring 2017, branded consumer-products companies were facing softer category demand, private-label pressure and smaller insurgent brands.
### Verified prior source
2017-01-20 | SEC / Procter &amp; Gamble | P&amp;G FY2017 Q2 Form 10-Q | https://www.sec.gov/Archives/edgar/data/80424/000008042417000011/0000080424-17-000011-index.htm
## Current Earnings Release
Fiscal Q3 net sales declined **1% to $15.61 billion**, while **organic sales rose only 1%**. Core EPS increased **12% to $0.96**, showing that productivity remained strong even as the top line slowed.
The weak point was demand. Grooming organic sales fell sharply as Gillette faced lower-priced competition and changing shaving habits, while overall packaged-goods consumption softened. P&amp;G reaffirmed annual guidance, but the quarter provided little evidence of renewed sales momentum.
### Verified release source
2017-04-26 | SEC / Procter &amp; Gamble | P&amp;G FY2017 Q3 Form 10-Q | https://www.sec.gov/Archives/edgar/data/80424/000008042417000026/fy1617q3jfm10-qreport.htm
## Possible Drivers
**First-order driver.** The stock fell because organic sales slowed to 1%, reinforcing concerns about weak category demand.
**Second-order driver.** Gillette weakness highlighted competitive share loss rather than a purely macro problem.
**Third-order driver.** Strong EPS growth from cost savings could not compensate for weak top-line momentum.
### Verified reaction source
2017-04-28 | The Motley Fool | Procter &amp; Gamble Co. Earnings Drop on Industry Slowdown | https://www.fool.com/investing/2017/04/28/procter-gamble-co-earnings-drop-on-industry-slowdo.aspx
## Verification Status
Included sources were checked for Procter &amp; Gamble/PG identity, the correct earnings event or directly relevant same-day catalyst, publication date, timing window and source origin. SEC/P&amp;G filings are the factual anchor. No WSJ, Reuters, Dow Jones or MarketWatch-syndicated article is included.
</x:v>
      </x:c>
      <x:c r="N6" s="15" t="str">
        <x:v>2017-01-20 | SEC / Procter &amp; Gamble | P&amp;G FY2017 Q2 Form 10-Q | https://www.sec.gov/Archives/edgar/data/80424/000008042417000011/0000080424-17-000011-index.htm</x:v>
      </x:c>
      <x:c r="O6" s="15" t="str">
        <x:v>2017-04-26 | SEC / Procter &amp; Gamble | P&amp;G FY2017 Q3 Form 10-Q | https://www.sec.gov/Archives/edgar/data/80424/000008042417000026/fy1617q3jfm10-qreport.htm</x:v>
      </x:c>
      <x:c r="P6" s="15" t="str">
        <x:v>2017-04-28 | The Motley Fool | Procter &amp; Gamble Co. Earnings Drop on Industry Slowdown | https://www.fool.com/investing/2017/04/28/procter-gamble-co-earnings-drop-on-industry-slowdo.aspx</x:v>
      </x:c>
      <x:c r="Q6" s="15" t="str">
        <x:v>2017-01-20 | SEC / Procter &amp; Gamble | P&amp;G FY2017 Q2 Form 10-Q | https://www.sec.gov/Archives/edgar/data/80424/000008042417000011/0000080424-17-000011-index.htm
2017-04-26 | SEC / Procter &amp; Gamble | P&amp;G FY2017 Q3 Form 10-Q | https://www.sec.gov/Archives/edgar/data/80424/000008042417000026/fy1617q3jfm10-qreport.htm
2017-04-28 | The Motley Fool | Procter &amp; Gamble Co. Earnings Drop on Industry Slowdown | https://www.fool.com/investing/2017/04/28/procter-gamble-co-earnings-drop-on-industry-slowdo.aspx</x:v>
      </x:c>
      <x:c r="R6" s="15" t="n">
        <x:v>3</x:v>
      </x:c>
      <x:c r="S6" s="15" t="str">
        <x:v>PASS</x:v>
      </x:c>
    </x:row>
    <x:row r="7" ht="340" customHeight="1">
      <x:c r="A7" s="15" t="n">
        <x:v>5</x:v>
      </x:c>
      <x:c r="B7" s="15" t="str">
        <x:v>PG</x:v>
      </x:c>
      <x:c r="C7" s="15" t="str">
        <x:v>Procter &amp; Gamble</x:v>
      </x:c>
      <x:c r="D7" s="15" t="str">
        <x:v>2017q3</x:v>
      </x:c>
      <x:c r="E7" s="15" t="str">
        <x:v>2017-07-27</x:v>
      </x:c>
      <x:c r="F7" s="18" t="n">
        <x:v>1.75</x:v>
      </x:c>
      <x:c r="G7" s="18" t="n">
        <x:v>-0.41</x:v>
      </x:c>
      <x:c r="H7" s="18" t="n">
        <x:v>1.34</x:v>
      </x:c>
      <x:c r="I7" s="18" t="n">
        <x:v>1.53</x:v>
      </x:c>
      <x:c r="J7" s="18" t="n">
        <x:v>2.37</x:v>
      </x:c>
      <x:c r="K7" s="15" t="str">
        <x:v>ret_1day_pct</x:v>
      </x:c>
      <x:c r="L7" s="15" t="str">
        <x:v>UP</x:v>
      </x:c>
      <x:c r="M7" s="15" t="str">
        <x:v>## Prior Context
P&amp;G entered fiscal year-end under growing activist pressure from Nelson Peltz, who argued that the company was too complex and was losing share. Operating execution therefore carried unusual strategic significance.
### Verified prior source
2017-04-26 | SEC / Procter &amp; Gamble | P&amp;G FY2017 Q3 Form 10-Q | https://www.sec.gov/Archives/edgar/data/80424/000008042417000026/fy1617q3jfm10-qreport.htm
## Current Earnings Release
Fiscal Q4 net sales were about **$16.1 billion**, while **organic sales increased 2%**. Core EPS was **$0.85**, above consensus near $0.78, and operating cash flow remained strong. For the full year, organic sales increased 2% and core EPS grew 7%.
The print did what management needed operationally: it beat expectations and showed modest sales improvement. But it did not end the strategic debate, because grooming remained weak and the overall organic-growth rate was still modest.
### Verified release source
2017-07-27 | SEC / Procter &amp; Gamble | P&amp;G FY2017 Q4 Earnings 8-K | https://www.sec.gov/Archives/edgar/data/80424/000008042417000039/0000080424-17-000039-index.html
## Possible Drivers
**First-order driver.** Shares rose because EPS and revenue exceeded expectations.
**Second-order driver.** A 2% organic-sales increase showed modest progress after the weak April quarter.
**Third-order driver.** The activist campaign kept pressure on management because underlying growth was still only moderate.
### Verified reaction source
2017-07-27 | TheStreet | Here's What Procter &amp; Gamble's CEO Had to Say About His New Activist Investor | https://www.thestreet.com/investing/stocks/procter-amp-gamble-trounces-profit-estimates-sticks-it-to-activist-investor-14244398
## Verification Status
Included sources were checked for Procter &amp; Gamble/PG identity, the correct earnings event or directly relevant same-day catalyst, publication date, timing window and source origin. SEC/P&amp;G filings are the factual anchor. No WSJ, Reuters, Dow Jones or MarketWatch-syndicated article is included.
</x:v>
      </x:c>
      <x:c r="N7" s="15" t="str">
        <x:v>2017-04-26 | SEC / Procter &amp; Gamble | P&amp;G FY2017 Q3 Form 10-Q | https://www.sec.gov/Archives/edgar/data/80424/000008042417000026/fy1617q3jfm10-qreport.htm</x:v>
      </x:c>
      <x:c r="O7" s="15" t="str">
        <x:v>2017-07-27 | SEC / Procter &amp; Gamble | P&amp;G FY2017 Q4 Earnings 8-K | https://www.sec.gov/Archives/edgar/data/80424/000008042417000039/0000080424-17-000039-index.html</x:v>
      </x:c>
      <x:c r="P7" s="15" t="str">
        <x:v>2017-07-27 | TheStreet | Here's What Procter &amp; Gamble's CEO Had to Say About His New Activist Investor | https://www.thestreet.com/investing/stocks/procter-amp-gamble-trounces-profit-estimates-sticks-it-to-activist-investor-14244398</x:v>
      </x:c>
      <x:c r="Q7" s="15" t="str">
        <x:v>2017-04-26 | SEC / Procter &amp; Gamble | P&amp;G FY2017 Q3 Form 10-Q | https://www.sec.gov/Archives/edgar/data/80424/000008042417000026/fy1617q3jfm10-qreport.htm
2017-07-27 | SEC / Procter &amp; Gamble | P&amp;G FY2017 Q4 Earnings 8-K | https://www.sec.gov/Archives/edgar/data/80424/000008042417000039/0000080424-17-000039-index.html
2017-07-27 | TheStreet | Here's What Procter &amp; Gamble's CEO Had to Say About His New Activist Investor | https://www.thestreet.com/investing/stocks/procter-amp-gamble-trounces-profit-estimates-sticks-it-to-activist-investor-14244398</x:v>
      </x:c>
      <x:c r="R7" s="15" t="n">
        <x:v>3</x:v>
      </x:c>
      <x:c r="S7" s="15" t="str">
        <x:v>PASS</x:v>
      </x:c>
    </x:row>
    <x:row r="8" ht="340" customHeight="1">
      <x:c r="A8" s="15" t="n">
        <x:v>6</x:v>
      </x:c>
      <x:c r="B8" s="15" t="str">
        <x:v>PG</x:v>
      </x:c>
      <x:c r="C8" s="15" t="str">
        <x:v>Procter &amp; Gamble</x:v>
      </x:c>
      <x:c r="D8" s="15" t="str">
        <x:v>2017q4</x:v>
      </x:c>
      <x:c r="E8" s="15" t="str">
        <x:v>2017-10-20</x:v>
      </x:c>
      <x:c r="F8" s="18" t="n">
        <x:v>-4.07</x:v>
      </x:c>
      <x:c r="G8" s="18" t="n">
        <x:v>-0.65</x:v>
      </x:c>
      <x:c r="H8" s="18" t="n">
        <x:v>-4.69</x:v>
      </x:c>
      <x:c r="I8" s="18" t="n">
        <x:v>-5.18</x:v>
      </x:c>
      <x:c r="J8" s="18" t="n">
        <x:v>-5.31</x:v>
      </x:c>
      <x:c r="K8" s="15" t="str">
        <x:v>ret_1day_pct</x:v>
      </x:c>
      <x:c r="L8" s="15" t="str">
        <x:v>DOWN</x:v>
      </x:c>
      <x:c r="M8" s="15" t="str">
        <x:v>## Prior Context
The quarter came immediately after P&amp;G's extremely close proxy contest with Nelson Peltz. Investors were judging the results against the activist's central criticism: that P&amp;G was growing too slowly and losing ground in key categories.
### Verified prior source
2017-07-27 | SEC / Procter &amp; Gamble | P&amp;G FY2017 Q4 Earnings 8-K | https://www.sec.gov/Archives/edgar/data/80424/000008042417000039/0000080424-17-000039-index.html
## Current Earnings Release
Fiscal Q1 net sales rose **1% to $16.7 billion**, and **organic sales also increased only 1%**. Core EPS of **$1.09** was in line with expectations and increased 6%. The quarter was financially stable but not strong enough to settle the growth debate.
The segment detail was the real problem. **Grooming organic sales fell 6%**, with Shave Care pressured by U.S. price cuts and weaker mix. Baby, Feminine &amp; Family Care also declined. Beauty performed well, but the company-wide result remained sluggish.
### Verified release source
2017-10-20 | SEC / Procter &amp; Gamble | P&amp;G Announces First Quarter Earnings | https://d18rn0p25nwr6d.cloudfront.net/CIK-0000080424/8e6af395-5d57-4049-ac7b-243d5bde15f4.html
## Possible Drivers
**First-order driver.** The stock fell sharply because 1% organic growth reinforced concerns that P&amp;G's turnaround was too slow.
**Second-order driver.** A 6% grooming decline showed that Gillette's competitive problem remained unresolved.
**Third-order driver.** With Peltz's proxy challenge still fresh, merely meeting earnings expectations was insufficient.
### Verified reaction source
2017-10-20 | TheStreet | P&amp;G Profit In Line as Trian's Nelson Peltz Watches | https://www.thestreet.com/investing/p-g-profits-in-line-as-trian-s-nelson-peltz-watches-14350897
## Verification Status
Included sources were checked for Procter &amp; Gamble/PG identity, the correct earnings event or directly relevant same-day catalyst, publication date, timing window and source origin. SEC/P&amp;G filings are the factual anchor. No WSJ, Reuters, Dow Jones or MarketWatch-syndicated article is included.
</x:v>
      </x:c>
      <x:c r="N8" s="15" t="str">
        <x:v>2017-07-27 | SEC / Procter &amp; Gamble | P&amp;G FY2017 Q4 Earnings 8-K | https://www.sec.gov/Archives/edgar/data/80424/000008042417000039/0000080424-17-000039-index.html</x:v>
      </x:c>
      <x:c r="O8" s="15" t="str">
        <x:v>2017-10-20 | SEC / Procter &amp; Gamble | P&amp;G Announces First Quarter Earnings | https://d18rn0p25nwr6d.cloudfront.net/CIK-0000080424/8e6af395-5d57-4049-ac7b-243d5bde15f4.html</x:v>
      </x:c>
      <x:c r="P8" s="15" t="str">
        <x:v>2017-10-20 | TheStreet | P&amp;G Profit In Line as Trian's Nelson Peltz Watches | https://www.thestreet.com/investing/p-g-profits-in-line-as-trian-s-nelson-peltz-watches-14350897</x:v>
      </x:c>
      <x:c r="Q8" s="15" t="str">
        <x:v>2017-07-27 | SEC / Procter &amp; Gamble | P&amp;G FY2017 Q4 Earnings 8-K | https://www.sec.gov/Archives/edgar/data/80424/000008042417000039/0000080424-17-000039-index.html
2017-10-20 | SEC / Procter &amp; Gamble | P&amp;G Announces First Quarter Earnings | https://d18rn0p25nwr6d.cloudfront.net/CIK-0000080424/8e6af395-5d57-4049-ac7b-243d5bde15f4.html
2017-10-20 | TheStreet | P&amp;G Profit In Line as Trian's Nelson Peltz Watches | https://www.thestreet.com/investing/p-g-profits-in-line-as-trian-s-nelson-peltz-watches-14350897</x:v>
      </x:c>
      <x:c r="R8" s="15" t="n">
        <x:v>3</x:v>
      </x:c>
      <x:c r="S8" s="15" t="str">
        <x:v>PASS</x:v>
      </x:c>
    </x:row>
    <x:row r="9" ht="340" customHeight="1">
      <x:c r="A9" s="15" t="n">
        <x:v>7</x:v>
      </x:c>
      <x:c r="B9" s="15" t="str">
        <x:v>PG</x:v>
      </x:c>
      <x:c r="C9" s="15" t="str">
        <x:v>Procter &amp; Gamble</x:v>
      </x:c>
      <x:c r="D9" s="15" t="str">
        <x:v>2018q1</x:v>
      </x:c>
      <x:c r="E9" s="15" t="str">
        <x:v>2018-01-23</x:v>
      </x:c>
      <x:c r="F9" s="18" t="n">
        <x:v>-3.35</x:v>
      </x:c>
      <x:c r="G9" s="18" t="n">
        <x:v>-0.74</x:v>
      </x:c>
      <x:c r="H9" s="18" t="n">
        <x:v>-4.07</x:v>
      </x:c>
      <x:c r="I9" s="18" t="n">
        <x:v>-3.93</x:v>
      </x:c>
      <x:c r="J9" s="18" t="n">
        <x:v>-5.53</x:v>
      </x:c>
      <x:c r="K9" s="15" t="str">
        <x:v>ret_1day_pct</x:v>
      </x:c>
      <x:c r="L9" s="15" t="str">
        <x:v>DOWN</x:v>
      </x:c>
      <x:c r="M9" s="15" t="str">
        <x:v>## Prior Context
After the proxy fight, Nelson Peltz was preparing to join the board. The operating question remained whether P&amp;G could accelerate sales without relying heavily on pricing or cost cuts.
### Verified prior source
2017-10-20 | SEC / Procter &amp; Gamble | P&amp;G Announces First Quarter Earnings | https://d18rn0p25nwr6d.cloudfront.net/CIK-0000080424/8e6af395-5d57-4049-ac7b-243d5bde15f4.html
## Current Earnings Release
Fiscal Q2 net sales rose **3% to $17.4 billion**, while **organic sales increased 2%**. Core EPS was **$1.19**, above consensus near $1.14. Beauty organic sales increased 9% and Health Care 4%, but Grooming fell 3% and Baby/Feminine/Family Care declined 1%.
Margins were weaker. Core gross margin fell about **80 basis points**, pressured by higher commodities, unfavorable mix, product reinvestment and U.S. shave-care price cuts. The high end of EPS guidance was raised partly because of tax reform, so the upgrade contained less operating information than a true earnings reacceleration.
### Verified release source
2018-01-23 | SEC / Procter &amp; Gamble | P&amp;G FY2018 Q2 Earnings 8-K | https://www.sec.gov/Archives/edgar/data/80424/000008042418000009/fy1718q2ond8-kcoverpage.htm
## Possible Drivers
**First-order driver.** Shares fell despite the EPS beat because growth remained modest and gross margin deteriorated.
**Second-order driver.** Grooming weakness and U.S. razor price cuts continued to dilute stronger Beauty results.
**Third-order driver.** The higher EPS outlook was partly tax-driven rather than operating-driven.
### Verified reaction source
2018-01-23 | InvestorPlace | Procter &amp; Gamble Co Stock Slides With Earnings That Are Just OK | https://investorplace.com/2018/01/pg-stock-slides-earnings-ok/
## Verification Status
Included sources were checked for Procter &amp; Gamble/PG identity, the correct earnings event or directly relevant same-day catalyst, publication date, timing window and source origin. SEC/P&amp;G filings are the factual anchor. No WSJ, Reuters, Dow Jones or MarketWatch-syndicated article is included.
</x:v>
      </x:c>
      <x:c r="N9" s="15" t="str">
        <x:v>2017-10-20 | SEC / Procter &amp; Gamble | P&amp;G Announces First Quarter Earnings | https://d18rn0p25nwr6d.cloudfront.net/CIK-0000080424/8e6af395-5d57-4049-ac7b-243d5bde15f4.html</x:v>
      </x:c>
      <x:c r="O9" s="15" t="str">
        <x:v>2018-01-23 | SEC / Procter &amp; Gamble | P&amp;G FY2018 Q2 Earnings 8-K | https://www.sec.gov/Archives/edgar/data/80424/000008042418000009/fy1718q2ond8-kcoverpage.htm</x:v>
      </x:c>
      <x:c r="P9" s="15" t="str">
        <x:v>2018-01-23 | InvestorPlace | Procter &amp; Gamble Co Stock Slides With Earnings That Are Just OK | https://investorplace.com/2018/01/pg-stock-slides-earnings-ok/</x:v>
      </x:c>
      <x:c r="Q9" s="15" t="str">
        <x:v>2017-10-20 | SEC / Procter &amp; Gamble | P&amp;G Announces First Quarter Earnings | https://d18rn0p25nwr6d.cloudfront.net/CIK-0000080424/8e6af395-5d57-4049-ac7b-243d5bde15f4.html
2018-01-23 | SEC / Procter &amp; Gamble | P&amp;G FY2018 Q2 Earnings 8-K | https://www.sec.gov/Archives/edgar/data/80424/000008042418000009/fy1718q2ond8-kcoverpage.htm
2018-01-23 | InvestorPlace | Procter &amp; Gamble Co Stock Slides With Earnings That Are Just OK | https://investorplace.com/2018/01/pg-stock-slides-earnings-ok/</x:v>
      </x:c>
      <x:c r="R9" s="15" t="n">
        <x:v>3</x:v>
      </x:c>
      <x:c r="S9" s="15" t="str">
        <x:v>PASS</x:v>
      </x:c>
    </x:row>
    <x:row r="10" ht="340" customHeight="1">
      <x:c r="A10" s="15" t="n">
        <x:v>8</x:v>
      </x:c>
      <x:c r="B10" s="15" t="str">
        <x:v>PG</x:v>
      </x:c>
      <x:c r="C10" s="15" t="str">
        <x:v>Procter &amp; Gamble</x:v>
      </x:c>
      <x:c r="D10" s="15" t="str">
        <x:v>2018q2</x:v>
      </x:c>
      <x:c r="E10" s="15" t="str">
        <x:v>2018-04-19</x:v>
      </x:c>
      <x:c r="F10" s="18" t="n">
        <x:v>-2.7</x:v>
      </x:c>
      <x:c r="G10" s="18" t="n">
        <x:v>-0.79</x:v>
      </x:c>
      <x:c r="H10" s="18" t="n">
        <x:v>-3.47</x:v>
      </x:c>
      <x:c r="I10" s="18" t="n">
        <x:v>-3.91</x:v>
      </x:c>
      <x:c r="J10" s="18" t="n">
        <x:v>-4.47</x:v>
      </x:c>
      <x:c r="K10" s="15" t="str">
        <x:v>ret_1day_pct</x:v>
      </x:c>
      <x:c r="L10" s="15" t="str">
        <x:v>DOWN</x:v>
      </x:c>
      <x:c r="M10" s="15" t="str">
        <x:v>## Prior Context
The quarter arrived just after Nelson Peltz joined the board, and on the same morning P&amp;G announced its largest acquisition in years: the €3.4 billion purchase of Merck KGaA's consumer-health business.
### Verified prior source
2018-01-23 | SEC / Procter &amp; Gamble | P&amp;G FY2018 Q2 Earnings 8-K | https://www.sec.gov/Archives/edgar/data/80424/000008042418000009/fy1718q2ond8-kcoverpage.htm
## Current Earnings Release
Fiscal Q3 net sales increased **4% to $16.3 billion**, while **organic sales increased only 1%**. Core EPS was **$1.00**, two cents above consensus. Beauty and Fabric &amp; Home Care were relatively strong, but company-wide organic growth remained below management's long-run ambitions.
The simultaneous Merck consumer-health acquisition changed the event. P&amp;G committed about **€3.4 billion** to expand over-the-counter health care. The deal offered strategic growth, but it also represented a large cash outlay while investors were still demanding faster organic improvement.
### Verified release source
2018-04-19 | SEC / Procter &amp; Gamble | P&amp;G Announces Third Quarter Earnings | https://d18rn0p25nwr6d.cloudfront.net/CIK-0000080424/81c9516d-a5c0-48a8-a827-4cb752e95037.pdf
## Possible Drivers
**First-order driver.** The stock fell even after an earnings beat because the Merck acquisition and weak 1% organic growth dominated the day.
**Second-order driver.** The quarter still showed difficulty converting innovation and volume into stronger company-wide organic sales.
**Third-order driver.** The acquisition could strengthen Health Care long term, but investors initially treated price and execution risk cautiously.
### Verified reaction source
2018-04-19 | TheStreet | P&amp;G Tops Forecasts in Early Q3 Earnings Release Following Merck KGaA Deal | https://www.thestreet.com/markets/p-g-tops-forecasts-in-early-q3-earnings-release-following-merck-kgaa-deal-14561236
2018-04-19 | SEC / Procter &amp; Gamble | P&amp;G Acquires the Consumer Health Business of Merck KGaA | https://www.sec.gov/Archives/edgar/data/80424/000008042418000029/merckpressrelease.htm
## Verification Status
Included sources were checked for Procter &amp; Gamble/PG identity, the correct earnings event or directly relevant same-day catalyst, publication date, timing window and source origin. SEC/P&amp;G filings are the factual anchor. No WSJ, Reuters, Dow Jones or MarketWatch-syndicated article is included.
</x:v>
      </x:c>
      <x:c r="N10" s="15" t="str">
        <x:v>2018-01-23 | SEC / Procter &amp; Gamble | P&amp;G FY2018 Q2 Earnings 8-K | https://www.sec.gov/Archives/edgar/data/80424/000008042418000009/fy1718q2ond8-kcoverpage.htm</x:v>
      </x:c>
      <x:c r="O10" s="15" t="str">
        <x:v>2018-04-19 | SEC / Procter &amp; Gamble | P&amp;G Announces Third Quarter Earnings | https://d18rn0p25nwr6d.cloudfront.net/CIK-0000080424/81c9516d-a5c0-48a8-a827-4cb752e95037.pdf</x:v>
      </x:c>
      <x:c r="P10" s="15" t="str">
        <x:v>2018-04-19 | TheStreet | P&amp;G Tops Forecasts in Early Q3 Earnings Release Following Merck KGaA Deal | https://www.thestreet.com/markets/p-g-tops-forecasts-in-early-q3-earnings-release-following-merck-kgaa-deal-14561236
2018-04-19 | SEC / Procter &amp; Gamble | P&amp;G Acquires the Consumer Health Business of Merck KGaA | https://www.sec.gov/Archives/edgar/data/80424/000008042418000029/merckpressrelease.htm</x:v>
      </x:c>
      <x:c r="Q10" s="15" t="str">
        <x:v>2018-01-23 | SEC / Procter &amp; Gamble | P&amp;G FY2018 Q2 Earnings 8-K | https://www.sec.gov/Archives/edgar/data/80424/000008042418000009/fy1718q2ond8-kcoverpage.htm
2018-04-19 | SEC / Procter &amp; Gamble | P&amp;G Announces Third Quarter Earnings | https://d18rn0p25nwr6d.cloudfront.net/CIK-0000080424/81c9516d-a5c0-48a8-a827-4cb752e95037.pdf
2018-04-19 | TheStreet | P&amp;G Tops Forecasts in Early Q3 Earnings Release Following Merck KGaA Deal | https://www.thestreet.com/markets/p-g-tops-forecasts-in-early-q3-earnings-release-following-merck-kgaa-deal-14561236
2018-04-19 | SEC / Procter &amp; Gamble | P&amp;G Acquires the Consumer Health Business of Merck KGaA | https://www.sec.gov/Archives/edgar/data/80424/000008042418000029/merckpressrelease.htm</x:v>
      </x:c>
      <x:c r="R10" s="15" t="n">
        <x:v>4</x:v>
      </x:c>
      <x:c r="S10" s="15" t="str">
        <x:v>PASS</x:v>
      </x:c>
    </x:row>
    <x:row r="11" ht="340" customHeight="1">
      <x:c r="A11" s="15" t="n">
        <x:v>9</x:v>
      </x:c>
      <x:c r="B11" s="15" t="str">
        <x:v>PG</x:v>
      </x:c>
      <x:c r="C11" s="15" t="str">
        <x:v>Procter &amp; Gamble</x:v>
      </x:c>
      <x:c r="D11" s="15" t="str">
        <x:v>2018q3</x:v>
      </x:c>
      <x:c r="E11" s="15" t="str">
        <x:v>2018-07-31</x:v>
      </x:c>
      <x:c r="F11" s="18" t="n">
        <x:v>0.29</x:v>
      </x:c>
      <x:c r="G11" s="18" t="n">
        <x:v>-0.15</x:v>
      </x:c>
      <x:c r="H11" s="18" t="n">
        <x:v>0.14</x:v>
      </x:c>
      <x:c r="I11" s="18" t="n">
        <x:v>0.23</x:v>
      </x:c>
      <x:c r="J11" s="18" t="n">
        <x:v>1.43</x:v>
      </x:c>
      <x:c r="K11" s="15" t="str">
        <x:v>ret_1day_pct</x:v>
      </x:c>
      <x:c r="L11" s="15" t="str">
        <x:v>UP</x:v>
      </x:c>
      <x:c r="M11" s="15" t="str">
        <x:v>## Prior Context
By fiscal year-end, management was trying to show that interventions in Gillette, Pampers and e-commerce were stabilizing market share. Commodity and transportation inflation had become the next major earnings headwind.
### Verified prior source
None — previous quarter was 103 days earlier, outside the strict prior window.
## Current Earnings Release
Fiscal Q4 net sales increased **3% to $16.5 billion**, while **organic sales increased only 1%**. Core EPS was **$0.94**, above consensus, but revenue was slightly below expectations. Organic volume increased **3%**, indicating better underlying consumption than the headline sales figure suggested.
The mix remained uneven. Beauty was strong, while Grooming organic sales fell **3%** and Baby Care remained challenged. Management also highlighted higher commodity and freight costs. The stock was down more than 2% premarket but recovered to finish the earnings day roughly flat in the supplied data, making this a mixed rather than clearly negative event.
### Verified release source
2018-07-31 | SEC / Procter &amp; Gamble | P&amp;G FY2018 Q4 Earnings 8-K | https://www.sec.gov/Archives/edgar/data/80424/000008042418000050/fy1718q4amj8-kcoverpage.htm
## Possible Drivers
**First-order driver.** The same-day reaction was essentially flat because an EPS beat and better volume offset a small revenue miss and only 1% organic growth.
**Second-order driver.** Gillette and Baby Care remained weak, preventing a cleaner top-line acceleration.
**Third-order driver.** Commodity and transportation inflation increased the importance of future pricing without yet breaking earnings growth.
### Verified reaction source
2018-07-31 | Fox Business | Procter &amp; Gamble's reports mixed 4Q results | https://www.foxbusiness.com/markets/procter-gambles-4q-earnings-top-estimates
2018-07-31 | The Motley Fool | Procter &amp; Gamble Q4 2018 Earnings Conference Call Transcript | https://www.fool.com/earnings/call-transcripts/2018/07/31/procter-gamble-company-the-pg-q4-2018-earnings-con.aspx
## Verification Status
Included sources were checked for Procter &amp; Gamble/PG identity, the correct earnings event or directly relevant same-day catalyst, publication date, timing window and source origin. SEC/P&amp;G filings are the factual anchor. No WSJ, Reuters, Dow Jones or MarketWatch-syndicated article is included.
</x:v>
      </x:c>
      <x:c r="N11" s="15" t="str">
        <x:v>None — previous quarter was 103 days earlier, outside the strict prior window.</x:v>
      </x:c>
      <x:c r="O11" s="15" t="str">
        <x:v>2018-07-31 | SEC / Procter &amp; Gamble | P&amp;G FY2018 Q4 Earnings 8-K | https://www.sec.gov/Archives/edgar/data/80424/000008042418000050/fy1718q4amj8-kcoverpage.htm</x:v>
      </x:c>
      <x:c r="P11" s="15" t="str">
        <x:v>2018-07-31 | Fox Business | Procter &amp; Gamble's reports mixed 4Q results | https://www.foxbusiness.com/markets/procter-gambles-4q-earnings-top-estimates
2018-07-31 | The Motley Fool | Procter &amp; Gamble Q4 2018 Earnings Conference Call Transcript | https://www.fool.com/earnings/call-transcripts/2018/07/31/procter-gamble-company-the-pg-q4-2018-earnings-con.aspx</x:v>
      </x:c>
      <x:c r="Q11" s="15" t="str">
        <x:v>2018-07-31 | SEC / Procter &amp; Gamble | P&amp;G FY2018 Q4 Earnings 8-K | https://www.sec.gov/Archives/edgar/data/80424/000008042418000050/fy1718q4amj8-kcoverpage.htm
2018-07-31 | Fox Business | Procter &amp; Gamble's reports mixed 4Q results | https://www.foxbusiness.com/markets/procter-gambles-4q-earnings-top-estimates
2018-07-31 | The Motley Fool | Procter &amp; Gamble Q4 2018 Earnings Conference Call Transcript | https://www.fool.com/earnings/call-transcripts/2018/07/31/procter-gamble-company-the-pg-q4-2018-earnings-con.aspx</x:v>
      </x:c>
      <x:c r="R11" s="15" t="n">
        <x:v>3</x:v>
      </x:c>
      <x:c r="S11" s="15" t="str">
        <x:v>PASS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" hidden="0" customWidth="1"/>
    <x:col min="3" max="3" width="12" hidden="0" customWidth="1"/>
    <x:col min="4" max="4" width="14" hidden="0" customWidth="1"/>
    <x:col min="5" max="5" width="10" hidden="0" customWidth="1"/>
    <x:col min="6" max="6" width="25" hidden="0" customWidth="1"/>
    <x:col min="7" max="7" width="62" hidden="0" customWidth="1"/>
    <x:col min="8" max="8" width="92" hidden="0" customWidth="1"/>
    <x:col min="9" max="9" width="18" hidden="0" customWidth="1"/>
    <x:col min="10" max="10" width="14" hidden="0" customWidth="1"/>
    <x:col min="11" max="11" width="14" hidden="0" customWidth="1"/>
    <x:col min="12" max="12" width="14" hidden="0" customWidth="1"/>
    <x:col min="13" max="13" width="18" hidden="0" customWidth="1"/>
    <x:col min="14" max="14" width="18" hidden="0" customWidth="1"/>
    <x:col min="15" max="15" width="28" hidden="0" customWidth="1"/>
    <x:col min="16" max="16" width="14" hidden="0" customWidth="1"/>
    <x:col min="17" max="17" width="76" hidden="0" customWidth="1"/>
  </x:cols>
  <x:sheetData>
    <x:row r="1">
      <x:c r="A1" s="6" t="str">
        <x:v>earnings_date</x:v>
      </x:c>
      <x:c r="B1" s="6" t="str">
        <x:v>ticker</x:v>
      </x:c>
      <x:c r="C1" s="6" t="str">
        <x:v>role</x:v>
      </x:c>
      <x:c r="D1" s="6" t="str">
        <x:v>source_date</x:v>
      </x:c>
      <x:c r="E1" s="6" t="str">
        <x:v>day_delta</x:v>
      </x:c>
      <x:c r="F1" s="6" t="str">
        <x:v>publisher</x:v>
      </x:c>
      <x:c r="G1" s="6" t="str">
        <x:v>title</x:v>
      </x:c>
      <x:c r="H1" s="6" t="str">
        <x:v>url</x:v>
      </x:c>
      <x:c r="I1" s="6" t="str">
        <x:v>url_status</x:v>
      </x:c>
      <x:c r="J1" s="6" t="str">
        <x:v>ticker_match</x:v>
      </x:c>
      <x:c r="K1" s="6" t="str">
        <x:v>event_match</x:v>
      </x:c>
      <x:c r="L1" s="6" t="str">
        <x:v>date_match</x:v>
      </x:c>
      <x:c r="M1" s="6" t="str">
        <x:v>prohibited_source</x:v>
      </x:c>
      <x:c r="N1" s="6" t="str">
        <x:v>claim_supported</x:v>
      </x:c>
      <x:c r="O1" s="6" t="str">
        <x:v>attribution_strength</x:v>
      </x:c>
      <x:c r="P1" s="6" t="str">
        <x:v>final_status</x:v>
      </x:c>
      <x:c r="Q1" s="6" t="str">
        <x:v>verification_note</x:v>
      </x:c>
    </x:row>
    <x:row r="2">
      <x:c r="A2" s="12" t="str">
        <x:v>2016-04-26</x:v>
      </x:c>
      <x:c r="B2" s="12" t="str">
        <x:v>PG</x:v>
      </x:c>
      <x:c r="C2" s="12" t="str">
        <x:v>prior</x:v>
      </x:c>
      <x:c r="D2" s="12" t="str">
        <x:v>2016-04-20</x:v>
      </x:c>
      <x:c r="E2" s="12" t="n">
        <x:v>-6</x:v>
      </x:c>
      <x:c r="F2" s="12" t="str">
        <x:v>The Motley Fool</x:v>
      </x:c>
      <x:c r="G2" s="12" t="str">
        <x:v>Procter &amp; Gamble Co Earnings: What to Watch</x:v>
      </x:c>
      <x:c r="H2" s="12" t="str">
        <x:v>https://www.fool.com/investing/general/2016/04/20/procter-gamble-co-earnings-what-to-watch.aspx</x:v>
      </x:c>
      <x:c r="I2" s="12" t="str">
        <x:v>OPENED/VERIFIED</x:v>
      </x:c>
      <x:c r="J2" s="12" t="str">
        <x:v>PASS</x:v>
      </x:c>
      <x:c r="K2" s="12" t="str">
        <x:v>PASS</x:v>
      </x:c>
      <x:c r="L2" s="12" t="str">
        <x:v>PASS</x:v>
      </x:c>
      <x:c r="M2" s="12" t="str">
        <x:v>NO</x:v>
      </x:c>
      <x:c r="N2" s="12" t="str">
        <x:v>PASS</x:v>
      </x:c>
      <x:c r="O2" s="12" t="str">
        <x:v>FACTUAL</x:v>
      </x:c>
      <x:c r="P2" s="12" t="str">
        <x:v>PASS</x:v>
      </x:c>
      <x:c r="Q2" s="12" t="str">
        <x:v>Checked for PG/Procter &amp; Gamble identity, correct event/catalyst, displayed date, timing window and prohibited-source origin.</x:v>
      </x:c>
    </x:row>
    <x:row r="3">
      <x:c r="A3" s="12" t="str">
        <x:v>2016-04-26</x:v>
      </x:c>
      <x:c r="B3" s="12" t="str">
        <x:v>PG</x:v>
      </x:c>
      <x:c r="C3" s="12" t="str">
        <x:v>release</x:v>
      </x:c>
      <x:c r="D3" s="12" t="str">
        <x:v>2016-04-26</x:v>
      </x:c>
      <x:c r="E3" s="12" t="n">
        <x:v>0</x:v>
      </x:c>
      <x:c r="F3" s="12" t="str">
        <x:v>SEC / Procter &amp; Gamble</x:v>
      </x:c>
      <x:c r="G3" s="12" t="str">
        <x:v>P&amp;G FY2016 Q3 Form 10-Q</x:v>
      </x:c>
      <x:c r="H3" s="12" t="str">
        <x:v>https://www.sec.gov/Archives/edgar/data/80424/000008042416000183/fy1516q3jfm10-qreport.htm</x:v>
      </x:c>
      <x:c r="I3" s="12" t="str">
        <x:v>OPENED/VERIFIED</x:v>
      </x:c>
      <x:c r="J3" s="12" t="str">
        <x:v>PASS</x:v>
      </x:c>
      <x:c r="K3" s="12" t="str">
        <x:v>PASS</x:v>
      </x:c>
      <x:c r="L3" s="12" t="str">
        <x:v>PASS</x:v>
      </x:c>
      <x:c r="M3" s="12" t="str">
        <x:v>NO</x:v>
      </x:c>
      <x:c r="N3" s="12" t="str">
        <x:v>PASS</x:v>
      </x:c>
      <x:c r="O3" s="12" t="str">
        <x:v>FACTUAL</x:v>
      </x:c>
      <x:c r="P3" s="12" t="str">
        <x:v>PASS</x:v>
      </x:c>
      <x:c r="Q3" s="12" t="str">
        <x:v>Checked for PG/Procter &amp; Gamble identity, correct event/catalyst, displayed date, timing window and prohibited-source origin.</x:v>
      </x:c>
    </x:row>
    <x:row r="4">
      <x:c r="A4" s="12" t="str">
        <x:v>2016-04-26</x:v>
      </x:c>
      <x:c r="B4" s="12" t="str">
        <x:v>PG</x:v>
      </x:c>
      <x:c r="C4" s="12" t="str">
        <x:v>reaction</x:v>
      </x:c>
      <x:c r="D4" s="12" t="str">
        <x:v>2016-04-26</x:v>
      </x:c>
      <x:c r="E4" s="12" t="n">
        <x:v>0</x:v>
      </x:c>
      <x:c r="F4" s="12" t="str">
        <x:v>The Motley Fool</x:v>
      </x:c>
      <x:c r="G4" s="12" t="str">
        <x:v>Procter &amp; Gamble Co Earnings: Sales Growth Takes a Step Backwards</x:v>
      </x:c>
      <x:c r="H4" s="12" t="str">
        <x:v>https://www.fool.com/investing/general/2016/04/26/procter-gamble-co-earnings-sales-growth-takes-a-st.aspx</x:v>
      </x:c>
      <x:c r="I4" s="12" t="str">
        <x:v>OPENED/VERIFIED</x:v>
      </x:c>
      <x:c r="J4" s="12" t="str">
        <x:v>PASS</x:v>
      </x:c>
      <x:c r="K4" s="12" t="str">
        <x:v>PASS</x:v>
      </x:c>
      <x:c r="L4" s="12" t="str">
        <x:v>PASS</x:v>
      </x:c>
      <x:c r="M4" s="12" t="str">
        <x:v>NO</x:v>
      </x:c>
      <x:c r="N4" s="12" t="str">
        <x:v>PASS</x:v>
      </x:c>
      <x:c r="O4" s="12" t="str">
        <x:v>CONTEMPORANEOUS_ATTRIBUTION</x:v>
      </x:c>
      <x:c r="P4" s="12" t="str">
        <x:v>PASS</x:v>
      </x:c>
      <x:c r="Q4" s="12" t="str">
        <x:v>Checked for PG/Procter &amp; Gamble identity, correct event/catalyst, displayed date, timing window and prohibited-source origin.</x:v>
      </x:c>
    </x:row>
    <x:row r="5">
      <x:c r="A5" s="12" t="str">
        <x:v>2016-08-02</x:v>
      </x:c>
      <x:c r="B5" s="12" t="str">
        <x:v>PG</x:v>
      </x:c>
      <x:c r="C5" s="12" t="str">
        <x:v>prior</x:v>
      </x:c>
      <x:c r="D5" s="12" t="str">
        <x:v>2016-04-26</x:v>
      </x:c>
      <x:c r="E5" s="12" t="n">
        <x:v>-98</x:v>
      </x:c>
      <x:c r="F5" s="12" t="str">
        <x:v>SEC / Procter &amp; Gamble</x:v>
      </x:c>
      <x:c r="G5" s="12" t="str">
        <x:v>P&amp;G FY2016 Q3 Form 10-Q</x:v>
      </x:c>
      <x:c r="H5" s="12" t="str">
        <x:v>https://www.sec.gov/Archives/edgar/data/80424/000008042416000183/fy1516q3jfm10-qreport.htm</x:v>
      </x:c>
      <x:c r="I5" s="12" t="str">
        <x:v>OPENED/VERIFIED</x:v>
      </x:c>
      <x:c r="J5" s="12" t="str">
        <x:v>PASS</x:v>
      </x:c>
      <x:c r="K5" s="12" t="str">
        <x:v>PASS</x:v>
      </x:c>
      <x:c r="L5" s="12" t="str">
        <x:v>PASS</x:v>
      </x:c>
      <x:c r="M5" s="12" t="str">
        <x:v>NO</x:v>
      </x:c>
      <x:c r="N5" s="12" t="str">
        <x:v>PASS</x:v>
      </x:c>
      <x:c r="O5" s="12" t="str">
        <x:v>FACTUAL</x:v>
      </x:c>
      <x:c r="P5" s="12" t="str">
        <x:v>PASS</x:v>
      </x:c>
      <x:c r="Q5" s="12" t="str">
        <x:v>Checked for PG/Procter &amp; Gamble identity, correct event/catalyst, displayed date, timing window and prohibited-source origin.</x:v>
      </x:c>
    </x:row>
    <x:row r="6">
      <x:c r="A6" s="12" t="str">
        <x:v>2016-08-02</x:v>
      </x:c>
      <x:c r="B6" s="12" t="str">
        <x:v>PG</x:v>
      </x:c>
      <x:c r="C6" s="12" t="str">
        <x:v>release</x:v>
      </x:c>
      <x:c r="D6" s="12" t="str">
        <x:v>2016-08-02</x:v>
      </x:c>
      <x:c r="E6" s="12" t="n">
        <x:v>0</x:v>
      </x:c>
      <x:c r="F6" s="12" t="str">
        <x:v>SEC / Procter &amp; Gamble</x:v>
      </x:c>
      <x:c r="G6" s="12" t="str">
        <x:v>P&amp;G Announces Fourth Quarter and Fiscal Year 2016 Results</x:v>
      </x:c>
      <x:c r="H6" s="12" t="str">
        <x:v>https://www.sec.gov/Archives/edgar/data/80424/000008042416000202/fy1516q4amj8-kexhibit991.htm</x:v>
      </x:c>
      <x:c r="I6" s="12" t="str">
        <x:v>OPENED/VERIFIED</x:v>
      </x:c>
      <x:c r="J6" s="12" t="str">
        <x:v>PASS</x:v>
      </x:c>
      <x:c r="K6" s="12" t="str">
        <x:v>PASS</x:v>
      </x:c>
      <x:c r="L6" s="12" t="str">
        <x:v>PASS</x:v>
      </x:c>
      <x:c r="M6" s="12" t="str">
        <x:v>NO</x:v>
      </x:c>
      <x:c r="N6" s="12" t="str">
        <x:v>PASS</x:v>
      </x:c>
      <x:c r="O6" s="12" t="str">
        <x:v>FACTUAL</x:v>
      </x:c>
      <x:c r="P6" s="12" t="str">
        <x:v>PASS</x:v>
      </x:c>
      <x:c r="Q6" s="12" t="str">
        <x:v>Checked for PG/Procter &amp; Gamble identity, correct event/catalyst, displayed date, timing window and prohibited-source origin.</x:v>
      </x:c>
    </x:row>
    <x:row r="7">
      <x:c r="A7" s="12" t="str">
        <x:v>2016-08-02</x:v>
      </x:c>
      <x:c r="B7" s="12" t="str">
        <x:v>PG</x:v>
      </x:c>
      <x:c r="C7" s="12" t="str">
        <x:v>reaction</x:v>
      </x:c>
      <x:c r="D7" s="12" t="str">
        <x:v>2016-08-02</x:v>
      </x:c>
      <x:c r="E7" s="12" t="n">
        <x:v>0</x:v>
      </x:c>
      <x:c r="F7" s="12" t="str">
        <x:v>TheStreet</x:v>
      </x:c>
      <x:c r="G7" s="12" t="str">
        <x:v>P&amp;G Just Nailed Its Quarter – Here Is How We Know</x:v>
      </x:c>
      <x:c r="H7" s="12" t="str">
        <x:v>https://www.thestreet.com/investing/stocks/p-amp-g-just-nailed-its-quarter-here-is-how-we-know-13660478</x:v>
      </x:c>
      <x:c r="I7" s="12" t="str">
        <x:v>OPENED/VERIFIED</x:v>
      </x:c>
      <x:c r="J7" s="12" t="str">
        <x:v>PASS</x:v>
      </x:c>
      <x:c r="K7" s="12" t="str">
        <x:v>PASS</x:v>
      </x:c>
      <x:c r="L7" s="12" t="str">
        <x:v>PASS</x:v>
      </x:c>
      <x:c r="M7" s="12" t="str">
        <x:v>NO</x:v>
      </x:c>
      <x:c r="N7" s="12" t="str">
        <x:v>PASS</x:v>
      </x:c>
      <x:c r="O7" s="12" t="str">
        <x:v>CONTEMPORANEOUS_ATTRIBUTION</x:v>
      </x:c>
      <x:c r="P7" s="12" t="str">
        <x:v>PASS</x:v>
      </x:c>
      <x:c r="Q7" s="12" t="str">
        <x:v>Checked for PG/Procter &amp; Gamble identity, correct event/catalyst, displayed date, timing window and prohibited-source origin.</x:v>
      </x:c>
    </x:row>
    <x:row r="8">
      <x:c r="A8" s="12" t="str">
        <x:v>2016-10-25</x:v>
      </x:c>
      <x:c r="B8" s="12" t="str">
        <x:v>PG</x:v>
      </x:c>
      <x:c r="C8" s="12" t="str">
        <x:v>prior</x:v>
      </x:c>
      <x:c r="D8" s="12" t="str">
        <x:v>2016-08-02</x:v>
      </x:c>
      <x:c r="E8" s="12" t="n">
        <x:v>-84</x:v>
      </x:c>
      <x:c r="F8" s="12" t="str">
        <x:v>SEC / Procter &amp; Gamble</x:v>
      </x:c>
      <x:c r="G8" s="12" t="str">
        <x:v>P&amp;G Announces Fourth Quarter and Fiscal Year 2016 Results</x:v>
      </x:c>
      <x:c r="H8" s="12" t="str">
        <x:v>https://www.sec.gov/Archives/edgar/data/80424/000008042416000202/fy1516q4amj8-kexhibit991.htm</x:v>
      </x:c>
      <x:c r="I8" s="12" t="str">
        <x:v>OPENED/VERIFIED</x:v>
      </x:c>
      <x:c r="J8" s="12" t="str">
        <x:v>PASS</x:v>
      </x:c>
      <x:c r="K8" s="12" t="str">
        <x:v>PASS</x:v>
      </x:c>
      <x:c r="L8" s="12" t="str">
        <x:v>PASS</x:v>
      </x:c>
      <x:c r="M8" s="12" t="str">
        <x:v>NO</x:v>
      </x:c>
      <x:c r="N8" s="12" t="str">
        <x:v>PASS</x:v>
      </x:c>
      <x:c r="O8" s="12" t="str">
        <x:v>FACTUAL</x:v>
      </x:c>
      <x:c r="P8" s="12" t="str">
        <x:v>PASS</x:v>
      </x:c>
      <x:c r="Q8" s="12" t="str">
        <x:v>Checked for PG/Procter &amp; Gamble identity, correct event/catalyst, displayed date, timing window and prohibited-source origin.</x:v>
      </x:c>
    </x:row>
    <x:row r="9">
      <x:c r="A9" s="12" t="str">
        <x:v>2016-10-25</x:v>
      </x:c>
      <x:c r="B9" s="12" t="str">
        <x:v>PG</x:v>
      </x:c>
      <x:c r="C9" s="12" t="str">
        <x:v>release</x:v>
      </x:c>
      <x:c r="D9" s="12" t="str">
        <x:v>2016-10-25</x:v>
      </x:c>
      <x:c r="E9" s="12" t="n">
        <x:v>0</x:v>
      </x:c>
      <x:c r="F9" s="12" t="str">
        <x:v>SEC / Procter &amp; Gamble</x:v>
      </x:c>
      <x:c r="G9" s="12" t="str">
        <x:v>P&amp;G FY2017 Q1 Earnings 8-K</x:v>
      </x:c>
      <x:c r="H9" s="12" t="str">
        <x:v>https://www.sec.gov/Archives/edgar/data/80424/000008042416000238/fy1617q1jas8-kcoverpage.htm</x:v>
      </x:c>
      <x:c r="I9" s="12" t="str">
        <x:v>OPENED/VERIFIED</x:v>
      </x:c>
      <x:c r="J9" s="12" t="str">
        <x:v>PASS</x:v>
      </x:c>
      <x:c r="K9" s="12" t="str">
        <x:v>PASS</x:v>
      </x:c>
      <x:c r="L9" s="12" t="str">
        <x:v>PASS</x:v>
      </x:c>
      <x:c r="M9" s="12" t="str">
        <x:v>NO</x:v>
      </x:c>
      <x:c r="N9" s="12" t="str">
        <x:v>PASS</x:v>
      </x:c>
      <x:c r="O9" s="12" t="str">
        <x:v>FACTUAL</x:v>
      </x:c>
      <x:c r="P9" s="12" t="str">
        <x:v>PASS</x:v>
      </x:c>
      <x:c r="Q9" s="12" t="str">
        <x:v>Checked for PG/Procter &amp; Gamble identity, correct event/catalyst, displayed date, timing window and prohibited-source origin.</x:v>
      </x:c>
    </x:row>
    <x:row r="10">
      <x:c r="A10" s="12" t="str">
        <x:v>2016-10-25</x:v>
      </x:c>
      <x:c r="B10" s="12" t="str">
        <x:v>PG</x:v>
      </x:c>
      <x:c r="C10" s="12" t="str">
        <x:v>reaction</x:v>
      </x:c>
      <x:c r="D10" s="12" t="str">
        <x:v>2016-10-25</x:v>
      </x:c>
      <x:c r="E10" s="12" t="n">
        <x:v>0</x:v>
      </x:c>
      <x:c r="F10" s="12" t="str">
        <x:v>The Motley Fool</x:v>
      </x:c>
      <x:c r="G10" s="12" t="str">
        <x:v>What Happened in the Stock Market Today</x:v>
      </x:c>
      <x:c r="H10" s="12" t="str">
        <x:v>https://www.fool.com/investing/2016/10/25/what-happened-in-the-stock-market-today.aspx</x:v>
      </x:c>
      <x:c r="I10" s="12" t="str">
        <x:v>OPENED/VERIFIED</x:v>
      </x:c>
      <x:c r="J10" s="12" t="str">
        <x:v>PASS</x:v>
      </x:c>
      <x:c r="K10" s="12" t="str">
        <x:v>PASS</x:v>
      </x:c>
      <x:c r="L10" s="12" t="str">
        <x:v>PASS</x:v>
      </x:c>
      <x:c r="M10" s="12" t="str">
        <x:v>NO</x:v>
      </x:c>
      <x:c r="N10" s="12" t="str">
        <x:v>PASS</x:v>
      </x:c>
      <x:c r="O10" s="12" t="str">
        <x:v>CONTEMPORANEOUS_ATTRIBUTION</x:v>
      </x:c>
      <x:c r="P10" s="12" t="str">
        <x:v>PASS</x:v>
      </x:c>
      <x:c r="Q10" s="12" t="str">
        <x:v>Checked for PG/Procter &amp; Gamble identity, correct event/catalyst, displayed date, timing window and prohibited-source origin.</x:v>
      </x:c>
    </x:row>
    <x:row r="11">
      <x:c r="A11" s="12" t="str">
        <x:v>2017-01-20</x:v>
      </x:c>
      <x:c r="B11" s="12" t="str">
        <x:v>PG</x:v>
      </x:c>
      <x:c r="C11" s="12" t="str">
        <x:v>prior</x:v>
      </x:c>
      <x:c r="D11" s="12" t="str">
        <x:v>2016-10-25</x:v>
      </x:c>
      <x:c r="E11" s="12" t="n">
        <x:v>-87</x:v>
      </x:c>
      <x:c r="F11" s="12" t="str">
        <x:v>SEC / Procter &amp; Gamble</x:v>
      </x:c>
      <x:c r="G11" s="12" t="str">
        <x:v>P&amp;G FY2017 Q1 Earnings 8-K</x:v>
      </x:c>
      <x:c r="H11" s="12" t="str">
        <x:v>https://www.sec.gov/Archives/edgar/data/80424/000008042416000238/fy1617q1jas8-kcoverpage.htm</x:v>
      </x:c>
      <x:c r="I11" s="12" t="str">
        <x:v>OPENED/VERIFIED</x:v>
      </x:c>
      <x:c r="J11" s="12" t="str">
        <x:v>PASS</x:v>
      </x:c>
      <x:c r="K11" s="12" t="str">
        <x:v>PASS</x:v>
      </x:c>
      <x:c r="L11" s="12" t="str">
        <x:v>PASS</x:v>
      </x:c>
      <x:c r="M11" s="12" t="str">
        <x:v>NO</x:v>
      </x:c>
      <x:c r="N11" s="12" t="str">
        <x:v>PASS</x:v>
      </x:c>
      <x:c r="O11" s="12" t="str">
        <x:v>FACTUAL</x:v>
      </x:c>
      <x:c r="P11" s="12" t="str">
        <x:v>PASS</x:v>
      </x:c>
      <x:c r="Q11" s="12" t="str">
        <x:v>Checked for PG/Procter &amp; Gamble identity, correct event/catalyst, displayed date, timing window and prohibited-source origin.</x:v>
      </x:c>
    </x:row>
    <x:row r="12">
      <x:c r="A12" s="12" t="str">
        <x:v>2017-01-20</x:v>
      </x:c>
      <x:c r="B12" s="12" t="str">
        <x:v>PG</x:v>
      </x:c>
      <x:c r="C12" s="12" t="str">
        <x:v>release</x:v>
      </x:c>
      <x:c r="D12" s="12" t="str">
        <x:v>2017-01-20</x:v>
      </x:c>
      <x:c r="E12" s="12" t="n">
        <x:v>0</x:v>
      </x:c>
      <x:c r="F12" s="12" t="str">
        <x:v>SEC / Procter &amp; Gamble</x:v>
      </x:c>
      <x:c r="G12" s="12" t="str">
        <x:v>P&amp;G FY2017 Q2 Form 10-Q</x:v>
      </x:c>
      <x:c r="H12" s="12" t="str">
        <x:v>https://www.sec.gov/Archives/edgar/data/80424/000008042417000011/0000080424-17-000011-index.htm</x:v>
      </x:c>
      <x:c r="I12" s="12" t="str">
        <x:v>OPENED/VERIFIED</x:v>
      </x:c>
      <x:c r="J12" s="12" t="str">
        <x:v>PASS</x:v>
      </x:c>
      <x:c r="K12" s="12" t="str">
        <x:v>PASS</x:v>
      </x:c>
      <x:c r="L12" s="12" t="str">
        <x:v>PASS</x:v>
      </x:c>
      <x:c r="M12" s="12" t="str">
        <x:v>NO</x:v>
      </x:c>
      <x:c r="N12" s="12" t="str">
        <x:v>PASS</x:v>
      </x:c>
      <x:c r="O12" s="12" t="str">
        <x:v>FACTUAL</x:v>
      </x:c>
      <x:c r="P12" s="12" t="str">
        <x:v>PASS</x:v>
      </x:c>
      <x:c r="Q12" s="12" t="str">
        <x:v>Checked for PG/Procter &amp; Gamble identity, correct event/catalyst, displayed date, timing window and prohibited-source origin.</x:v>
      </x:c>
    </x:row>
    <x:row r="13">
      <x:c r="A13" s="12" t="str">
        <x:v>2017-01-20</x:v>
      </x:c>
      <x:c r="B13" s="12" t="str">
        <x:v>PG</x:v>
      </x:c>
      <x:c r="C13" s="12" t="str">
        <x:v>reaction</x:v>
      </x:c>
      <x:c r="D13" s="12" t="str">
        <x:v>2017-01-20</x:v>
      </x:c>
      <x:c r="E13" s="12" t="n">
        <x:v>0</x:v>
      </x:c>
      <x:c r="F13" s="12" t="str">
        <x:v>TheStreet</x:v>
      </x:c>
      <x:c r="G13" s="12" t="str">
        <x:v>Procter &amp; Gamble Popped Despite 'Unprecedented' Amount of Geopolitical Disruption and Uncertainty</x:v>
      </x:c>
      <x:c r="H13" s="12" t="str">
        <x:v>https://www.thestreet.com/investing/stocks/procter-amp-gamble-stock-gains-as-q2-results-top-expectations-13960333</x:v>
      </x:c>
      <x:c r="I13" s="12" t="str">
        <x:v>OPENED/VERIFIED</x:v>
      </x:c>
      <x:c r="J13" s="12" t="str">
        <x:v>PASS</x:v>
      </x:c>
      <x:c r="K13" s="12" t="str">
        <x:v>PASS</x:v>
      </x:c>
      <x:c r="L13" s="12" t="str">
        <x:v>PASS</x:v>
      </x:c>
      <x:c r="M13" s="12" t="str">
        <x:v>NO</x:v>
      </x:c>
      <x:c r="N13" s="12" t="str">
        <x:v>PASS</x:v>
      </x:c>
      <x:c r="O13" s="12" t="str">
        <x:v>CONTEMPORANEOUS_ATTRIBUTION</x:v>
      </x:c>
      <x:c r="P13" s="12" t="str">
        <x:v>PASS</x:v>
      </x:c>
      <x:c r="Q13" s="12" t="str">
        <x:v>Checked for PG/Procter &amp; Gamble identity, correct event/catalyst, displayed date, timing window and prohibited-source origin.</x:v>
      </x:c>
    </x:row>
    <x:row r="14">
      <x:c r="A14" s="12" t="str">
        <x:v>2017-04-26</x:v>
      </x:c>
      <x:c r="B14" s="12" t="str">
        <x:v>PG</x:v>
      </x:c>
      <x:c r="C14" s="12" t="str">
        <x:v>prior</x:v>
      </x:c>
      <x:c r="D14" s="12" t="str">
        <x:v>2017-01-20</x:v>
      </x:c>
      <x:c r="E14" s="12" t="n">
        <x:v>-96</x:v>
      </x:c>
      <x:c r="F14" s="12" t="str">
        <x:v>SEC / Procter &amp; Gamble</x:v>
      </x:c>
      <x:c r="G14" s="12" t="str">
        <x:v>P&amp;G FY2017 Q2 Form 10-Q</x:v>
      </x:c>
      <x:c r="H14" s="12" t="str">
        <x:v>https://www.sec.gov/Archives/edgar/data/80424/000008042417000011/0000080424-17-000011-index.htm</x:v>
      </x:c>
      <x:c r="I14" s="12" t="str">
        <x:v>OPENED/VERIFIED</x:v>
      </x:c>
      <x:c r="J14" s="12" t="str">
        <x:v>PASS</x:v>
      </x:c>
      <x:c r="K14" s="12" t="str">
        <x:v>PASS</x:v>
      </x:c>
      <x:c r="L14" s="12" t="str">
        <x:v>PASS</x:v>
      </x:c>
      <x:c r="M14" s="12" t="str">
        <x:v>NO</x:v>
      </x:c>
      <x:c r="N14" s="12" t="str">
        <x:v>PASS</x:v>
      </x:c>
      <x:c r="O14" s="12" t="str">
        <x:v>FACTUAL</x:v>
      </x:c>
      <x:c r="P14" s="12" t="str">
        <x:v>PASS</x:v>
      </x:c>
      <x:c r="Q14" s="12" t="str">
        <x:v>Checked for PG/Procter &amp; Gamble identity, correct event/catalyst, displayed date, timing window and prohibited-source origin.</x:v>
      </x:c>
    </x:row>
    <x:row r="15">
      <x:c r="A15" s="12" t="str">
        <x:v>2017-04-26</x:v>
      </x:c>
      <x:c r="B15" s="12" t="str">
        <x:v>PG</x:v>
      </x:c>
      <x:c r="C15" s="12" t="str">
        <x:v>release</x:v>
      </x:c>
      <x:c r="D15" s="12" t="str">
        <x:v>2017-04-26</x:v>
      </x:c>
      <x:c r="E15" s="12" t="n">
        <x:v>0</x:v>
      </x:c>
      <x:c r="F15" s="12" t="str">
        <x:v>SEC / Procter &amp; Gamble</x:v>
      </x:c>
      <x:c r="G15" s="12" t="str">
        <x:v>P&amp;G FY2017 Q3 Form 10-Q</x:v>
      </x:c>
      <x:c r="H15" s="12" t="str">
        <x:v>https://www.sec.gov/Archives/edgar/data/80424/000008042417000026/fy1617q3jfm10-qreport.htm</x:v>
      </x:c>
      <x:c r="I15" s="12" t="str">
        <x:v>OPENED/VERIFIED</x:v>
      </x:c>
      <x:c r="J15" s="12" t="str">
        <x:v>PASS</x:v>
      </x:c>
      <x:c r="K15" s="12" t="str">
        <x:v>PASS</x:v>
      </x:c>
      <x:c r="L15" s="12" t="str">
        <x:v>PASS</x:v>
      </x:c>
      <x:c r="M15" s="12" t="str">
        <x:v>NO</x:v>
      </x:c>
      <x:c r="N15" s="12" t="str">
        <x:v>PASS</x:v>
      </x:c>
      <x:c r="O15" s="12" t="str">
        <x:v>FACTUAL</x:v>
      </x:c>
      <x:c r="P15" s="12" t="str">
        <x:v>PASS</x:v>
      </x:c>
      <x:c r="Q15" s="12" t="str">
        <x:v>Checked for PG/Procter &amp; Gamble identity, correct event/catalyst, displayed date, timing window and prohibited-source origin.</x:v>
      </x:c>
    </x:row>
    <x:row r="16">
      <x:c r="A16" s="12" t="str">
        <x:v>2017-04-26</x:v>
      </x:c>
      <x:c r="B16" s="12" t="str">
        <x:v>PG</x:v>
      </x:c>
      <x:c r="C16" s="12" t="str">
        <x:v>reaction</x:v>
      </x:c>
      <x:c r="D16" s="12" t="str">
        <x:v>2017-04-28</x:v>
      </x:c>
      <x:c r="E16" s="12" t="n">
        <x:v>2</x:v>
      </x:c>
      <x:c r="F16" s="12" t="str">
        <x:v>The Motley Fool</x:v>
      </x:c>
      <x:c r="G16" s="12" t="str">
        <x:v>Procter &amp; Gamble Co. Earnings Drop on Industry Slowdown</x:v>
      </x:c>
      <x:c r="H16" s="12" t="str">
        <x:v>https://www.fool.com/investing/2017/04/28/procter-gamble-co-earnings-drop-on-industry-slowdo.aspx</x:v>
      </x:c>
      <x:c r="I16" s="12" t="str">
        <x:v>OPENED/VERIFIED</x:v>
      </x:c>
      <x:c r="J16" s="12" t="str">
        <x:v>PASS</x:v>
      </x:c>
      <x:c r="K16" s="12" t="str">
        <x:v>PASS</x:v>
      </x:c>
      <x:c r="L16" s="12" t="str">
        <x:v>PASS</x:v>
      </x:c>
      <x:c r="M16" s="12" t="str">
        <x:v>NO</x:v>
      </x:c>
      <x:c r="N16" s="12" t="str">
        <x:v>PASS</x:v>
      </x:c>
      <x:c r="O16" s="12" t="str">
        <x:v>CONTEMPORANEOUS_ATTRIBUTION</x:v>
      </x:c>
      <x:c r="P16" s="12" t="str">
        <x:v>PASS</x:v>
      </x:c>
      <x:c r="Q16" s="12" t="str">
        <x:v>Checked for PG/Procter &amp; Gamble identity, correct event/catalyst, displayed date, timing window and prohibited-source origin.</x:v>
      </x:c>
    </x:row>
    <x:row r="17">
      <x:c r="A17" s="12" t="str">
        <x:v>2017-07-27</x:v>
      </x:c>
      <x:c r="B17" s="12" t="str">
        <x:v>PG</x:v>
      </x:c>
      <x:c r="C17" s="12" t="str">
        <x:v>prior</x:v>
      </x:c>
      <x:c r="D17" s="12" t="str">
        <x:v>2017-04-26</x:v>
      </x:c>
      <x:c r="E17" s="12" t="n">
        <x:v>-92</x:v>
      </x:c>
      <x:c r="F17" s="12" t="str">
        <x:v>SEC / Procter &amp; Gamble</x:v>
      </x:c>
      <x:c r="G17" s="12" t="str">
        <x:v>P&amp;G FY2017 Q3 Form 10-Q</x:v>
      </x:c>
      <x:c r="H17" s="12" t="str">
        <x:v>https://www.sec.gov/Archives/edgar/data/80424/000008042417000026/fy1617q3jfm10-qreport.htm</x:v>
      </x:c>
      <x:c r="I17" s="12" t="str">
        <x:v>OPENED/VERIFIED</x:v>
      </x:c>
      <x:c r="J17" s="12" t="str">
        <x:v>PASS</x:v>
      </x:c>
      <x:c r="K17" s="12" t="str">
        <x:v>PASS</x:v>
      </x:c>
      <x:c r="L17" s="12" t="str">
        <x:v>PASS</x:v>
      </x:c>
      <x:c r="M17" s="12" t="str">
        <x:v>NO</x:v>
      </x:c>
      <x:c r="N17" s="12" t="str">
        <x:v>PASS</x:v>
      </x:c>
      <x:c r="O17" s="12" t="str">
        <x:v>FACTUAL</x:v>
      </x:c>
      <x:c r="P17" s="12" t="str">
        <x:v>PASS</x:v>
      </x:c>
      <x:c r="Q17" s="12" t="str">
        <x:v>Checked for PG/Procter &amp; Gamble identity, correct event/catalyst, displayed date, timing window and prohibited-source origin.</x:v>
      </x:c>
    </x:row>
    <x:row r="18">
      <x:c r="A18" s="12" t="str">
        <x:v>2017-07-27</x:v>
      </x:c>
      <x:c r="B18" s="12" t="str">
        <x:v>PG</x:v>
      </x:c>
      <x:c r="C18" s="12" t="str">
        <x:v>release</x:v>
      </x:c>
      <x:c r="D18" s="12" t="str">
        <x:v>2017-07-27</x:v>
      </x:c>
      <x:c r="E18" s="12" t="n">
        <x:v>0</x:v>
      </x:c>
      <x:c r="F18" s="12" t="str">
        <x:v>SEC / Procter &amp; Gamble</x:v>
      </x:c>
      <x:c r="G18" s="12" t="str">
        <x:v>P&amp;G FY2017 Q4 Earnings 8-K</x:v>
      </x:c>
      <x:c r="H18" s="12" t="str">
        <x:v>https://www.sec.gov/Archives/edgar/data/80424/000008042417000039/0000080424-17-000039-index.html</x:v>
      </x:c>
      <x:c r="I18" s="12" t="str">
        <x:v>OPENED/VERIFIED</x:v>
      </x:c>
      <x:c r="J18" s="12" t="str">
        <x:v>PASS</x:v>
      </x:c>
      <x:c r="K18" s="12" t="str">
        <x:v>PASS</x:v>
      </x:c>
      <x:c r="L18" s="12" t="str">
        <x:v>PASS</x:v>
      </x:c>
      <x:c r="M18" s="12" t="str">
        <x:v>NO</x:v>
      </x:c>
      <x:c r="N18" s="12" t="str">
        <x:v>PASS</x:v>
      </x:c>
      <x:c r="O18" s="12" t="str">
        <x:v>FACTUAL</x:v>
      </x:c>
      <x:c r="P18" s="12" t="str">
        <x:v>PASS</x:v>
      </x:c>
      <x:c r="Q18" s="12" t="str">
        <x:v>Checked for PG/Procter &amp; Gamble identity, correct event/catalyst, displayed date, timing window and prohibited-source origin.</x:v>
      </x:c>
    </x:row>
    <x:row r="19">
      <x:c r="A19" s="12" t="str">
        <x:v>2017-07-27</x:v>
      </x:c>
      <x:c r="B19" s="12" t="str">
        <x:v>PG</x:v>
      </x:c>
      <x:c r="C19" s="12" t="str">
        <x:v>reaction</x:v>
      </x:c>
      <x:c r="D19" s="12" t="str">
        <x:v>2017-07-27</x:v>
      </x:c>
      <x:c r="E19" s="12" t="n">
        <x:v>0</x:v>
      </x:c>
      <x:c r="F19" s="12" t="str">
        <x:v>TheStreet</x:v>
      </x:c>
      <x:c r="G19" s="12" t="str">
        <x:v>Here's What Procter &amp; Gamble's CEO Had to Say About His New Activist Investor</x:v>
      </x:c>
      <x:c r="H19" s="12" t="str">
        <x:v>https://www.thestreet.com/investing/stocks/procter-amp-gamble-trounces-profit-estimates-sticks-it-to-activist-investor-14244398</x:v>
      </x:c>
      <x:c r="I19" s="12" t="str">
        <x:v>OPENED/VERIFIED</x:v>
      </x:c>
      <x:c r="J19" s="12" t="str">
        <x:v>PASS</x:v>
      </x:c>
      <x:c r="K19" s="12" t="str">
        <x:v>PASS</x:v>
      </x:c>
      <x:c r="L19" s="12" t="str">
        <x:v>PASS</x:v>
      </x:c>
      <x:c r="M19" s="12" t="str">
        <x:v>NO</x:v>
      </x:c>
      <x:c r="N19" s="12" t="str">
        <x:v>PASS</x:v>
      </x:c>
      <x:c r="O19" s="12" t="str">
        <x:v>CONTEMPORANEOUS_ATTRIBUTION</x:v>
      </x:c>
      <x:c r="P19" s="12" t="str">
        <x:v>PASS</x:v>
      </x:c>
      <x:c r="Q19" s="12" t="str">
        <x:v>Checked for PG/Procter &amp; Gamble identity, correct event/catalyst, displayed date, timing window and prohibited-source origin.</x:v>
      </x:c>
    </x:row>
    <x:row r="20">
      <x:c r="A20" s="12" t="str">
        <x:v>2017-10-20</x:v>
      </x:c>
      <x:c r="B20" s="12" t="str">
        <x:v>PG</x:v>
      </x:c>
      <x:c r="C20" s="12" t="str">
        <x:v>prior</x:v>
      </x:c>
      <x:c r="D20" s="12" t="str">
        <x:v>2017-07-27</x:v>
      </x:c>
      <x:c r="E20" s="12" t="n">
        <x:v>-85</x:v>
      </x:c>
      <x:c r="F20" s="12" t="str">
        <x:v>SEC / Procter &amp; Gamble</x:v>
      </x:c>
      <x:c r="G20" s="12" t="str">
        <x:v>P&amp;G FY2017 Q4 Earnings 8-K</x:v>
      </x:c>
      <x:c r="H20" s="12" t="str">
        <x:v>https://www.sec.gov/Archives/edgar/data/80424/000008042417000039/0000080424-17-000039-index.html</x:v>
      </x:c>
      <x:c r="I20" s="12" t="str">
        <x:v>OPENED/VERIFIED</x:v>
      </x:c>
      <x:c r="J20" s="12" t="str">
        <x:v>PASS</x:v>
      </x:c>
      <x:c r="K20" s="12" t="str">
        <x:v>PASS</x:v>
      </x:c>
      <x:c r="L20" s="12" t="str">
        <x:v>PASS</x:v>
      </x:c>
      <x:c r="M20" s="12" t="str">
        <x:v>NO</x:v>
      </x:c>
      <x:c r="N20" s="12" t="str">
        <x:v>PASS</x:v>
      </x:c>
      <x:c r="O20" s="12" t="str">
        <x:v>FACTUAL</x:v>
      </x:c>
      <x:c r="P20" s="12" t="str">
        <x:v>PASS</x:v>
      </x:c>
      <x:c r="Q20" s="12" t="str">
        <x:v>Checked for PG/Procter &amp; Gamble identity, correct event/catalyst, displayed date, timing window and prohibited-source origin.</x:v>
      </x:c>
    </x:row>
    <x:row r="21">
      <x:c r="A21" s="12" t="str">
        <x:v>2017-10-20</x:v>
      </x:c>
      <x:c r="B21" s="12" t="str">
        <x:v>PG</x:v>
      </x:c>
      <x:c r="C21" s="12" t="str">
        <x:v>release</x:v>
      </x:c>
      <x:c r="D21" s="12" t="str">
        <x:v>2017-10-20</x:v>
      </x:c>
      <x:c r="E21" s="12" t="n">
        <x:v>0</x:v>
      </x:c>
      <x:c r="F21" s="12" t="str">
        <x:v>SEC / Procter &amp; Gamble</x:v>
      </x:c>
      <x:c r="G21" s="12" t="str">
        <x:v>P&amp;G Announces First Quarter Earnings</x:v>
      </x:c>
      <x:c r="H21" s="12" t="str">
        <x:v>https://d18rn0p25nwr6d.cloudfront.net/CIK-0000080424/8e6af395-5d57-4049-ac7b-243d5bde15f4.html</x:v>
      </x:c>
      <x:c r="I21" s="12" t="str">
        <x:v>OPENED/VERIFIED</x:v>
      </x:c>
      <x:c r="J21" s="12" t="str">
        <x:v>PASS</x:v>
      </x:c>
      <x:c r="K21" s="12" t="str">
        <x:v>PASS</x:v>
      </x:c>
      <x:c r="L21" s="12" t="str">
        <x:v>PASS</x:v>
      </x:c>
      <x:c r="M21" s="12" t="str">
        <x:v>NO</x:v>
      </x:c>
      <x:c r="N21" s="12" t="str">
        <x:v>PASS</x:v>
      </x:c>
      <x:c r="O21" s="12" t="str">
        <x:v>FACTUAL</x:v>
      </x:c>
      <x:c r="P21" s="12" t="str">
        <x:v>PASS</x:v>
      </x:c>
      <x:c r="Q21" s="12" t="str">
        <x:v>Checked for PG/Procter &amp; Gamble identity, correct event/catalyst, displayed date, timing window and prohibited-source origin.</x:v>
      </x:c>
    </x:row>
    <x:row r="22">
      <x:c r="A22" s="12" t="str">
        <x:v>2017-10-20</x:v>
      </x:c>
      <x:c r="B22" s="12" t="str">
        <x:v>PG</x:v>
      </x:c>
      <x:c r="C22" s="12" t="str">
        <x:v>reaction</x:v>
      </x:c>
      <x:c r="D22" s="12" t="str">
        <x:v>2017-10-20</x:v>
      </x:c>
      <x:c r="E22" s="12" t="n">
        <x:v>0</x:v>
      </x:c>
      <x:c r="F22" s="12" t="str">
        <x:v>TheStreet</x:v>
      </x:c>
      <x:c r="G22" s="12" t="str">
        <x:v>P&amp;G Profit In Line as Trian's Nelson Peltz Watches</x:v>
      </x:c>
      <x:c r="H22" s="12" t="str">
        <x:v>https://www.thestreet.com/investing/p-g-profits-in-line-as-trian-s-nelson-peltz-watches-14350897</x:v>
      </x:c>
      <x:c r="I22" s="12" t="str">
        <x:v>OPENED/VERIFIED</x:v>
      </x:c>
      <x:c r="J22" s="12" t="str">
        <x:v>PASS</x:v>
      </x:c>
      <x:c r="K22" s="12" t="str">
        <x:v>PASS</x:v>
      </x:c>
      <x:c r="L22" s="12" t="str">
        <x:v>PASS</x:v>
      </x:c>
      <x:c r="M22" s="12" t="str">
        <x:v>NO</x:v>
      </x:c>
      <x:c r="N22" s="12" t="str">
        <x:v>PASS</x:v>
      </x:c>
      <x:c r="O22" s="12" t="str">
        <x:v>SUPPORTED_INFERENCE</x:v>
      </x:c>
      <x:c r="P22" s="12" t="str">
        <x:v>PASS</x:v>
      </x:c>
      <x:c r="Q22" s="12" t="str">
        <x:v>Checked for PG/Procter &amp; Gamble identity, correct event/catalyst, displayed date, timing window and prohibited-source origin.</x:v>
      </x:c>
    </x:row>
    <x:row r="23">
      <x:c r="A23" s="12" t="str">
        <x:v>2018-01-23</x:v>
      </x:c>
      <x:c r="B23" s="12" t="str">
        <x:v>PG</x:v>
      </x:c>
      <x:c r="C23" s="12" t="str">
        <x:v>prior</x:v>
      </x:c>
      <x:c r="D23" s="12" t="str">
        <x:v>2017-10-20</x:v>
      </x:c>
      <x:c r="E23" s="12" t="n">
        <x:v>-95</x:v>
      </x:c>
      <x:c r="F23" s="12" t="str">
        <x:v>SEC / Procter &amp; Gamble</x:v>
      </x:c>
      <x:c r="G23" s="12" t="str">
        <x:v>P&amp;G Announces First Quarter Earnings</x:v>
      </x:c>
      <x:c r="H23" s="12" t="str">
        <x:v>https://d18rn0p25nwr6d.cloudfront.net/CIK-0000080424/8e6af395-5d57-4049-ac7b-243d5bde15f4.html</x:v>
      </x:c>
      <x:c r="I23" s="12" t="str">
        <x:v>OPENED/VERIFIED</x:v>
      </x:c>
      <x:c r="J23" s="12" t="str">
        <x:v>PASS</x:v>
      </x:c>
      <x:c r="K23" s="12" t="str">
        <x:v>PASS</x:v>
      </x:c>
      <x:c r="L23" s="12" t="str">
        <x:v>PASS</x:v>
      </x:c>
      <x:c r="M23" s="12" t="str">
        <x:v>NO</x:v>
      </x:c>
      <x:c r="N23" s="12" t="str">
        <x:v>PASS</x:v>
      </x:c>
      <x:c r="O23" s="12" t="str">
        <x:v>FACTUAL</x:v>
      </x:c>
      <x:c r="P23" s="12" t="str">
        <x:v>PASS</x:v>
      </x:c>
      <x:c r="Q23" s="12" t="str">
        <x:v>Checked for PG/Procter &amp; Gamble identity, correct event/catalyst, displayed date, timing window and prohibited-source origin.</x:v>
      </x:c>
    </x:row>
    <x:row r="24">
      <x:c r="A24" s="12" t="str">
        <x:v>2018-01-23</x:v>
      </x:c>
      <x:c r="B24" s="12" t="str">
        <x:v>PG</x:v>
      </x:c>
      <x:c r="C24" s="12" t="str">
        <x:v>release</x:v>
      </x:c>
      <x:c r="D24" s="12" t="str">
        <x:v>2018-01-23</x:v>
      </x:c>
      <x:c r="E24" s="12" t="n">
        <x:v>0</x:v>
      </x:c>
      <x:c r="F24" s="12" t="str">
        <x:v>SEC / Procter &amp; Gamble</x:v>
      </x:c>
      <x:c r="G24" s="12" t="str">
        <x:v>P&amp;G FY2018 Q2 Earnings 8-K</x:v>
      </x:c>
      <x:c r="H24" s="12" t="str">
        <x:v>https://www.sec.gov/Archives/edgar/data/80424/000008042418000009/fy1718q2ond8-kcoverpage.htm</x:v>
      </x:c>
      <x:c r="I24" s="12" t="str">
        <x:v>OPENED/VERIFIED</x:v>
      </x:c>
      <x:c r="J24" s="12" t="str">
        <x:v>PASS</x:v>
      </x:c>
      <x:c r="K24" s="12" t="str">
        <x:v>PASS</x:v>
      </x:c>
      <x:c r="L24" s="12" t="str">
        <x:v>PASS</x:v>
      </x:c>
      <x:c r="M24" s="12" t="str">
        <x:v>NO</x:v>
      </x:c>
      <x:c r="N24" s="12" t="str">
        <x:v>PASS</x:v>
      </x:c>
      <x:c r="O24" s="12" t="str">
        <x:v>FACTUAL</x:v>
      </x:c>
      <x:c r="P24" s="12" t="str">
        <x:v>PASS</x:v>
      </x:c>
      <x:c r="Q24" s="12" t="str">
        <x:v>Checked for PG/Procter &amp; Gamble identity, correct event/catalyst, displayed date, timing window and prohibited-source origin.</x:v>
      </x:c>
    </x:row>
    <x:row r="25">
      <x:c r="A25" s="12" t="str">
        <x:v>2018-01-23</x:v>
      </x:c>
      <x:c r="B25" s="12" t="str">
        <x:v>PG</x:v>
      </x:c>
      <x:c r="C25" s="12" t="str">
        <x:v>reaction</x:v>
      </x:c>
      <x:c r="D25" s="12" t="str">
        <x:v>2018-01-23</x:v>
      </x:c>
      <x:c r="E25" s="12" t="n">
        <x:v>0</x:v>
      </x:c>
      <x:c r="F25" s="12" t="str">
        <x:v>InvestorPlace</x:v>
      </x:c>
      <x:c r="G25" s="12" t="str">
        <x:v>Procter &amp; Gamble Co Stock Slides With Earnings That Are Just OK</x:v>
      </x:c>
      <x:c r="H25" s="12" t="str">
        <x:v>https://investorplace.com/2018/01/pg-stock-slides-earnings-ok/</x:v>
      </x:c>
      <x:c r="I25" s="12" t="str">
        <x:v>OPENED/VERIFIED</x:v>
      </x:c>
      <x:c r="J25" s="12" t="str">
        <x:v>PASS</x:v>
      </x:c>
      <x:c r="K25" s="12" t="str">
        <x:v>PASS</x:v>
      </x:c>
      <x:c r="L25" s="12" t="str">
        <x:v>PASS</x:v>
      </x:c>
      <x:c r="M25" s="12" t="str">
        <x:v>NO</x:v>
      </x:c>
      <x:c r="N25" s="12" t="str">
        <x:v>PASS</x:v>
      </x:c>
      <x:c r="O25" s="12" t="str">
        <x:v>CONTEMPORANEOUS_ATTRIBUTION</x:v>
      </x:c>
      <x:c r="P25" s="12" t="str">
        <x:v>PASS</x:v>
      </x:c>
      <x:c r="Q25" s="12" t="str">
        <x:v>Checked for PG/Procter &amp; Gamble identity, correct event/catalyst, displayed date, timing window and prohibited-source origin.</x:v>
      </x:c>
    </x:row>
    <x:row r="26">
      <x:c r="A26" s="12" t="str">
        <x:v>2018-04-19</x:v>
      </x:c>
      <x:c r="B26" s="12" t="str">
        <x:v>PG</x:v>
      </x:c>
      <x:c r="C26" s="12" t="str">
        <x:v>prior</x:v>
      </x:c>
      <x:c r="D26" s="12" t="str">
        <x:v>2018-01-23</x:v>
      </x:c>
      <x:c r="E26" s="12" t="n">
        <x:v>-86</x:v>
      </x:c>
      <x:c r="F26" s="12" t="str">
        <x:v>SEC / Procter &amp; Gamble</x:v>
      </x:c>
      <x:c r="G26" s="12" t="str">
        <x:v>P&amp;G FY2018 Q2 Earnings 8-K</x:v>
      </x:c>
      <x:c r="H26" s="12" t="str">
        <x:v>https://www.sec.gov/Archives/edgar/data/80424/000008042418000009/fy1718q2ond8-kcoverpage.htm</x:v>
      </x:c>
      <x:c r="I26" s="12" t="str">
        <x:v>OPENED/VERIFIED</x:v>
      </x:c>
      <x:c r="J26" s="12" t="str">
        <x:v>PASS</x:v>
      </x:c>
      <x:c r="K26" s="12" t="str">
        <x:v>PASS</x:v>
      </x:c>
      <x:c r="L26" s="12" t="str">
        <x:v>PASS</x:v>
      </x:c>
      <x:c r="M26" s="12" t="str">
        <x:v>NO</x:v>
      </x:c>
      <x:c r="N26" s="12" t="str">
        <x:v>PASS</x:v>
      </x:c>
      <x:c r="O26" s="12" t="str">
        <x:v>FACTUAL</x:v>
      </x:c>
      <x:c r="P26" s="12" t="str">
        <x:v>PASS</x:v>
      </x:c>
      <x:c r="Q26" s="12" t="str">
        <x:v>Checked for PG/Procter &amp; Gamble identity, correct event/catalyst, displayed date, timing window and prohibited-source origin.</x:v>
      </x:c>
    </x:row>
    <x:row r="27">
      <x:c r="A27" s="12" t="str">
        <x:v>2018-04-19</x:v>
      </x:c>
      <x:c r="B27" s="12" t="str">
        <x:v>PG</x:v>
      </x:c>
      <x:c r="C27" s="12" t="str">
        <x:v>release</x:v>
      </x:c>
      <x:c r="D27" s="12" t="str">
        <x:v>2018-04-19</x:v>
      </x:c>
      <x:c r="E27" s="12" t="n">
        <x:v>0</x:v>
      </x:c>
      <x:c r="F27" s="12" t="str">
        <x:v>SEC / Procter &amp; Gamble</x:v>
      </x:c>
      <x:c r="G27" s="12" t="str">
        <x:v>P&amp;G Announces Third Quarter Earnings</x:v>
      </x:c>
      <x:c r="H27" s="12" t="str">
        <x:v>https://d18rn0p25nwr6d.cloudfront.net/CIK-0000080424/81c9516d-a5c0-48a8-a827-4cb752e95037.pdf</x:v>
      </x:c>
      <x:c r="I27" s="12" t="str">
        <x:v>OPENED/VERIFIED</x:v>
      </x:c>
      <x:c r="J27" s="12" t="str">
        <x:v>PASS</x:v>
      </x:c>
      <x:c r="K27" s="12" t="str">
        <x:v>PASS</x:v>
      </x:c>
      <x:c r="L27" s="12" t="str">
        <x:v>PASS</x:v>
      </x:c>
      <x:c r="M27" s="12" t="str">
        <x:v>NO</x:v>
      </x:c>
      <x:c r="N27" s="12" t="str">
        <x:v>PASS</x:v>
      </x:c>
      <x:c r="O27" s="12" t="str">
        <x:v>FACTUAL</x:v>
      </x:c>
      <x:c r="P27" s="12" t="str">
        <x:v>PASS</x:v>
      </x:c>
      <x:c r="Q27" s="12" t="str">
        <x:v>Checked for PG/Procter &amp; Gamble identity, correct event/catalyst, displayed date, timing window and prohibited-source origin.</x:v>
      </x:c>
    </x:row>
    <x:row r="28">
      <x:c r="A28" s="12" t="str">
        <x:v>2018-04-19</x:v>
      </x:c>
      <x:c r="B28" s="12" t="str">
        <x:v>PG</x:v>
      </x:c>
      <x:c r="C28" s="12" t="str">
        <x:v>reaction</x:v>
      </x:c>
      <x:c r="D28" s="12" t="str">
        <x:v>2018-04-19</x:v>
      </x:c>
      <x:c r="E28" s="12" t="n">
        <x:v>0</x:v>
      </x:c>
      <x:c r="F28" s="12" t="str">
        <x:v>TheStreet</x:v>
      </x:c>
      <x:c r="G28" s="12" t="str">
        <x:v>P&amp;G Tops Forecasts in Early Q3 Earnings Release Following Merck KGaA Deal</x:v>
      </x:c>
      <x:c r="H28" s="12" t="str">
        <x:v>https://www.thestreet.com/markets/p-g-tops-forecasts-in-early-q3-earnings-release-following-merck-kgaa-deal-14561236</x:v>
      </x:c>
      <x:c r="I28" s="12" t="str">
        <x:v>OPENED/VERIFIED</x:v>
      </x:c>
      <x:c r="J28" s="12" t="str">
        <x:v>PASS</x:v>
      </x:c>
      <x:c r="K28" s="12" t="str">
        <x:v>PASS</x:v>
      </x:c>
      <x:c r="L28" s="12" t="str">
        <x:v>PASS</x:v>
      </x:c>
      <x:c r="M28" s="12" t="str">
        <x:v>NO</x:v>
      </x:c>
      <x:c r="N28" s="12" t="str">
        <x:v>PASS</x:v>
      </x:c>
      <x:c r="O28" s="12" t="str">
        <x:v>CONTEMPORANEOUS_ATTRIBUTION</x:v>
      </x:c>
      <x:c r="P28" s="12" t="str">
        <x:v>PASS</x:v>
      </x:c>
      <x:c r="Q28" s="12" t="str">
        <x:v>Checked for PG/Procter &amp; Gamble identity, correct event/catalyst, displayed date, timing window and prohibited-source origin.</x:v>
      </x:c>
    </x:row>
    <x:row r="29">
      <x:c r="A29" s="12" t="str">
        <x:v>2018-04-19</x:v>
      </x:c>
      <x:c r="B29" s="12" t="str">
        <x:v>PG</x:v>
      </x:c>
      <x:c r="C29" s="12" t="str">
        <x:v>reaction</x:v>
      </x:c>
      <x:c r="D29" s="12" t="str">
        <x:v>2018-04-19</x:v>
      </x:c>
      <x:c r="E29" s="12" t="n">
        <x:v>0</x:v>
      </x:c>
      <x:c r="F29" s="12" t="str">
        <x:v>SEC / Procter &amp; Gamble</x:v>
      </x:c>
      <x:c r="G29" s="12" t="str">
        <x:v>P&amp;G Acquires the Consumer Health Business of Merck KGaA</x:v>
      </x:c>
      <x:c r="H29" s="12" t="str">
        <x:v>https://www.sec.gov/Archives/edgar/data/80424/000008042418000029/merckpressrelease.htm</x:v>
      </x:c>
      <x:c r="I29" s="12" t="str">
        <x:v>OPENED/VERIFIED</x:v>
      </x:c>
      <x:c r="J29" s="12" t="str">
        <x:v>PASS</x:v>
      </x:c>
      <x:c r="K29" s="12" t="str">
        <x:v>PASS</x:v>
      </x:c>
      <x:c r="L29" s="12" t="str">
        <x:v>PASS</x:v>
      </x:c>
      <x:c r="M29" s="12" t="str">
        <x:v>NO</x:v>
      </x:c>
      <x:c r="N29" s="12" t="str">
        <x:v>PASS</x:v>
      </x:c>
      <x:c r="O29" s="12" t="str">
        <x:v>CONTEMPORANEOUS_ATTRIBUTION</x:v>
      </x:c>
      <x:c r="P29" s="12" t="str">
        <x:v>PASS</x:v>
      </x:c>
      <x:c r="Q29" s="12" t="str">
        <x:v>Checked for PG/Procter &amp; Gamble identity, correct event/catalyst, displayed date, timing window and prohibited-source origin.</x:v>
      </x:c>
    </x:row>
    <x:row r="30">
      <x:c r="A30" s="12" t="str">
        <x:v>2018-07-31</x:v>
      </x:c>
      <x:c r="B30" s="12" t="str">
        <x:v>PG</x:v>
      </x:c>
      <x:c r="C30" s="12" t="str">
        <x:v>release</x:v>
      </x:c>
      <x:c r="D30" s="12" t="str">
        <x:v>2018-07-31</x:v>
      </x:c>
      <x:c r="E30" s="12" t="n">
        <x:v>0</x:v>
      </x:c>
      <x:c r="F30" s="12" t="str">
        <x:v>SEC / Procter &amp; Gamble</x:v>
      </x:c>
      <x:c r="G30" s="12" t="str">
        <x:v>P&amp;G FY2018 Q4 Earnings 8-K</x:v>
      </x:c>
      <x:c r="H30" s="12" t="str">
        <x:v>https://www.sec.gov/Archives/edgar/data/80424/000008042418000050/fy1718q4amj8-kcoverpage.htm</x:v>
      </x:c>
      <x:c r="I30" s="12" t="str">
        <x:v>OPENED/VERIFIED</x:v>
      </x:c>
      <x:c r="J30" s="12" t="str">
        <x:v>PASS</x:v>
      </x:c>
      <x:c r="K30" s="12" t="str">
        <x:v>PASS</x:v>
      </x:c>
      <x:c r="L30" s="12" t="str">
        <x:v>PASS</x:v>
      </x:c>
      <x:c r="M30" s="12" t="str">
        <x:v>NO</x:v>
      </x:c>
      <x:c r="N30" s="12" t="str">
        <x:v>PASS</x:v>
      </x:c>
      <x:c r="O30" s="12" t="str">
        <x:v>FACTUAL</x:v>
      </x:c>
      <x:c r="P30" s="12" t="str">
        <x:v>PASS</x:v>
      </x:c>
      <x:c r="Q30" s="12" t="str">
        <x:v>Checked for PG/Procter &amp; Gamble identity, correct event/catalyst, displayed date, timing window and prohibited-source origin.</x:v>
      </x:c>
    </x:row>
    <x:row r="31">
      <x:c r="A31" s="12" t="str">
        <x:v>2018-07-31</x:v>
      </x:c>
      <x:c r="B31" s="12" t="str">
        <x:v>PG</x:v>
      </x:c>
      <x:c r="C31" s="12" t="str">
        <x:v>reaction</x:v>
      </x:c>
      <x:c r="D31" s="12" t="str">
        <x:v>2018-07-31</x:v>
      </x:c>
      <x:c r="E31" s="12" t="n">
        <x:v>0</x:v>
      </x:c>
      <x:c r="F31" s="12" t="str">
        <x:v>Fox Business</x:v>
      </x:c>
      <x:c r="G31" s="12" t="str">
        <x:v>Procter &amp; Gamble's reports mixed 4Q results</x:v>
      </x:c>
      <x:c r="H31" s="12" t="str">
        <x:v>https://www.foxbusiness.com/markets/procter-gambles-4q-earnings-top-estimates</x:v>
      </x:c>
      <x:c r="I31" s="12" t="str">
        <x:v>OPENED/VERIFIED</x:v>
      </x:c>
      <x:c r="J31" s="12" t="str">
        <x:v>PASS</x:v>
      </x:c>
      <x:c r="K31" s="12" t="str">
        <x:v>PASS</x:v>
      </x:c>
      <x:c r="L31" s="12" t="str">
        <x:v>PASS</x:v>
      </x:c>
      <x:c r="M31" s="12" t="str">
        <x:v>NO</x:v>
      </x:c>
      <x:c r="N31" s="12" t="str">
        <x:v>PASS</x:v>
      </x:c>
      <x:c r="O31" s="12" t="str">
        <x:v>SUPPORTED_INFERENCE</x:v>
      </x:c>
      <x:c r="P31" s="12" t="str">
        <x:v>PASS</x:v>
      </x:c>
      <x:c r="Q31" s="12" t="str">
        <x:v>Checked for PG/Procter &amp; Gamble identity, correct event/catalyst, displayed date, timing window and prohibited-source origin.</x:v>
      </x:c>
    </x:row>
    <x:row r="32">
      <x:c r="A32" s="12" t="str">
        <x:v>2018-07-31</x:v>
      </x:c>
      <x:c r="B32" s="12" t="str">
        <x:v>PG</x:v>
      </x:c>
      <x:c r="C32" s="12" t="str">
        <x:v>reaction</x:v>
      </x:c>
      <x:c r="D32" s="12" t="str">
        <x:v>2018-07-31</x:v>
      </x:c>
      <x:c r="E32" s="12" t="n">
        <x:v>0</x:v>
      </x:c>
      <x:c r="F32" s="12" t="str">
        <x:v>The Motley Fool</x:v>
      </x:c>
      <x:c r="G32" s="12" t="str">
        <x:v>Procter &amp; Gamble Q4 2018 Earnings Conference Call Transcript</x:v>
      </x:c>
      <x:c r="H32" s="12" t="str">
        <x:v>https://www.fool.com/earnings/call-transcripts/2018/07/31/procter-gamble-company-the-pg-q4-2018-earnings-con.aspx</x:v>
      </x:c>
      <x:c r="I32" s="12" t="str">
        <x:v>OPENED/VERIFIED</x:v>
      </x:c>
      <x:c r="J32" s="12" t="str">
        <x:v>PASS</x:v>
      </x:c>
      <x:c r="K32" s="12" t="str">
        <x:v>PASS</x:v>
      </x:c>
      <x:c r="L32" s="12" t="str">
        <x:v>PASS</x:v>
      </x:c>
      <x:c r="M32" s="12" t="str">
        <x:v>NO</x:v>
      </x:c>
      <x:c r="N32" s="12" t="str">
        <x:v>PASS</x:v>
      </x:c>
      <x:c r="O32" s="12" t="str">
        <x:v>CONTEMPORANEOUS_ATTRIBUTION</x:v>
      </x:c>
      <x:c r="P32" s="12" t="str">
        <x:v>PASS</x:v>
      </x:c>
      <x:c r="Q32" s="12" t="str">
        <x:v>Checked for PG/Procter &amp; Gamble identity, correct event/catalyst, displayed date, timing window and prohibited-source origin.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" hidden="0" customWidth="1"/>
    <x:col min="3" max="3" width="13" hidden="0" customWidth="1"/>
    <x:col min="4" max="4" width="16" hidden="0" customWidth="1"/>
    <x:col min="5" max="5" width="18" hidden="0" customWidth="1"/>
    <x:col min="6" max="6" width="20" hidden="0" customWidth="1"/>
    <x:col min="7" max="7" width="20" hidden="0" customWidth="1"/>
    <x:col min="8" max="8" width="18" hidden="0" customWidth="1"/>
    <x:col min="9" max="9" width="14" hidden="0" customWidth="1"/>
    <x:col min="10" max="10" width="23" hidden="0" customWidth="1"/>
    <x:col min="11" max="11" width="14" hidden="0" customWidth="1"/>
  </x:cols>
  <x:sheetData>
    <x:row r="1">
      <x:c r="A1" s="5" t="str">
        <x:v>earnings_date</x:v>
      </x:c>
      <x:c r="B1" s="5" t="str">
        <x:v>ticker</x:v>
      </x:c>
      <x:c r="C1" s="5" t="str">
        <x:v>ret_1day_pct</x:v>
      </x:c>
      <x:c r="D1" s="5" t="str">
        <x:v>ret_1daypost_pct</x:v>
      </x:c>
      <x:c r="E1" s="5" t="str">
        <x:v>reaction_basis</x:v>
      </x:c>
      <x:c r="F1" s="5" t="str">
        <x:v>computed_direction</x:v>
      </x:c>
      <x:c r="G1" s="5" t="str">
        <x:v>narrative_direction</x:v>
      </x:c>
      <x:c r="H1" s="5" t="str">
        <x:v>direction_match</x:v>
      </x:c>
      <x:c r="I1" s="5" t="str">
        <x:v>source_count</x:v>
      </x:c>
      <x:c r="J1" s="5" t="str">
        <x:v>source_audit_pass_count</x:v>
      </x:c>
      <x:c r="K1" s="5" t="str">
        <x:v>qa_status</x:v>
      </x:c>
    </x:row>
    <x:row r="2">
      <x:c r="A2" t="str">
        <x:v>2016-04-26</x:v>
      </x:c>
      <x:c r="B2" t="str">
        <x:v>PG</x:v>
      </x:c>
      <x:c r="C2" s="20" t="n">
        <x:v>-2.62</x:v>
      </x:c>
      <x:c r="D2" s="20" t="n">
        <x:v>0.16</x:v>
      </x:c>
      <x:c r="E2" t="str">
        <x:v>ret_1day_pct</x:v>
      </x:c>
      <x:c r="F2" t="str">
        <x:f>IF(C2&gt;0.1,"UP",IF(C2&lt;-0.1,"DOWN","FLAT"))</x:f>
        <x:v>DOWN</x:v>
      </x:c>
      <x:c r="G2" t="str">
        <x:v>DOWN</x:v>
      </x:c>
      <x:c r="H2" t="str">
        <x:f>IF(F2=G2,"PASS","FAIL")</x:f>
        <x:v>PASS</x:v>
      </x:c>
      <x:c r="I2" t="n">
        <x:v>3</x:v>
      </x:c>
      <x:c r="J2" t="n">
        <x:f>COUNTIFS('Source Audit'!$A:$A,A2,'Source Audit'!$P:$P,"PASS")</x:f>
        <x:v>3</x:v>
      </x:c>
      <x:c r="K2" t="str">
        <x:f>IF(AND(H2="PASS",J2=I2),"PASS","FAIL")</x:f>
        <x:v>PASS</x:v>
      </x:c>
    </x:row>
    <x:row r="3">
      <x:c r="A3" t="str">
        <x:v>2016-08-02</x:v>
      </x:c>
      <x:c r="B3" t="str">
        <x:v>PG</x:v>
      </x:c>
      <x:c r="C3" s="20" t="n">
        <x:v>1.12</x:v>
      </x:c>
      <x:c r="D3" s="20" t="n">
        <x:v>-1.35</x:v>
      </x:c>
      <x:c r="E3" t="str">
        <x:v>ret_1day_pct</x:v>
      </x:c>
      <x:c r="F3" t="str">
        <x:f>IF(C3&gt;0.1,"UP",IF(C3&lt;-0.1,"DOWN","FLAT"))</x:f>
        <x:v>UP</x:v>
      </x:c>
      <x:c r="G3" t="str">
        <x:v>UP</x:v>
      </x:c>
      <x:c r="H3" t="str">
        <x:f>IF(F3=G3,"PASS","FAIL")</x:f>
        <x:v>PASS</x:v>
      </x:c>
      <x:c r="I3" t="n">
        <x:v>3</x:v>
      </x:c>
      <x:c r="J3" t="n">
        <x:f>COUNTIFS('Source Audit'!$A:$A,A3,'Source Audit'!$P:$P,"PASS")</x:f>
        <x:v>3</x:v>
      </x:c>
      <x:c r="K3" t="str">
        <x:f>IF(AND(H3="PASS",J3=I3),"PASS","FAIL")</x:f>
        <x:v>PASS</x:v>
      </x:c>
    </x:row>
    <x:row r="4">
      <x:c r="A4" t="str">
        <x:v>2016-10-25</x:v>
      </x:c>
      <x:c r="B4" t="str">
        <x:v>PG</x:v>
      </x:c>
      <x:c r="C4" s="20" t="n">
        <x:v>3.85</x:v>
      </x:c>
      <x:c r="D4" s="20" t="n">
        <x:v>0.77</x:v>
      </x:c>
      <x:c r="E4" t="str">
        <x:v>ret_1day_pct</x:v>
      </x:c>
      <x:c r="F4" t="str">
        <x:f>IF(C4&gt;0.1,"UP",IF(C4&lt;-0.1,"DOWN","FLAT"))</x:f>
        <x:v>UP</x:v>
      </x:c>
      <x:c r="G4" t="str">
        <x:v>UP</x:v>
      </x:c>
      <x:c r="H4" t="str">
        <x:f>IF(F4=G4,"PASS","FAIL")</x:f>
        <x:v>PASS</x:v>
      </x:c>
      <x:c r="I4" t="n">
        <x:v>3</x:v>
      </x:c>
      <x:c r="J4" t="n">
        <x:f>COUNTIFS('Source Audit'!$A:$A,A4,'Source Audit'!$P:$P,"PASS")</x:f>
        <x:v>3</x:v>
      </x:c>
      <x:c r="K4" t="str">
        <x:f>IF(AND(H4="PASS",J4=I4),"PASS","FAIL")</x:f>
        <x:v>PASS</x:v>
      </x:c>
    </x:row>
    <x:row r="5">
      <x:c r="A5" t="str">
        <x:v>2017-01-20</x:v>
      </x:c>
      <x:c r="B5" t="str">
        <x:v>PG</x:v>
      </x:c>
      <x:c r="C5" s="20" t="n">
        <x:v>2.88</x:v>
      </x:c>
      <x:c r="D5" s="20" t="n">
        <x:v>-0.37</x:v>
      </x:c>
      <x:c r="E5" t="str">
        <x:v>ret_1day_pct</x:v>
      </x:c>
      <x:c r="F5" t="str">
        <x:f>IF(C5&gt;0.1,"UP",IF(C5&lt;-0.1,"DOWN","FLAT"))</x:f>
        <x:v>UP</x:v>
      </x:c>
      <x:c r="G5" t="str">
        <x:v>UP</x:v>
      </x:c>
      <x:c r="H5" t="str">
        <x:f>IF(F5=G5,"PASS","FAIL")</x:f>
        <x:v>PASS</x:v>
      </x:c>
      <x:c r="I5" t="n">
        <x:v>3</x:v>
      </x:c>
      <x:c r="J5" t="n">
        <x:f>COUNTIFS('Source Audit'!$A:$A,A5,'Source Audit'!$P:$P,"PASS")</x:f>
        <x:v>3</x:v>
      </x:c>
      <x:c r="K5" t="str">
        <x:f>IF(AND(H5="PASS",J5=I5),"PASS","FAIL")</x:f>
        <x:v>PASS</x:v>
      </x:c>
    </x:row>
    <x:row r="6">
      <x:c r="A6" t="str">
        <x:v>2017-04-26</x:v>
      </x:c>
      <x:c r="B6" t="str">
        <x:v>PG</x:v>
      </x:c>
      <x:c r="C6" s="20" t="n">
        <x:v>-2.5</x:v>
      </x:c>
      <x:c r="D6" s="20" t="n">
        <x:v>-0.05</x:v>
      </x:c>
      <x:c r="E6" t="str">
        <x:v>ret_1day_pct</x:v>
      </x:c>
      <x:c r="F6" t="str">
        <x:f>IF(C6&gt;0.1,"UP",IF(C6&lt;-0.1,"DOWN","FLAT"))</x:f>
        <x:v>DOWN</x:v>
      </x:c>
      <x:c r="G6" t="str">
        <x:v>DOWN</x:v>
      </x:c>
      <x:c r="H6" t="str">
        <x:f>IF(F6=G6,"PASS","FAIL")</x:f>
        <x:v>PASS</x:v>
      </x:c>
      <x:c r="I6" t="n">
        <x:v>3</x:v>
      </x:c>
      <x:c r="J6" t="n">
        <x:f>COUNTIFS('Source Audit'!$A:$A,A6,'Source Audit'!$P:$P,"PASS")</x:f>
        <x:v>3</x:v>
      </x:c>
      <x:c r="K6" t="str">
        <x:f>IF(AND(H6="PASS",J6=I6),"PASS","FAIL")</x:f>
        <x:v>PASS</x:v>
      </x:c>
    </x:row>
    <x:row r="7">
      <x:c r="A7" t="str">
        <x:v>2017-07-27</x:v>
      </x:c>
      <x:c r="B7" t="str">
        <x:v>PG</x:v>
      </x:c>
      <x:c r="C7" s="20" t="n">
        <x:v>1.75</x:v>
      </x:c>
      <x:c r="D7" s="20" t="n">
        <x:v>-0.41</x:v>
      </x:c>
      <x:c r="E7" t="str">
        <x:v>ret_1day_pct</x:v>
      </x:c>
      <x:c r="F7" t="str">
        <x:f>IF(C7&gt;0.1,"UP",IF(C7&lt;-0.1,"DOWN","FLAT"))</x:f>
        <x:v>UP</x:v>
      </x:c>
      <x:c r="G7" t="str">
        <x:v>UP</x:v>
      </x:c>
      <x:c r="H7" t="str">
        <x:f>IF(F7=G7,"PASS","FAIL")</x:f>
        <x:v>PASS</x:v>
      </x:c>
      <x:c r="I7" t="n">
        <x:v>3</x:v>
      </x:c>
      <x:c r="J7" t="n">
        <x:f>COUNTIFS('Source Audit'!$A:$A,A7,'Source Audit'!$P:$P,"PASS")</x:f>
        <x:v>3</x:v>
      </x:c>
      <x:c r="K7" t="str">
        <x:f>IF(AND(H7="PASS",J7=I7),"PASS","FAIL")</x:f>
        <x:v>PASS</x:v>
      </x:c>
    </x:row>
    <x:row r="8">
      <x:c r="A8" t="str">
        <x:v>2017-10-20</x:v>
      </x:c>
      <x:c r="B8" t="str">
        <x:v>PG</x:v>
      </x:c>
      <x:c r="C8" s="20" t="n">
        <x:v>-4.07</x:v>
      </x:c>
      <x:c r="D8" s="20" t="n">
        <x:v>-0.65</x:v>
      </x:c>
      <x:c r="E8" t="str">
        <x:v>ret_1day_pct</x:v>
      </x:c>
      <x:c r="F8" t="str">
        <x:f>IF(C8&gt;0.1,"UP",IF(C8&lt;-0.1,"DOWN","FLAT"))</x:f>
        <x:v>DOWN</x:v>
      </x:c>
      <x:c r="G8" t="str">
        <x:v>DOWN</x:v>
      </x:c>
      <x:c r="H8" t="str">
        <x:f>IF(F8=G8,"PASS","FAIL")</x:f>
        <x:v>PASS</x:v>
      </x:c>
      <x:c r="I8" t="n">
        <x:v>3</x:v>
      </x:c>
      <x:c r="J8" t="n">
        <x:f>COUNTIFS('Source Audit'!$A:$A,A8,'Source Audit'!$P:$P,"PASS")</x:f>
        <x:v>3</x:v>
      </x:c>
      <x:c r="K8" t="str">
        <x:f>IF(AND(H8="PASS",J8=I8),"PASS","FAIL")</x:f>
        <x:v>PASS</x:v>
      </x:c>
    </x:row>
    <x:row r="9">
      <x:c r="A9" t="str">
        <x:v>2018-01-23</x:v>
      </x:c>
      <x:c r="B9" t="str">
        <x:v>PG</x:v>
      </x:c>
      <x:c r="C9" s="20" t="n">
        <x:v>-3.35</x:v>
      </x:c>
      <x:c r="D9" s="20" t="n">
        <x:v>-0.74</x:v>
      </x:c>
      <x:c r="E9" t="str">
        <x:v>ret_1day_pct</x:v>
      </x:c>
      <x:c r="F9" t="str">
        <x:f>IF(C9&gt;0.1,"UP",IF(C9&lt;-0.1,"DOWN","FLAT"))</x:f>
        <x:v>DOWN</x:v>
      </x:c>
      <x:c r="G9" t="str">
        <x:v>DOWN</x:v>
      </x:c>
      <x:c r="H9" t="str">
        <x:f>IF(F9=G9,"PASS","FAIL")</x:f>
        <x:v>PASS</x:v>
      </x:c>
      <x:c r="I9" t="n">
        <x:v>3</x:v>
      </x:c>
      <x:c r="J9" t="n">
        <x:f>COUNTIFS('Source Audit'!$A:$A,A9,'Source Audit'!$P:$P,"PASS")</x:f>
        <x:v>3</x:v>
      </x:c>
      <x:c r="K9" t="str">
        <x:f>IF(AND(H9="PASS",J9=I9),"PASS","FAIL")</x:f>
        <x:v>PASS</x:v>
      </x:c>
    </x:row>
    <x:row r="10">
      <x:c r="A10" t="str">
        <x:v>2018-04-19</x:v>
      </x:c>
      <x:c r="B10" t="str">
        <x:v>PG</x:v>
      </x:c>
      <x:c r="C10" s="20" t="n">
        <x:v>-2.7</x:v>
      </x:c>
      <x:c r="D10" s="20" t="n">
        <x:v>-0.79</x:v>
      </x:c>
      <x:c r="E10" t="str">
        <x:v>ret_1day_pct</x:v>
      </x:c>
      <x:c r="F10" t="str">
        <x:f>IF(C10&gt;0.1,"UP",IF(C10&lt;-0.1,"DOWN","FLAT"))</x:f>
        <x:v>DOWN</x:v>
      </x:c>
      <x:c r="G10" t="str">
        <x:v>DOWN</x:v>
      </x:c>
      <x:c r="H10" t="str">
        <x:f>IF(F10=G10,"PASS","FAIL")</x:f>
        <x:v>PASS</x:v>
      </x:c>
      <x:c r="I10" t="n">
        <x:v>4</x:v>
      </x:c>
      <x:c r="J10" t="n">
        <x:f>COUNTIFS('Source Audit'!$A:$A,A10,'Source Audit'!$P:$P,"PASS")</x:f>
        <x:v>4</x:v>
      </x:c>
      <x:c r="K10" t="str">
        <x:f>IF(AND(H10="PASS",J10=I10),"PASS","FAIL")</x:f>
        <x:v>PASS</x:v>
      </x:c>
    </x:row>
    <x:row r="11">
      <x:c r="A11" t="str">
        <x:v>2018-07-31</x:v>
      </x:c>
      <x:c r="B11" t="str">
        <x:v>PG</x:v>
      </x:c>
      <x:c r="C11" s="20" t="n">
        <x:v>0.29</x:v>
      </x:c>
      <x:c r="D11" s="20" t="n">
        <x:v>-0.15</x:v>
      </x:c>
      <x:c r="E11" t="str">
        <x:v>ret_1day_pct</x:v>
      </x:c>
      <x:c r="F11" t="str">
        <x:f>IF(C11&gt;0.1,"UP",IF(C11&lt;-0.1,"DOWN","FLAT"))</x:f>
        <x:v>UP</x:v>
      </x:c>
      <x:c r="G11" t="str">
        <x:v>UP</x:v>
      </x:c>
      <x:c r="H11" t="str">
        <x:f>IF(F11=G11,"PASS","FAIL")</x:f>
        <x:v>PASS</x:v>
      </x:c>
      <x:c r="I11" t="n">
        <x:v>3</x:v>
      </x:c>
      <x:c r="J11" t="n">
        <x:f>COUNTIFS('Source Audit'!$A:$A,A11,'Source Audit'!$P:$P,"PASS")</x:f>
        <x:v>3</x:v>
      </x:c>
      <x:c r="K11" t="str">
        <x:f>IF(AND(H11="PASS",J11=I11),"PASS","FAIL")</x:f>
        <x:v>PASS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0" hidden="0" customWidth="1"/>
  </x:cols>
  <x:sheetData>
    <x:row r="1">
      <x:c r="A1" s="5" t="str">
        <x:v>Item</x:v>
      </x:c>
      <x:c r="B1" s="5" t="str">
        <x:v>Rule</x:v>
      </x:c>
    </x:row>
    <x:row r="2">
      <x:c r="A2" s="12" t="str">
        <x:v>Rebuild status</x:v>
      </x:c>
      <x:c r="B2" s="12" t="str">
        <x:v>PG rebuilt from scratch under the corrected verification protocol.</x:v>
      </x:c>
    </x:row>
    <x:row r="3">
      <x:c r="A3" s="12" t="str">
        <x:v>Reaction basis</x:v>
      </x:c>
      <x:c r="B3" s="12" t="str">
        <x:v>P&amp;G released these sampled results before the U.S. market open, so ret_1day_pct is the primary earnings-day reaction.</x:v>
      </x:c>
    </x:row>
    <x:row r="4">
      <x:c r="A4" s="12" t="str">
        <x:v>Narrative</x:v>
      </x:c>
      <x:c r="B4" s="12" t="str">
        <x:v>Short Prior Context, detailed Current Earnings Release, and three concise event-specific Possible Drivers.</x:v>
      </x:c>
    </x:row>
    <x:row r="5">
      <x:c r="A5" s="12" t="str">
        <x:v>Sources</x:v>
      </x:c>
      <x:c r="B5" s="12" t="str">
        <x:v>SEC/P&amp;G filings anchor factual results. Each observation includes a contemporaneous open reaction source; same-day corporate catalysts are included when material.</x:v>
      </x:c>
    </x:row>
    <x:row r="6">
      <x:c r="A6" s="12" t="str">
        <x:v>Timing</x:v>
      </x:c>
      <x:c r="B6" s="12" t="str">
        <x:v>Prior = -100..-1 days; release = day 0; reaction/same-day catalyst = day 0..+3.</x:v>
      </x:c>
    </x:row>
    <x:row r="7">
      <x:c r="A7" s="12" t="str">
        <x:v>Restrictions</x:v>
      </x:c>
      <x:c r="B7" s="12" t="str">
        <x:v>No WSJ, Reuters, Dow Jones or MarketWatch-syndicated article is included. Fox pages carrying Reuters/Dow Jones bylines were excluded.</x:v>
      </x:c>
    </x:row>
    <x:row r="8">
      <x:c r="A8" s="12" t="str">
        <x:v>Attribution discipline</x:v>
      </x:c>
      <x:c r="B8" s="12" t="str">
        <x:v>When coverage does not explicitly identify the full-day cause, the explanation is labeled as supported inference rather than explicit attribution.</x:v>
      </x:c>
    </x:row>
    <x:row r="9">
      <x:c r="A9" s="12" t="str">
        <x:v>QA</x:v>
      </x:c>
      <x:c r="B9" s="12" t="str">
        <x:v>Event QA mechanically recomputes direction from ret_1day_pct and checks the exact expected PASS source count.</x:v>
      </x:c>
    </x:row>
  </x:sheetData>
  <x:pageMargins left="0.7" right="0.7" top="0.75" bottom="0.75" header="0.3" footer="0.3"/>
</x:worksheet>
</file>