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91d49a6ab7d4cb2" /></Relationships>
</file>

<file path=xl/workbook.xml><?xml version="1.0" encoding="utf-8"?>
<x:workbook xmlns:x="http://schemas.openxmlformats.org/spreadsheetml/2006/main">
  <x:sheets>
    <x:sheet xmlns:r="http://schemas.openxmlformats.org/officeDocument/2006/relationships" name="PM" sheetId="1" r:id="R7456bb8f065e418a"/>
    <x:sheet xmlns:r="http://schemas.openxmlformats.org/officeDocument/2006/relationships" name="Source Audit" sheetId="2" r:id="R4784f994b5384060"/>
    <x:sheet xmlns:r="http://schemas.openxmlformats.org/officeDocument/2006/relationships" name="Event QA" sheetId="3" r:id="R88bdfb06a6a94dae"/>
    <x:sheet xmlns:r="http://schemas.openxmlformats.org/officeDocument/2006/relationships" name="Methodology" sheetId="4" r:id="R020460b3f4bf408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2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0" fontId="0" fillId="0" borderId="0" xfId="0" applyNumberFormat="1" applyFont="1" applyFill="1" applyBorder="1"/>
    <x:xf numFmtId="200" fontId="0" fillId="0" borderId="1" xfId="0" applyNumberFormat="1" applyFont="1" applyFill="1" applyBorder="1"/>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3f700b12a074b61" /><Relationship Type="http://schemas.openxmlformats.org/officeDocument/2006/relationships/theme" Target="/xl/theme/theme1.xml" Id="R4f3ed5aa02114831" /><Relationship Type="http://schemas.openxmlformats.org/officeDocument/2006/relationships/sharedStrings" Target="/xl/sharedStrings.xml" Id="Rffcbf392e7e9416f" /><Relationship Type="http://schemas.openxmlformats.org/officeDocument/2006/relationships/worksheet" Target="/xl/worksheets/sheet1.xml" Id="R7456bb8f065e418a" /><Relationship Type="http://schemas.openxmlformats.org/officeDocument/2006/relationships/worksheet" Target="/xl/worksheets/sheet2.xml" Id="R4784f994b5384060" /><Relationship Type="http://schemas.openxmlformats.org/officeDocument/2006/relationships/worksheet" Target="/xl/worksheets/sheet3.xml" Id="R88bdfb06a6a94dae" /><Relationship Type="http://schemas.openxmlformats.org/officeDocument/2006/relationships/worksheet" Target="/xl/worksheets/sheet4.xml" Id="R020460b3f4bf408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7" hidden="0" customWidth="1"/>
    <x:col min="2" max="2" width="9" hidden="0" customWidth="1"/>
    <x:col min="3" max="3" width="22" hidden="0" customWidth="1"/>
    <x:col min="4" max="4" width="13" hidden="0" customWidth="1"/>
    <x:col min="5" max="5" width="13" hidden="0" customWidth="1"/>
    <x:col min="6" max="6" width="11" hidden="0" customWidth="1"/>
    <x:col min="7" max="7" width="14" hidden="0" customWidth="1"/>
    <x:col min="8" max="8" width="11" hidden="0" customWidth="1"/>
    <x:col min="9" max="9" width="11" hidden="0" customWidth="1"/>
    <x:col min="10" max="10" width="11" hidden="0" customWidth="1"/>
    <x:col min="11" max="11" width="18" hidden="0" customWidth="1"/>
    <x:col min="12" max="12" width="18" hidden="0" customWidth="1"/>
    <x:col min="13" max="13" width="96" hidden="0" customWidth="1"/>
    <x:col min="14" max="14" width="66" hidden="0" customWidth="1"/>
    <x:col min="15" max="15" width="66" hidden="0" customWidth="1"/>
    <x:col min="16" max="16" width="66" hidden="0" customWidth="1"/>
    <x:col min="17" max="17" width="82" hidden="0" customWidth="1"/>
    <x:col min="18" max="18" width="12" hidden="0" customWidth="1"/>
    <x:col min="19" max="19" width="12" hidden="0" customWidth="1"/>
  </x:cols>
  <x:sheetData>
    <x:row r="1">
      <x:c r="A1" s="14" t="str">
        <x:v>index</x:v>
      </x:c>
      <x:c r="B1" s="14" t="str">
        <x:v>ticker</x:v>
      </x:c>
      <x:c r="C1" s="14" t="str">
        <x:v>company_name</x:v>
      </x:c>
      <x:c r="D1" s="14" t="str">
        <x:v>fiscal_yearquarter</x:v>
      </x:c>
      <x:c r="E1" s="14" t="str">
        <x:v>earnings_date</x:v>
      </x:c>
      <x:c r="F1" s="14" t="str">
        <x:v>ret_1day_pct</x:v>
      </x:c>
      <x:c r="G1" s="14" t="str">
        <x:v>ret_1daypost_pct</x:v>
      </x:c>
      <x:c r="H1" s="14" t="str">
        <x:v>ret_2day_pct</x:v>
      </x:c>
      <x:c r="I1" s="14" t="str">
        <x:v>ret_3day_pct</x:v>
      </x:c>
      <x:c r="J1" s="14" t="str">
        <x:v>ret_5day_pct</x:v>
      </x:c>
      <x:c r="K1" s="14" t="str">
        <x:v>reaction_basis</x:v>
      </x:c>
      <x:c r="L1" s="14" t="str">
        <x:v>reaction_direction</x:v>
      </x:c>
      <x:c r="M1" s="14" t="str">
        <x:v>contextual_analysis_full</x:v>
      </x:c>
      <x:c r="N1" s="14" t="str">
        <x:v>prior_context_sources</x:v>
      </x:c>
      <x:c r="O1" s="14" t="str">
        <x:v>release_sources</x:v>
      </x:c>
      <x:c r="P1" s="14" t="str">
        <x:v>reaction_sources</x:v>
      </x:c>
      <x:c r="Q1" s="14" t="str">
        <x:v>all_sources</x:v>
      </x:c>
      <x:c r="R1" s="14" t="str">
        <x:v>source_count</x:v>
      </x:c>
      <x:c r="S1" s="14" t="str">
        <x:v>qa_status</x:v>
      </x:c>
    </x:row>
    <x:row r="2" ht="340" customHeight="1">
      <x:c r="A2" s="15" t="n">
        <x:v>0</x:v>
      </x:c>
      <x:c r="B2" s="15" t="str">
        <x:v>PM</x:v>
      </x:c>
      <x:c r="C2" s="15" t="str">
        <x:v>Philip Morris International</x:v>
      </x:c>
      <x:c r="D2" s="15" t="str">
        <x:v>2016q2</x:v>
      </x:c>
      <x:c r="E2" s="15" t="str">
        <x:v>2016-04-19</x:v>
      </x:c>
      <x:c r="F2" s="18" t="n">
        <x:v>-1.76</x:v>
      </x:c>
      <x:c r="G2" s="18" t="n">
        <x:v>-1.28</x:v>
      </x:c>
      <x:c r="H2" s="18" t="n">
        <x:v>-3.02</x:v>
      </x:c>
      <x:c r="I2" s="18" t="n">
        <x:v>-3.2</x:v>
      </x:c>
      <x:c r="J2" s="18" t="n">
        <x:v>-4.06</x:v>
      </x:c>
      <x:c r="K2" s="15" t="str">
        <x:v>ret_1day_pct</x:v>
      </x:c>
      <x:c r="L2" s="15" t="str">
        <x:v>DOWN</x:v>
      </x:c>
      <x:c r="M2" s="15" t="str">
        <x:v>## Prior Context
PM entered 2016 with persistent currency pressure but still expected strong currency-neutral EPS growth. Investors wanted to see whether pricing could offset cigarette-volume declines, particularly in Asia.
### Verified prior source
2016-02-04 | Philip Morris International | PMI Reports 2015 Results; Provides 2016 EPS Forecast | https://www.pmi.com/media-center/press-releases/press-details?newsId=11851
## Current Earnings Release
PMI reported **$6.08 billion of net revenue excluding excise taxes**, down 8.1% as reported, and **$0.98 of adjusted EPS**. Both missed expectations: contemporaneous coverage cited roughly $6.34 billion of revenue and $1.11 EPS. Cigarette shipment volume declined **1.4%**, with Asia particularly weak.
Currency explained part—but not all—of the disappointment. Excluding currency, revenue increased about **2.4%**, while adjusted EPS was roughly flat year over year. PMI actually increased full-year reported EPS guidance because foreign-exchange assumptions improved, but the underlying quarter showed softer volume and earnings than investors had expected.
### Verified release source
2016-04-19 | Philip Morris International | PMI Reports 2016 First-Quarter Results | https://www.pmi.com/media-center/press-releases/press-details?newsId=11906
## Possible Drivers
**First-order driver.** The stock fell because both EPS and revenue missed expectations.
**Second-order driver.** Weak Asia volume showed that the problem was not only currency translation.
**Third-order driver.** Better FX assumptions supported full-year guidance, limiting the downside.
### Verified reaction source
2016-04-19 | TheStreet | Philip Morris Int'l. Stock Takes a Hit as Q1 Results Fall Short of Expectations | https://www.thestreet.com/markets/philip-morris-int-l-pm-stock-takes-a-hit-as-q1-results-fall-short-of-expectations-13535590
## Verification Status
All included pages were checked for Philip Morris International/PM identity, the correct earnings event, publication date, timing window and source origin. PMI's own release is the factual anchor. No WSJ, Reuters, Dow Jones or MarketWatch-syndicated article is included.
</x:v>
      </x:c>
      <x:c r="N2" s="15" t="str">
        <x:v>2016-02-04 | Philip Morris International | PMI Reports 2015 Results; Provides 2016 EPS Forecast | https://www.pmi.com/media-center/press-releases/press-details?newsId=11851</x:v>
      </x:c>
      <x:c r="O2" s="15" t="str">
        <x:v>2016-04-19 | Philip Morris International | PMI Reports 2016 First-Quarter Results | https://www.pmi.com/media-center/press-releases/press-details?newsId=11906</x:v>
      </x:c>
      <x:c r="P2" s="15" t="str">
        <x:v>2016-04-19 | TheStreet | Philip Morris Int'l. Stock Takes a Hit as Q1 Results Fall Short of Expectations | https://www.thestreet.com/markets/philip-morris-int-l-pm-stock-takes-a-hit-as-q1-results-fall-short-of-expectations-13535590</x:v>
      </x:c>
      <x:c r="Q2" s="15" t="str">
        <x:v>2016-02-04 | Philip Morris International | PMI Reports 2015 Results; Provides 2016 EPS Forecast | https://www.pmi.com/media-center/press-releases/press-details?newsId=11851
2016-04-19 | Philip Morris International | PMI Reports 2016 First-Quarter Results | https://www.pmi.com/media-center/press-releases/press-details?newsId=11906
2016-04-19 | TheStreet | Philip Morris Int'l. Stock Takes a Hit as Q1 Results Fall Short of Expectations | https://www.thestreet.com/markets/philip-morris-int-l-pm-stock-takes-a-hit-as-q1-results-fall-short-of-expectations-13535590</x:v>
      </x:c>
      <x:c r="R2" s="15" t="n">
        <x:v>3</x:v>
      </x:c>
      <x:c r="S2" s="15" t="str">
        <x:v>PASS</x:v>
      </x:c>
    </x:row>
    <x:row r="3" ht="340" customHeight="1">
      <x:c r="A3" s="15" t="n">
        <x:v>1</x:v>
      </x:c>
      <x:c r="B3" s="15" t="str">
        <x:v>PM</x:v>
      </x:c>
      <x:c r="C3" s="15" t="str">
        <x:v>Philip Morris International</x:v>
      </x:c>
      <x:c r="D3" s="15" t="str">
        <x:v>2016q3</x:v>
      </x:c>
      <x:c r="E3" s="15" t="str">
        <x:v>2016-07-19</x:v>
      </x:c>
      <x:c r="F3" s="18" t="n">
        <x:v>-2.78</x:v>
      </x:c>
      <x:c r="G3" s="18" t="n">
        <x:v>-0.7</x:v>
      </x:c>
      <x:c r="H3" s="18" t="n">
        <x:v>-3.47</x:v>
      </x:c>
      <x:c r="I3" s="18" t="n">
        <x:v>-4.3</x:v>
      </x:c>
      <x:c r="J3" s="18" t="n">
        <x:v>-4.23</x:v>
      </x:c>
      <x:c r="K3" s="15" t="str">
        <x:v>ret_1day_pct</x:v>
      </x:c>
      <x:c r="L3" s="15" t="str">
        <x:v>DOWN</x:v>
      </x:c>
      <x:c r="M3" s="15" t="str">
        <x:v>## Prior Context
After the Q1 miss, investors needed stronger evidence that pricing and the company’s brand portfolio could offset falling cigarette consumption.
### Verified prior source
2016-04-19 | Philip Morris International | PMI Reports 2016 First-Quarter Results | https://www.pmi.com/media-center/press-releases/press-details?newsId=11906
## Current Earnings Release
Q2 adjusted EPS was **$1.15**, below consensus near $1.20, while net revenue excluding excise taxes was about **$6.65 billion**, also below expectations. Cigarette shipment volume fell **4.8% to 209.3 billion units**.
The weakness was broad geographically: Asia shipments declined sharply, and Marlboro volume also fell. Currency headwinds had moderated, so the report made the underlying volume problem more visible. PMI improved its reported EPS outlook for currency, but the operating results did not support a fundamental guidance raise.
### Verified release source
2016-07-19 | Philip Morris International | PMI Reports 2016 Second-Quarter Results | https://www.pmi.com/media-center/press-releases/press-details?newsId=11971
## Possible Drivers
**First-order driver.** Shares fell because revenue and EPS both missed expectations.
**Second-order driver.** A 4.8% cigarette-volume decline raised concern about the core combustible business.
**Third-order driver.** Improved currency helped reported guidance but did not change the underlying demand weakness.
### Verified reaction source
2016-07-19 | TheStreet | Philip Morris Stock Slides as Q2 Results Miss Expectations | https://www.thestreet.com/markets/philip-morris-pm-stock-slides-as-q2-results-miss-expectations-13644271
## Verification Status
All included pages were checked for Philip Morris International/PM identity, the correct earnings event, publication date, timing window and source origin. PMI's own release is the factual anchor. No WSJ, Reuters, Dow Jones or MarketWatch-syndicated article is included.
</x:v>
      </x:c>
      <x:c r="N3" s="15" t="str">
        <x:v>2016-04-19 | Philip Morris International | PMI Reports 2016 First-Quarter Results | https://www.pmi.com/media-center/press-releases/press-details?newsId=11906</x:v>
      </x:c>
      <x:c r="O3" s="15" t="str">
        <x:v>2016-07-19 | Philip Morris International | PMI Reports 2016 Second-Quarter Results | https://www.pmi.com/media-center/press-releases/press-details?newsId=11971</x:v>
      </x:c>
      <x:c r="P3" s="15" t="str">
        <x:v>2016-07-19 | TheStreet | Philip Morris Stock Slides as Q2 Results Miss Expectations | https://www.thestreet.com/markets/philip-morris-pm-stock-slides-as-q2-results-miss-expectations-13644271</x:v>
      </x:c>
      <x:c r="Q3" s="15" t="str">
        <x:v>2016-04-19 | Philip Morris International | PMI Reports 2016 First-Quarter Results | https://www.pmi.com/media-center/press-releases/press-details?newsId=11906
2016-07-19 | Philip Morris International | PMI Reports 2016 Second-Quarter Results | https://www.pmi.com/media-center/press-releases/press-details?newsId=11971
2016-07-19 | TheStreet | Philip Morris Stock Slides as Q2 Results Miss Expectations | https://www.thestreet.com/markets/philip-morris-pm-stock-slides-as-q2-results-miss-expectations-13644271</x:v>
      </x:c>
      <x:c r="R3" s="15" t="n">
        <x:v>3</x:v>
      </x:c>
      <x:c r="S3" s="15" t="str">
        <x:v>PASS</x:v>
      </x:c>
    </x:row>
    <x:row r="4" ht="340" customHeight="1">
      <x:c r="A4" s="15" t="n">
        <x:v>2</x:v>
      </x:c>
      <x:c r="B4" s="15" t="str">
        <x:v>PM</x:v>
      </x:c>
      <x:c r="C4" s="15" t="str">
        <x:v>Philip Morris International</x:v>
      </x:c>
      <x:c r="D4" s="15" t="str">
        <x:v>2016q4</x:v>
      </x:c>
      <x:c r="E4" s="15" t="str">
        <x:v>2016-10-18</x:v>
      </x:c>
      <x:c r="F4" s="18" t="n">
        <x:v>0.44</x:v>
      </x:c>
      <x:c r="G4" s="18" t="n">
        <x:v>-0.9</x:v>
      </x:c>
      <x:c r="H4" s="18" t="n">
        <x:v>-0.46</x:v>
      </x:c>
      <x:c r="I4" s="18" t="n">
        <x:v>-0.54</x:v>
      </x:c>
      <x:c r="J4" s="18" t="n">
        <x:v>-0.03</x:v>
      </x:c>
      <x:c r="K4" s="15" t="str">
        <x:v>ret_1day_pct</x:v>
      </x:c>
      <x:c r="L4" s="15" t="str">
        <x:v>UP</x:v>
      </x:c>
      <x:c r="M4" s="15" t="str">
        <x:v>## Prior Context
By Q3, expectations were lower after two misses. Investors were watching whether pricing and early reduced-risk-product adoption could stabilize earnings despite continuing cigarette declines.
### Verified prior source
2016-07-19 | Philip Morris International | PMI Reports 2016 Second-Quarter Results | https://www.pmi.com/media-center/press-releases/press-details?newsId=11971
## Current Earnings Release
PMI reported **$1.25 of adjusted EPS**, slightly above consensus near $1.24, while net revenue excluding excise taxes was about **$6.98 billion**, essentially in line with expectations. Cigarette shipment volume still declined **5.4%**.
The company reaffirmed its full-year EPS outlook and had recently raised its quarterly dividend to **$1.04**. The quarter did not solve the volume problem, but it showed that pricing and cost discipline could preserve earnings even with lower cigarette shipments.
### Verified release source
2016-10-18 | Philip Morris International | PMI Reports 2016 Third-Quarter Results | https://philipmorrisinternational.gcs-web.com/static-files/7a14a810-9639-4ec1-bb1f-278356880bb6
## Possible Drivers
**First-order driver.** The stock rose modestly because EPS beat expectations and full-year guidance was reaffirmed.
**Second-order driver.** Cigarette volumes remained weak, preventing a stronger reaction.
**Third-order driver.** The dividend increase reinforced the defensive cash-return case.
### Verified reaction source
2016-10-18 | TheStreet | Philip Morris Stock Climbs on Q3 Earnings Beat, Dividend | https://www.thestreet.com/markets/philip-morris-pm-stock-climbs-on-q3-earning-beat-dividend-13857078
## Verification Status
All included pages were checked for Philip Morris International/PM identity, the correct earnings event, publication date, timing window and source origin. PMI's own release is the factual anchor. No WSJ, Reuters, Dow Jones or MarketWatch-syndicated article is included.
</x:v>
      </x:c>
      <x:c r="N4" s="15" t="str">
        <x:v>2016-07-19 | Philip Morris International | PMI Reports 2016 Second-Quarter Results | https://www.pmi.com/media-center/press-releases/press-details?newsId=11971</x:v>
      </x:c>
      <x:c r="O4" s="15" t="str">
        <x:v>2016-10-18 | Philip Morris International | PMI Reports 2016 Third-Quarter Results | https://philipmorrisinternational.gcs-web.com/static-files/7a14a810-9639-4ec1-bb1f-278356880bb6</x:v>
      </x:c>
      <x:c r="P4" s="15" t="str">
        <x:v>2016-10-18 | TheStreet | Philip Morris Stock Climbs on Q3 Earnings Beat, Dividend | https://www.thestreet.com/markets/philip-morris-pm-stock-climbs-on-q3-earning-beat-dividend-13857078</x:v>
      </x:c>
      <x:c r="Q4" s="15" t="str">
        <x:v>2016-07-19 | Philip Morris International | PMI Reports 2016 Second-Quarter Results | https://www.pmi.com/media-center/press-releases/press-details?newsId=11971
2016-10-18 | Philip Morris International | PMI Reports 2016 Third-Quarter Results | https://philipmorrisinternational.gcs-web.com/static-files/7a14a810-9639-4ec1-bb1f-278356880bb6
2016-10-18 | TheStreet | Philip Morris Stock Climbs on Q3 Earnings Beat, Dividend | https://www.thestreet.com/markets/philip-morris-pm-stock-climbs-on-q3-earning-beat-dividend-13857078</x:v>
      </x:c>
      <x:c r="R4" s="15" t="n">
        <x:v>3</x:v>
      </x:c>
      <x:c r="S4" s="15" t="str">
        <x:v>PASS</x:v>
      </x:c>
    </x:row>
    <x:row r="5" ht="340" customHeight="1">
      <x:c r="A5" s="15" t="n">
        <x:v>3</x:v>
      </x:c>
      <x:c r="B5" s="15" t="str">
        <x:v>PM</x:v>
      </x:c>
      <x:c r="C5" s="15" t="str">
        <x:v>Philip Morris International</x:v>
      </x:c>
      <x:c r="D5" s="15" t="str">
        <x:v>2017q1</x:v>
      </x:c>
      <x:c r="E5" s="15" t="str">
        <x:v>2017-02-02</x:v>
      </x:c>
      <x:c r="F5" s="18" t="n">
        <x:v>2.95</x:v>
      </x:c>
      <x:c r="G5" s="18" t="n">
        <x:v>1.52</x:v>
      </x:c>
      <x:c r="H5" s="18" t="n">
        <x:v>4.51</x:v>
      </x:c>
      <x:c r="I5" s="18" t="n">
        <x:v>4.29</x:v>
      </x:c>
      <x:c r="J5" s="18" t="n">
        <x:v>5.17</x:v>
      </x:c>
      <x:c r="K5" s="15" t="str">
        <x:v>ret_1day_pct</x:v>
      </x:c>
      <x:c r="L5" s="15" t="str">
        <x:v>UP</x:v>
      </x:c>
      <x:c r="M5" s="15" t="str">
        <x:v>## Prior Context
PM entered 2017 with cigarette volumes still declining but with rising optimism around IQOS, especially in Japan. The central question was whether reduced-risk products could become a meaningful new growth engine.
### Verified prior source
2017-01-23 | The Motley Fool | Philip Morris Looks for a Big Earnings Boost, but Will It Deliver? | https://www.fool.com/investing/2017/01/23/philip-morris-looks-for-a-big-earnings-boost-but-w.aspx
## Current Earnings Release
Fourth-quarter net revenue excluding excise taxes rose about **9% to $6.97 billion**. Adjusted EPS was **$1.10**, slightly below consensus, but revenue beat expectations. Reduced-risk-product revenue reached roughly **$343 million** in Q4 and **$733 million for 2016**, with Japan leading IQOS adoption.
Management guided 2017 EPS to **$4.70–$4.85** and expected revenue growth above its typical long-run target. The market therefore looked past the small EPS miss and focused on the improving revenue trajectory, stronger 2017 outlook and evidence that IQOS was scaling.
### Verified release source
2017-02-02 | Philip Morris International | PMI Reports 2016 Results; Provides 2017 EPS Forecast | https://www.pmi.com/media-center/press-releases/press-details?newsId=12066
## Possible Drivers
**First-order driver.** Shares rose because revenue beat expectations and 2017 guidance was encouraging.
**Second-order driver.** IQOS growth in Japan gave investors a credible path beyond declining cigarettes.
**Third-order driver.** The small EPS miss mattered less because currency-neutral earnings momentum improved.
### Verified reaction source
2017-02-02 | The Motley Fool | Philip Morris International Sees a Stronger 2017 Ahead | https://www.fool.com/investing/2017/02/02/philip-morris-international-sees-a-stronger-2017-a.aspx
## Verification Status
All included pages were checked for Philip Morris International/PM identity, the correct earnings event, publication date, timing window and source origin. PMI's own release is the factual anchor. No WSJ, Reuters, Dow Jones or MarketWatch-syndicated article is included.
</x:v>
      </x:c>
      <x:c r="N5" s="15" t="str">
        <x:v>2017-01-23 | The Motley Fool | Philip Morris Looks for a Big Earnings Boost, but Will It Deliver? | https://www.fool.com/investing/2017/01/23/philip-morris-looks-for-a-big-earnings-boost-but-w.aspx</x:v>
      </x:c>
      <x:c r="O5" s="15" t="str">
        <x:v>2017-02-02 | Philip Morris International | PMI Reports 2016 Results; Provides 2017 EPS Forecast | https://www.pmi.com/media-center/press-releases/press-details?newsId=12066</x:v>
      </x:c>
      <x:c r="P5" s="15" t="str">
        <x:v>2017-02-02 | The Motley Fool | Philip Morris International Sees a Stronger 2017 Ahead | https://www.fool.com/investing/2017/02/02/philip-morris-international-sees-a-stronger-2017-a.aspx</x:v>
      </x:c>
      <x:c r="Q5" s="15" t="str">
        <x:v>2017-01-23 | The Motley Fool | Philip Morris Looks for a Big Earnings Boost, but Will It Deliver? | https://www.fool.com/investing/2017/01/23/philip-morris-looks-for-a-big-earnings-boost-but-w.aspx
2017-02-02 | Philip Morris International | PMI Reports 2016 Results; Provides 2017 EPS Forecast | https://www.pmi.com/media-center/press-releases/press-details?newsId=12066
2017-02-02 | The Motley Fool | Philip Morris International Sees a Stronger 2017 Ahead | https://www.fool.com/investing/2017/02/02/philip-morris-international-sees-a-stronger-2017-a.aspx</x:v>
      </x:c>
      <x:c r="R5" s="15" t="n">
        <x:v>3</x:v>
      </x:c>
      <x:c r="S5" s="15" t="str">
        <x:v>PASS</x:v>
      </x:c>
    </x:row>
    <x:row r="6" ht="340" customHeight="1">
      <x:c r="A6" s="15" t="n">
        <x:v>4</x:v>
      </x:c>
      <x:c r="B6" s="15" t="str">
        <x:v>PM</x:v>
      </x:c>
      <x:c r="C6" s="15" t="str">
        <x:v>Philip Morris International</x:v>
      </x:c>
      <x:c r="D6" s="15" t="str">
        <x:v>2017q2</x:v>
      </x:c>
      <x:c r="E6" s="15" t="str">
        <x:v>2017-04-20</x:v>
      </x:c>
      <x:c r="F6" s="18" t="n">
        <x:v>-4.22</x:v>
      </x:c>
      <x:c r="G6" s="18" t="n">
        <x:v>-0.04</x:v>
      </x:c>
      <x:c r="H6" s="18" t="n">
        <x:v>-4.26</x:v>
      </x:c>
      <x:c r="I6" s="18" t="n">
        <x:v>-5.21</x:v>
      </x:c>
      <x:c r="J6" s="18" t="n">
        <x:v>-3.81</x:v>
      </x:c>
      <x:c r="K6" s="15" t="str">
        <x:v>ret_1day_pct</x:v>
      </x:c>
      <x:c r="L6" s="15" t="str">
        <x:v>DOWN</x:v>
      </x:c>
      <x:c r="M6" s="15" t="str">
        <x:v>## Prior Context
Expectations had risen sharply after February as investors embraced IQOS. Q1 therefore needed to show that the traditional cigarette business would remain stable enough to fund the transition.
### Verified prior source
2017-02-02 | Philip Morris International | PMI Reports 2016 Results; Provides 2017 EPS Forecast | https://www.pmi.com/media-center/press-releases/press-details?newsId=12066
## Current Earnings Release
PMI reported adjusted EPS of **$0.98**, below consensus near $1.03, and net revenue excluding excise taxes of about **$6.06 billion**, also below expectations. The most alarming number was cigarette shipment volume, which fell **11.5% to 173.6 billion units**.
Management argued that some of the volume decline came from low-price brands and timing effects, while IQOS continued to gain users. Full-year EPS guidance was increased only for a favorable tax item—not because the operating outlook improved. That distinction made the quarter materially weaker than the headline guidance change suggested.
### Verified release source
2017-04-20 | Philip Morris International | PMI Reports 2017 First-Quarter Results | https://www.pmi.com/media-center/press-releases/press-details?newsId=12136
## Possible Drivers
**First-order driver.** The stock fell because both earnings and sales missed while cigarette volumes plunged.
**Second-order driver.** The 11.5% cigarette decline raised doubts about how quickly IQOS could offset combustible weakness.
**Third-order driver.** The guidance increase was tax-driven, so it did not signal better operating momentum.
### Verified reaction source
2017-04-20 | The Motley Fool | Plunging Cigarette Shipments Hurt Philip Morris International | https://www.fool.com/investing/2017/04/20/plunging-cigarette-shipments-hurt-philip-morris-in.aspx
## Verification Status
All included pages were checked for Philip Morris International/PM identity, the correct earnings event, publication date, timing window and source origin. PMI's own release is the factual anchor. No WSJ, Reuters, Dow Jones or MarketWatch-syndicated article is included.
</x:v>
      </x:c>
      <x:c r="N6" s="15" t="str">
        <x:v>2017-02-02 | Philip Morris International | PMI Reports 2016 Results; Provides 2017 EPS Forecast | https://www.pmi.com/media-center/press-releases/press-details?newsId=12066</x:v>
      </x:c>
      <x:c r="O6" s="15" t="str">
        <x:v>2017-04-20 | Philip Morris International | PMI Reports 2017 First-Quarter Results | https://www.pmi.com/media-center/press-releases/press-details?newsId=12136</x:v>
      </x:c>
      <x:c r="P6" s="15" t="str">
        <x:v>2017-04-20 | The Motley Fool | Plunging Cigarette Shipments Hurt Philip Morris International | https://www.fool.com/investing/2017/04/20/plunging-cigarette-shipments-hurt-philip-morris-in.aspx</x:v>
      </x:c>
      <x:c r="Q6" s="15" t="str">
        <x:v>2017-02-02 | Philip Morris International | PMI Reports 2016 Results; Provides 2017 EPS Forecast | https://www.pmi.com/media-center/press-releases/press-details?newsId=12066
2017-04-20 | Philip Morris International | PMI Reports 2017 First-Quarter Results | https://www.pmi.com/media-center/press-releases/press-details?newsId=12136
2017-04-20 | The Motley Fool | Plunging Cigarette Shipments Hurt Philip Morris International | https://www.fool.com/investing/2017/04/20/plunging-cigarette-shipments-hurt-philip-morris-in.aspx</x:v>
      </x:c>
      <x:c r="R6" s="15" t="n">
        <x:v>3</x:v>
      </x:c>
      <x:c r="S6" s="15" t="str">
        <x:v>PASS</x:v>
      </x:c>
    </x:row>
    <x:row r="7" ht="340" customHeight="1">
      <x:c r="A7" s="15" t="n">
        <x:v>5</x:v>
      </x:c>
      <x:c r="B7" s="15" t="str">
        <x:v>PM</x:v>
      </x:c>
      <x:c r="C7" s="15" t="str">
        <x:v>Philip Morris International</x:v>
      </x:c>
      <x:c r="D7" s="15" t="str">
        <x:v>2017q3</x:v>
      </x:c>
      <x:c r="E7" s="15" t="str">
        <x:v>2017-07-20</x:v>
      </x:c>
      <x:c r="F7" s="18" t="n">
        <x:v>-1.45</x:v>
      </x:c>
      <x:c r="G7" s="18" t="n">
        <x:v>-0.14</x:v>
      </x:c>
      <x:c r="H7" s="18" t="n">
        <x:v>-1.59</x:v>
      </x:c>
      <x:c r="I7" s="18" t="n">
        <x:v>-0.55</x:v>
      </x:c>
      <x:c r="J7" s="18" t="n">
        <x:v>-2.34</x:v>
      </x:c>
      <x:c r="K7" s="15" t="str">
        <x:v>ret_1day_pct</x:v>
      </x:c>
      <x:c r="L7" s="15" t="str">
        <x:v>DOWN</x:v>
      </x:c>
      <x:c r="M7" s="15" t="str">
        <x:v>## Prior Context
After the weak first quarter, investors expected a rebound in volumes and hoped improving currencies would finally help reported earnings.
### Verified prior source
2017-04-20 | Philip Morris International | PMI Reports 2017 First-Quarter Results | https://www.pmi.com/media-center/press-releases/press-details?newsId=12136
## Current Earnings Release
Q2 net revenue excluding excise taxes increased about **4% to $6.92 billion**, but that was well below market expectations. Adjusted EPS of **$1.14** also missed consensus around $1.22. Cigarette shipments fell **7.5%**, with Asia down especially sharply.
PMI continued to see strong growth in heated-tobacco products, but currency assumptions turned less favorable and management revised full-year reported EPS guidance for FX. The result showed that IQOS growth was not yet large enough to neutralize cigarette weakness and regional pressure.
### Verified release source
2017-07-20 | Philip Morris International | PMI Reports 2017 Second-Quarter Results | https://www.pmi.com/media-center/press-releases/press-details?newsId=12211
## Possible Drivers
**First-order driver.** Shares fell because both revenue and EPS missed expectations.
**Second-order driver.** Another steep cigarette-volume decline showed the core business had not stabilized.
**Third-order driver.** IQOS remained promising, but its scale was still insufficient to offset the combustible decline.
### Verified reaction source
2017-07-20 | The Motley Fool | Philip Morris International Disappoints as Currency Headwinds Return | https://www.fool.com/investing/2017/07/20/philip-morris-international-disappoints-as-currenc.aspx
## Verification Status
All included pages were checked for Philip Morris International/PM identity, the correct earnings event, publication date, timing window and source origin. PMI's own release is the factual anchor. No WSJ, Reuters, Dow Jones or MarketWatch-syndicated article is included.
</x:v>
      </x:c>
      <x:c r="N7" s="15" t="str">
        <x:v>2017-04-20 | Philip Morris International | PMI Reports 2017 First-Quarter Results | https://www.pmi.com/media-center/press-releases/press-details?newsId=12136</x:v>
      </x:c>
      <x:c r="O7" s="15" t="str">
        <x:v>2017-07-20 | Philip Morris International | PMI Reports 2017 Second-Quarter Results | https://www.pmi.com/media-center/press-releases/press-details?newsId=12211</x:v>
      </x:c>
      <x:c r="P7" s="15" t="str">
        <x:v>2017-07-20 | The Motley Fool | Philip Morris International Disappoints as Currency Headwinds Return | https://www.fool.com/investing/2017/07/20/philip-morris-international-disappoints-as-currenc.aspx</x:v>
      </x:c>
      <x:c r="Q7" s="15" t="str">
        <x:v>2017-04-20 | Philip Morris International | PMI Reports 2017 First-Quarter Results | https://www.pmi.com/media-center/press-releases/press-details?newsId=12136
2017-07-20 | Philip Morris International | PMI Reports 2017 Second-Quarter Results | https://www.pmi.com/media-center/press-releases/press-details?newsId=12211
2017-07-20 | The Motley Fool | Philip Morris International Disappoints as Currency Headwinds Return | https://www.fool.com/investing/2017/07/20/philip-morris-international-disappoints-as-currenc.aspx</x:v>
      </x:c>
      <x:c r="R7" s="15" t="n">
        <x:v>3</x:v>
      </x:c>
      <x:c r="S7" s="15" t="str">
        <x:v>PASS</x:v>
      </x:c>
    </x:row>
    <x:row r="8" ht="340" customHeight="1">
      <x:c r="A8" s="15" t="n">
        <x:v>6</x:v>
      </x:c>
      <x:c r="B8" s="15" t="str">
        <x:v>PM</x:v>
      </x:c>
      <x:c r="C8" s="15" t="str">
        <x:v>Philip Morris International</x:v>
      </x:c>
      <x:c r="D8" s="15" t="str">
        <x:v>2017q4</x:v>
      </x:c>
      <x:c r="E8" s="15" t="str">
        <x:v>2017-10-19</x:v>
      </x:c>
      <x:c r="F8" s="18" t="n">
        <x:v>-3.86</x:v>
      </x:c>
      <x:c r="G8" s="18" t="n">
        <x:v>0.85</x:v>
      </x:c>
      <x:c r="H8" s="18" t="n">
        <x:v>-3.05</x:v>
      </x:c>
      <x:c r="I8" s="18" t="n">
        <x:v>-3.26</x:v>
      </x:c>
      <x:c r="J8" s="18" t="n">
        <x:v>-3.85</x:v>
      </x:c>
      <x:c r="K8" s="15" t="str">
        <x:v>ret_1day_pct</x:v>
      </x:c>
      <x:c r="L8" s="15" t="str">
        <x:v>DOWN</x:v>
      </x:c>
      <x:c r="M8" s="15" t="str">
        <x:v>## Prior Context
By Q3, investors were increasingly valuing PM on the speed of its transition toward IQOS. Russia and Saudi Arabia had also become important sources of volume and profit pressure.
### Verified prior source
2017-07-20 | Philip Morris International | PMI Reports 2017 Second-Quarter Results | https://www.pmi.com/media-center/press-releases/press-details?newsId=12211
## Current Earnings Release
PMI reported **$7.47 billion of net revenue excluding excise taxes**, up 7%, and adjusted EPS of **$1.27**. Both missed consensus. Cigarette shipments declined **4.1%**, although heated-tobacco shipments grew strongly and total combined volume was nearly flat.
The key negative was guidance. PMI cut full-year reported EPS to **$4.75–$4.80**, citing a larger currency hit and adverse developments in Russia and Saudi Arabia. The company still expected solid currency-neutral EPS growth, but the cut confirmed that IQOS growth was not fully insulating consolidated earnings.
### Verified release source
2017-10-19 | Philip Morris International | PMI Reports 2017 Third-Quarter Results | https://www.pmi.com/media-center/press-releases/press-details?newsId=12276
## Possible Drivers
**First-order driver.** The stock fell because earnings/revenue missed and full-year guidance was reduced.
**Second-order driver.** Russia, Saudi Arabia and cigarette declines pressured the combustible franchise.
**Third-order driver.** Strong IQOS growth helped total volume but could not prevent the earnings reset.
### Verified reaction source
2017-10-19 | The Motley Fool | Why Can't Philip Morris International Catch a Break? | https://www.fool.com/investing/2017/10/19/why-cant-philip-morris-international-catch-a-break.aspx
## Verification Status
All included pages were checked for Philip Morris International/PM identity, the correct earnings event, publication date, timing window and source origin. PMI's own release is the factual anchor. No WSJ, Reuters, Dow Jones or MarketWatch-syndicated article is included.
</x:v>
      </x:c>
      <x:c r="N8" s="15" t="str">
        <x:v>2017-07-20 | Philip Morris International | PMI Reports 2017 Second-Quarter Results | https://www.pmi.com/media-center/press-releases/press-details?newsId=12211</x:v>
      </x:c>
      <x:c r="O8" s="15" t="str">
        <x:v>2017-10-19 | Philip Morris International | PMI Reports 2017 Third-Quarter Results | https://www.pmi.com/media-center/press-releases/press-details?newsId=12276</x:v>
      </x:c>
      <x:c r="P8" s="15" t="str">
        <x:v>2017-10-19 | The Motley Fool | Why Can't Philip Morris International Catch a Break? | https://www.fool.com/investing/2017/10/19/why-cant-philip-morris-international-catch-a-break.aspx</x:v>
      </x:c>
      <x:c r="Q8" s="15" t="str">
        <x:v>2017-07-20 | Philip Morris International | PMI Reports 2017 Second-Quarter Results | https://www.pmi.com/media-center/press-releases/press-details?newsId=12211
2017-10-19 | Philip Morris International | PMI Reports 2017 Third-Quarter Results | https://www.pmi.com/media-center/press-releases/press-details?newsId=12276
2017-10-19 | The Motley Fool | Why Can't Philip Morris International Catch a Break? | https://www.fool.com/investing/2017/10/19/why-cant-philip-morris-international-catch-a-break.aspx</x:v>
      </x:c>
      <x:c r="R8" s="15" t="n">
        <x:v>3</x:v>
      </x:c>
      <x:c r="S8" s="15" t="str">
        <x:v>PASS</x:v>
      </x:c>
    </x:row>
    <x:row r="9" ht="340" customHeight="1">
      <x:c r="A9" s="15" t="n">
        <x:v>7</x:v>
      </x:c>
      <x:c r="B9" s="15" t="str">
        <x:v>PM</x:v>
      </x:c>
      <x:c r="C9" s="15" t="str">
        <x:v>Philip Morris International</x:v>
      </x:c>
      <x:c r="D9" s="15" t="str">
        <x:v>2018q1</x:v>
      </x:c>
      <x:c r="E9" s="15" t="str">
        <x:v>2018-02-08</x:v>
      </x:c>
      <x:c r="F9" s="18" t="n">
        <x:v>5</x:v>
      </x:c>
      <x:c r="G9" s="18" t="n">
        <x:v>-1.68</x:v>
      </x:c>
      <x:c r="H9" s="18" t="n">
        <x:v>3.24</x:v>
      </x:c>
      <x:c r="I9" s="18" t="n">
        <x:v>2.18</x:v>
      </x:c>
      <x:c r="J9" s="18" t="n">
        <x:v>3.7</x:v>
      </x:c>
      <x:c r="K9" s="15" t="str">
        <x:v>ret_1day_pct</x:v>
      </x:c>
      <x:c r="L9" s="15" t="str">
        <x:v>UP</x:v>
      </x:c>
      <x:c r="M9" s="15" t="str">
        <x:v>## Prior Context
After a difficult 2017, the thesis centered almost entirely on whether IQOS could scale fast enough to restore growth. Investors also wanted evidence that cigarette-volume declines were becoming less severe.
### Verified prior source
2018-02-02 | The Motley Fool | Philip Morris Looks for a Big Profit Boost | https://www.fool.com/investing/2018/02/02/philip-morris-looks-for-a-big-profit-boost.aspx
## Current Earnings Release
PMI reported 2017 adjusted EPS growth of roughly **10% excluding currency and tax items**. In Q4, total cigarette and heated-tobacco shipment volume increased **3.8%**, a major improvement from earlier declines, driven by rapid HeatStick growth. Heated-tobacco volume reached **15.7 billion units** in the quarter.
For 2018, PMI guided EPS to **$5.20–$5.35**, representing roughly **7%–10% currency-neutral growth**, while explicitly planning heavy incremental investment behind reduced-risk products. The quarter therefore improved confidence that IQOS could support both volume and earnings growth, even though the company was deliberately sacrificing some near-term margin to accelerate adoption.
### Verified release source
2018-02-08 | Philip Morris International | PMI Reports 2017 Results; Provides 2018 EPS Forecast | https://www.pmi.com/media-center/press-releases/press-details?newsId=12336
## Possible Drivers
**First-order driver.** Shares rose because the 2018 growth outlook and IQOS trajectory were stronger than feared.
**Second-order driver.** Total shipment volume finally returned to growth as heated tobacco offset cigarette declines.
**Third-order driver.** Heavy IQOS investment limited near-term margins but supported the long-run transition thesis.
### Verified reaction source
2018-02-09 | The Motley Fool | Philip Morris International Expects a Better 2018 | https://www.fool.com/investing/2018/02/09/philip-morris-international-expects-a-better-2018.aspx
## Verification Status
All included pages were checked for Philip Morris International/PM identity, the correct earnings event, publication date, timing window and source origin. PMI's own release is the factual anchor. No WSJ, Reuters, Dow Jones or MarketWatch-syndicated article is included.
</x:v>
      </x:c>
      <x:c r="N9" s="15" t="str">
        <x:v>2018-02-02 | The Motley Fool | Philip Morris Looks for a Big Profit Boost | https://www.fool.com/investing/2018/02/02/philip-morris-looks-for-a-big-profit-boost.aspx</x:v>
      </x:c>
      <x:c r="O9" s="15" t="str">
        <x:v>2018-02-08 | Philip Morris International | PMI Reports 2017 Results; Provides 2018 EPS Forecast | https://www.pmi.com/media-center/press-releases/press-details?newsId=12336</x:v>
      </x:c>
      <x:c r="P9" s="15" t="str">
        <x:v>2018-02-09 | The Motley Fool | Philip Morris International Expects a Better 2018 | https://www.fool.com/investing/2018/02/09/philip-morris-international-expects-a-better-2018.aspx</x:v>
      </x:c>
      <x:c r="Q9" s="15" t="str">
        <x:v>2018-02-02 | The Motley Fool | Philip Morris Looks for a Big Profit Boost | https://www.fool.com/investing/2018/02/02/philip-morris-looks-for-a-big-profit-boost.aspx
2018-02-08 | Philip Morris International | PMI Reports 2017 Results; Provides 2018 EPS Forecast | https://www.pmi.com/media-center/press-releases/press-details?newsId=12336
2018-02-09 | The Motley Fool | Philip Morris International Expects a Better 2018 | https://www.fool.com/investing/2018/02/09/philip-morris-international-expects-a-better-2018.aspx</x:v>
      </x:c>
      <x:c r="R9" s="15" t="n">
        <x:v>3</x:v>
      </x:c>
      <x:c r="S9" s="15" t="str">
        <x:v>PASS</x:v>
      </x:c>
    </x:row>
    <x:row r="10" ht="340" customHeight="1">
      <x:c r="A10" s="15" t="n">
        <x:v>8</x:v>
      </x:c>
      <x:c r="B10" s="15" t="str">
        <x:v>PM</x:v>
      </x:c>
      <x:c r="C10" s="15" t="str">
        <x:v>Philip Morris International</x:v>
      </x:c>
      <x:c r="D10" s="15" t="str">
        <x:v>2018q2</x:v>
      </x:c>
      <x:c r="E10" s="15" t="str">
        <x:v>2018-04-19</x:v>
      </x:c>
      <x:c r="F10" s="18" t="n">
        <x:v>-15.04</x:v>
      </x:c>
      <x:c r="G10" s="18" t="n">
        <x:v>-0.85</x:v>
      </x:c>
      <x:c r="H10" s="18" t="n">
        <x:v>-15.76</x:v>
      </x:c>
      <x:c r="I10" s="18" t="n">
        <x:v>-17.41</x:v>
      </x:c>
      <x:c r="J10" s="18" t="n">
        <x:v>-18.19</x:v>
      </x:c>
      <x:c r="K10" s="15" t="str">
        <x:v>ret_1day_pct</x:v>
      </x:c>
      <x:c r="L10" s="15" t="str">
        <x:v>DOWN</x:v>
      </x:c>
      <x:c r="M10" s="15" t="str">
        <x:v>## Prior Context
PM entered Q1 with very high expectations for IQOS after explosive adoption in Japan. That made sequential HeatStick momentum—rather than cigarette earnings alone—the most important metric in the stock.
### Verified prior source
2018-02-08 | Philip Morris International | PMI Reports 2017 Results; Provides 2018 EPS Forecast | https://www.pmi.com/media-center/press-releases/press-details?newsId=12336
## Current Earnings Release
Q1 net revenue excluding excise taxes rose about **8% currency-neutral to $6.9 billion**, and adjusted EPS of **$1.00** beat consensus near $0.90. On conventional financial metrics, the quarter was not poor.
The shock came from **Japan IQOS momentum**. Heated-tobacco shipment and device trends slowed materially, with management explaining that the product had already penetrated the easiest-to-convert consumers and was moving into more conservative smoker segments. Investors had valued PM on an almost uninterrupted IQOS adoption curve; the report forced a much lower growth assumption for that business.
### Verified release source
2018-04-19 | Philip Morris International | PMI Reports 2018 First-Quarter Results | https://www.pmi.com/media-center/press-releases/press-details?newsId=12386
## Possible Drivers
**First-order driver.** The 15% collapse was driven by a sharp slowdown in IQOS growth, especially in Japan.
**Second-order driver.** The EPS beat could not offset the reset to the company’s most important long-term growth narrative.
**Third-order driver.** Slower conversion of mainstream smokers implied higher acquisition spending and a longer path to scale.
### Verified reaction source
2018-04-19 | The Motley Fool | Why Shares of Altria Group, Inc. and Philip Morris International Fell Today | https://www.fool.com/investing/2018/04/19/why-shares-of-altria-group-inc-and-philip-morris-i.aspx
## Verification Status
All included pages were checked for Philip Morris International/PM identity, the correct earnings event, publication date, timing window and source origin. PMI's own release is the factual anchor. No WSJ, Reuters, Dow Jones or MarketWatch-syndicated article is included.
</x:v>
      </x:c>
      <x:c r="N10" s="15" t="str">
        <x:v>2018-02-08 | Philip Morris International | PMI Reports 2017 Results; Provides 2018 EPS Forecast | https://www.pmi.com/media-center/press-releases/press-details?newsId=12336</x:v>
      </x:c>
      <x:c r="O10" s="15" t="str">
        <x:v>2018-04-19 | Philip Morris International | PMI Reports 2018 First-Quarter Results | https://www.pmi.com/media-center/press-releases/press-details?newsId=12386</x:v>
      </x:c>
      <x:c r="P10" s="15" t="str">
        <x:v>2018-04-19 | The Motley Fool | Why Shares of Altria Group, Inc. and Philip Morris International Fell Today | https://www.fool.com/investing/2018/04/19/why-shares-of-altria-group-inc-and-philip-morris-i.aspx</x:v>
      </x:c>
      <x:c r="Q10" s="15" t="str">
        <x:v>2018-02-08 | Philip Morris International | PMI Reports 2017 Results; Provides 2018 EPS Forecast | https://www.pmi.com/media-center/press-releases/press-details?newsId=12336
2018-04-19 | Philip Morris International | PMI Reports 2018 First-Quarter Results | https://www.pmi.com/media-center/press-releases/press-details?newsId=12386
2018-04-19 | The Motley Fool | Why Shares of Altria Group, Inc. and Philip Morris International Fell Today | https://www.fool.com/investing/2018/04/19/why-shares-of-altria-group-inc-and-philip-morris-i.aspx</x:v>
      </x:c>
      <x:c r="R10" s="15" t="n">
        <x:v>3</x:v>
      </x:c>
      <x:c r="S10" s="15" t="str">
        <x:v>PASS</x:v>
      </x:c>
    </x:row>
    <x:row r="11" ht="340" customHeight="1">
      <x:c r="A11" s="15" t="n">
        <x:v>9</x:v>
      </x:c>
      <x:c r="B11" s="15" t="str">
        <x:v>PM</x:v>
      </x:c>
      <x:c r="C11" s="15" t="str">
        <x:v>Philip Morris International</x:v>
      </x:c>
      <x:c r="D11" s="15" t="str">
        <x:v>2018q3</x:v>
      </x:c>
      <x:c r="E11" s="15" t="str">
        <x:v>2018-07-19</x:v>
      </x:c>
      <x:c r="F11" s="18" t="n">
        <x:v>-1.28</x:v>
      </x:c>
      <x:c r="G11" s="18" t="n">
        <x:v>4.32</x:v>
      </x:c>
      <x:c r="H11" s="18" t="n">
        <x:v>2.99</x:v>
      </x:c>
      <x:c r="I11" s="18" t="n">
        <x:v>2.51</x:v>
      </x:c>
      <x:c r="J11" s="18" t="n">
        <x:v>1.29</x:v>
      </x:c>
      <x:c r="K11" s="15" t="str">
        <x:v>ret_1day_pct</x:v>
      </x:c>
      <x:c r="L11" s="15" t="str">
        <x:v>DOWN</x:v>
      </x:c>
      <x:c r="M11" s="15" t="str">
        <x:v>## Prior Context
After April’s historic selloff, expectations for IQOS had been reset sharply lower. Q2 was a test of whether Japan had stabilized and whether stronger cigarette pricing could keep earnings growing.
### Verified prior source
2018-04-19 | Philip Morris International | PMI Reports 2018 First-Quarter Results | https://www.pmi.com/media-center/press-releases/press-details?newsId=12386
## Current Earnings Release
Q2 net revenue increased **11.7% to $7.7 billion**, or **8.3% excluding currency**, and adjusted EPS reached **$1.41**, up 23.7% year over year. Cigarette and heated-tobacco combined shipment volume rose slightly, and heated-tobacco shipments increased **73%**.
Despite the strong current quarter, management revised full-year reported EPS guidance to **$5.02–$5.12** and acknowledged that IQOS growth in Japan remained slower than originally expected. PMI planned lower-priced offerings and a new generation of devices to broaden adoption. The market therefore saw a good quarter but still no full resolution of the Japan slowdown.
### Verified release source
2018-07-19 | Philip Morris International | PMI Reports 2018 Second-Quarter Results | https://www.pmi.com/media-center/press-releases/press-details?newsId=12446
## Possible Drivers
**First-order driver.** Shares fell because the full-year outlook and Japan IQOS trajectory remained weaker than investors wanted.
**Second-order driver.** Revenue and EPS were strong, which limited the selloff compared with April.
**Third-order driver.** New pricing and device initiatives showed management was actively trying to restart IQOS adoption.
### Verified reaction source
2018-07-19 | The Motley Fool | Why Philip Morris International Inc Shares Were Sliding Today | https://www.fool.com/investing/2018/07/19/why-philip-morris-international-inc-shares-were-sl.aspx
## Verification Status
All included pages were checked for Philip Morris International/PM identity, the correct earnings event, publication date, timing window and source origin. PMI's own release is the factual anchor. No WSJ, Reuters, Dow Jones or MarketWatch-syndicated article is included.
</x:v>
      </x:c>
      <x:c r="N11" s="15" t="str">
        <x:v>2018-04-19 | Philip Morris International | PMI Reports 2018 First-Quarter Results | https://www.pmi.com/media-center/press-releases/press-details?newsId=12386</x:v>
      </x:c>
      <x:c r="O11" s="15" t="str">
        <x:v>2018-07-19 | Philip Morris International | PMI Reports 2018 Second-Quarter Results | https://www.pmi.com/media-center/press-releases/press-details?newsId=12446</x:v>
      </x:c>
      <x:c r="P11" s="15" t="str">
        <x:v>2018-07-19 | The Motley Fool | Why Philip Morris International Inc Shares Were Sliding Today | https://www.fool.com/investing/2018/07/19/why-philip-morris-international-inc-shares-were-sl.aspx</x:v>
      </x:c>
      <x:c r="Q11" s="15" t="str">
        <x:v>2018-04-19 | Philip Morris International | PMI Reports 2018 First-Quarter Results | https://www.pmi.com/media-center/press-releases/press-details?newsId=12386
2018-07-19 | Philip Morris International | PMI Reports 2018 Second-Quarter Results | https://www.pmi.com/media-center/press-releases/press-details?newsId=12446
2018-07-19 | The Motley Fool | Why Philip Morris International Inc Shares Were Sliding Today | https://www.fool.com/investing/2018/07/19/why-philip-morris-international-inc-shares-were-sl.aspx</x:v>
      </x:c>
      <x:c r="R11" s="15" t="n">
        <x:v>3</x:v>
      </x:c>
      <x:c r="S11" s="15" t="str">
        <x:v>PASS</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9" hidden="0" customWidth="1"/>
    <x:col min="3" max="3" width="12" hidden="0" customWidth="1"/>
    <x:col min="4" max="4" width="14" hidden="0" customWidth="1"/>
    <x:col min="5" max="5" width="10" hidden="0" customWidth="1"/>
    <x:col min="6" max="6" width="28" hidden="0" customWidth="1"/>
    <x:col min="7" max="7" width="64" hidden="0" customWidth="1"/>
    <x:col min="8" max="8" width="94" hidden="0" customWidth="1"/>
    <x:col min="9" max="9" width="18" hidden="0" customWidth="1"/>
    <x:col min="10" max="10" width="14" hidden="0" customWidth="1"/>
    <x:col min="11" max="11" width="14" hidden="0" customWidth="1"/>
    <x:col min="12" max="12" width="14" hidden="0" customWidth="1"/>
    <x:col min="13" max="13" width="18" hidden="0" customWidth="1"/>
    <x:col min="14" max="14" width="18" hidden="0" customWidth="1"/>
    <x:col min="15" max="15" width="28" hidden="0" customWidth="1"/>
    <x:col min="16" max="16" width="14" hidden="0" customWidth="1"/>
    <x:col min="17" max="17" width="76" hidden="0" customWidth="1"/>
  </x:cols>
  <x:sheetData>
    <x:row r="1">
      <x:c r="A1" s="6" t="str">
        <x:v>earnings_date</x:v>
      </x:c>
      <x:c r="B1" s="6" t="str">
        <x:v>ticker</x:v>
      </x:c>
      <x:c r="C1" s="6" t="str">
        <x:v>role</x:v>
      </x:c>
      <x:c r="D1" s="6" t="str">
        <x:v>source_date</x:v>
      </x:c>
      <x:c r="E1" s="6" t="str">
        <x:v>day_delta</x:v>
      </x:c>
      <x:c r="F1" s="6" t="str">
        <x:v>publisher</x:v>
      </x:c>
      <x:c r="G1" s="6" t="str">
        <x:v>title</x:v>
      </x:c>
      <x:c r="H1" s="6" t="str">
        <x:v>url</x:v>
      </x:c>
      <x:c r="I1" s="6" t="str">
        <x:v>url_status</x:v>
      </x:c>
      <x:c r="J1" s="6" t="str">
        <x:v>ticker_match</x:v>
      </x:c>
      <x:c r="K1" s="6" t="str">
        <x:v>event_match</x:v>
      </x:c>
      <x:c r="L1" s="6" t="str">
        <x:v>date_match</x:v>
      </x:c>
      <x:c r="M1" s="6" t="str">
        <x:v>prohibited_source</x:v>
      </x:c>
      <x:c r="N1" s="6" t="str">
        <x:v>claim_supported</x:v>
      </x:c>
      <x:c r="O1" s="6" t="str">
        <x:v>attribution_strength</x:v>
      </x:c>
      <x:c r="P1" s="6" t="str">
        <x:v>final_status</x:v>
      </x:c>
      <x:c r="Q1" s="6" t="str">
        <x:v>verification_note</x:v>
      </x:c>
    </x:row>
    <x:row r="2">
      <x:c r="A2" s="12" t="str">
        <x:v>2016-04-19</x:v>
      </x:c>
      <x:c r="B2" s="12" t="str">
        <x:v>PM</x:v>
      </x:c>
      <x:c r="C2" s="12" t="str">
        <x:v>prior</x:v>
      </x:c>
      <x:c r="D2" s="12" t="str">
        <x:v>2016-02-04</x:v>
      </x:c>
      <x:c r="E2" s="12" t="n">
        <x:v>-75</x:v>
      </x:c>
      <x:c r="F2" s="12" t="str">
        <x:v>Philip Morris International</x:v>
      </x:c>
      <x:c r="G2" s="12" t="str">
        <x:v>PMI Reports 2015 Results; Provides 2016 EPS Forecast</x:v>
      </x:c>
      <x:c r="H2" s="12" t="str">
        <x:v>https://www.pmi.com/media-center/press-releases/press-details?newsId=11851</x:v>
      </x:c>
      <x:c r="I2" s="12" t="str">
        <x:v>OPENED/VERIFIED</x:v>
      </x:c>
      <x:c r="J2" s="12" t="str">
        <x:v>PASS</x:v>
      </x:c>
      <x:c r="K2" s="12" t="str">
        <x:v>PASS</x:v>
      </x:c>
      <x:c r="L2" s="12" t="str">
        <x:v>PASS</x:v>
      </x:c>
      <x:c r="M2" s="12" t="str">
        <x:v>NO</x:v>
      </x:c>
      <x:c r="N2" s="12" t="str">
        <x:v>PASS</x:v>
      </x:c>
      <x:c r="O2" s="12" t="str">
        <x:v>FACTUAL</x:v>
      </x:c>
      <x:c r="P2" s="12" t="str">
        <x:v>PASS</x:v>
      </x:c>
      <x:c r="Q2" s="12" t="str">
        <x:v>Checked for PM/Philip Morris International identity, exact earnings event, displayed publication date, timing window and source-origin restrictions.</x:v>
      </x:c>
    </x:row>
    <x:row r="3">
      <x:c r="A3" s="12" t="str">
        <x:v>2016-04-19</x:v>
      </x:c>
      <x:c r="B3" s="12" t="str">
        <x:v>PM</x:v>
      </x:c>
      <x:c r="C3" s="12" t="str">
        <x:v>release</x:v>
      </x:c>
      <x:c r="D3" s="12" t="str">
        <x:v>2016-04-19</x:v>
      </x:c>
      <x:c r="E3" s="12" t="n">
        <x:v>0</x:v>
      </x:c>
      <x:c r="F3" s="12" t="str">
        <x:v>Philip Morris International</x:v>
      </x:c>
      <x:c r="G3" s="12" t="str">
        <x:v>PMI Reports 2016 First-Quarter Results</x:v>
      </x:c>
      <x:c r="H3" s="12" t="str">
        <x:v>https://www.pmi.com/media-center/press-releases/press-details?newsId=11906</x:v>
      </x:c>
      <x:c r="I3" s="12" t="str">
        <x:v>OPENED/VERIFIED</x:v>
      </x:c>
      <x:c r="J3" s="12" t="str">
        <x:v>PASS</x:v>
      </x:c>
      <x:c r="K3" s="12" t="str">
        <x:v>PASS</x:v>
      </x:c>
      <x:c r="L3" s="12" t="str">
        <x:v>PASS</x:v>
      </x:c>
      <x:c r="M3" s="12" t="str">
        <x:v>NO</x:v>
      </x:c>
      <x:c r="N3" s="12" t="str">
        <x:v>PASS</x:v>
      </x:c>
      <x:c r="O3" s="12" t="str">
        <x:v>FACTUAL</x:v>
      </x:c>
      <x:c r="P3" s="12" t="str">
        <x:v>PASS</x:v>
      </x:c>
      <x:c r="Q3" s="12" t="str">
        <x:v>Checked for PM/Philip Morris International identity, exact earnings event, displayed publication date, timing window and source-origin restrictions.</x:v>
      </x:c>
    </x:row>
    <x:row r="4">
      <x:c r="A4" s="12" t="str">
        <x:v>2016-04-19</x:v>
      </x:c>
      <x:c r="B4" s="12" t="str">
        <x:v>PM</x:v>
      </x:c>
      <x:c r="C4" s="12" t="str">
        <x:v>reaction</x:v>
      </x:c>
      <x:c r="D4" s="12" t="str">
        <x:v>2016-04-19</x:v>
      </x:c>
      <x:c r="E4" s="12" t="n">
        <x:v>0</x:v>
      </x:c>
      <x:c r="F4" s="12" t="str">
        <x:v>TheStreet</x:v>
      </x:c>
      <x:c r="G4" s="12" t="str">
        <x:v>Philip Morris Int'l. Stock Takes a Hit as Q1 Results Fall Short of Expectations</x:v>
      </x:c>
      <x:c r="H4" s="12" t="str">
        <x:v>https://www.thestreet.com/markets/philip-morris-int-l-pm-stock-takes-a-hit-as-q1-results-fall-short-of-expectations-13535590</x:v>
      </x:c>
      <x:c r="I4" s="12" t="str">
        <x:v>OPENED/VERIFIED</x:v>
      </x:c>
      <x:c r="J4" s="12" t="str">
        <x:v>PASS</x:v>
      </x:c>
      <x:c r="K4" s="12" t="str">
        <x:v>PASS</x:v>
      </x:c>
      <x:c r="L4" s="12" t="str">
        <x:v>PASS</x:v>
      </x:c>
      <x:c r="M4" s="12" t="str">
        <x:v>NO</x:v>
      </x:c>
      <x:c r="N4" s="12" t="str">
        <x:v>PASS</x:v>
      </x:c>
      <x:c r="O4" s="12" t="str">
        <x:v>CONTEMPORANEOUS_ATTRIBUTION</x:v>
      </x:c>
      <x:c r="P4" s="12" t="str">
        <x:v>PASS</x:v>
      </x:c>
      <x:c r="Q4" s="12" t="str">
        <x:v>Checked for PM/Philip Morris International identity, exact earnings event, displayed publication date, timing window and source-origin restrictions.</x:v>
      </x:c>
    </x:row>
    <x:row r="5">
      <x:c r="A5" s="12" t="str">
        <x:v>2016-07-19</x:v>
      </x:c>
      <x:c r="B5" s="12" t="str">
        <x:v>PM</x:v>
      </x:c>
      <x:c r="C5" s="12" t="str">
        <x:v>prior</x:v>
      </x:c>
      <x:c r="D5" s="12" t="str">
        <x:v>2016-04-19</x:v>
      </x:c>
      <x:c r="E5" s="12" t="n">
        <x:v>-91</x:v>
      </x:c>
      <x:c r="F5" s="12" t="str">
        <x:v>Philip Morris International</x:v>
      </x:c>
      <x:c r="G5" s="12" t="str">
        <x:v>PMI Reports 2016 First-Quarter Results</x:v>
      </x:c>
      <x:c r="H5" s="12" t="str">
        <x:v>https://www.pmi.com/media-center/press-releases/press-details?newsId=11906</x:v>
      </x:c>
      <x:c r="I5" s="12" t="str">
        <x:v>OPENED/VERIFIED</x:v>
      </x:c>
      <x:c r="J5" s="12" t="str">
        <x:v>PASS</x:v>
      </x:c>
      <x:c r="K5" s="12" t="str">
        <x:v>PASS</x:v>
      </x:c>
      <x:c r="L5" s="12" t="str">
        <x:v>PASS</x:v>
      </x:c>
      <x:c r="M5" s="12" t="str">
        <x:v>NO</x:v>
      </x:c>
      <x:c r="N5" s="12" t="str">
        <x:v>PASS</x:v>
      </x:c>
      <x:c r="O5" s="12" t="str">
        <x:v>FACTUAL</x:v>
      </x:c>
      <x:c r="P5" s="12" t="str">
        <x:v>PASS</x:v>
      </x:c>
      <x:c r="Q5" s="12" t="str">
        <x:v>Checked for PM/Philip Morris International identity, exact earnings event, displayed publication date, timing window and source-origin restrictions.</x:v>
      </x:c>
    </x:row>
    <x:row r="6">
      <x:c r="A6" s="12" t="str">
        <x:v>2016-07-19</x:v>
      </x:c>
      <x:c r="B6" s="12" t="str">
        <x:v>PM</x:v>
      </x:c>
      <x:c r="C6" s="12" t="str">
        <x:v>release</x:v>
      </x:c>
      <x:c r="D6" s="12" t="str">
        <x:v>2016-07-19</x:v>
      </x:c>
      <x:c r="E6" s="12" t="n">
        <x:v>0</x:v>
      </x:c>
      <x:c r="F6" s="12" t="str">
        <x:v>Philip Morris International</x:v>
      </x:c>
      <x:c r="G6" s="12" t="str">
        <x:v>PMI Reports 2016 Second-Quarter Results</x:v>
      </x:c>
      <x:c r="H6" s="12" t="str">
        <x:v>https://www.pmi.com/media-center/press-releases/press-details?newsId=11971</x:v>
      </x:c>
      <x:c r="I6" s="12" t="str">
        <x:v>OPENED/VERIFIED</x:v>
      </x:c>
      <x:c r="J6" s="12" t="str">
        <x:v>PASS</x:v>
      </x:c>
      <x:c r="K6" s="12" t="str">
        <x:v>PASS</x:v>
      </x:c>
      <x:c r="L6" s="12" t="str">
        <x:v>PASS</x:v>
      </x:c>
      <x:c r="M6" s="12" t="str">
        <x:v>NO</x:v>
      </x:c>
      <x:c r="N6" s="12" t="str">
        <x:v>PASS</x:v>
      </x:c>
      <x:c r="O6" s="12" t="str">
        <x:v>FACTUAL</x:v>
      </x:c>
      <x:c r="P6" s="12" t="str">
        <x:v>PASS</x:v>
      </x:c>
      <x:c r="Q6" s="12" t="str">
        <x:v>Checked for PM/Philip Morris International identity, exact earnings event, displayed publication date, timing window and source-origin restrictions.</x:v>
      </x:c>
    </x:row>
    <x:row r="7">
      <x:c r="A7" s="12" t="str">
        <x:v>2016-07-19</x:v>
      </x:c>
      <x:c r="B7" s="12" t="str">
        <x:v>PM</x:v>
      </x:c>
      <x:c r="C7" s="12" t="str">
        <x:v>reaction</x:v>
      </x:c>
      <x:c r="D7" s="12" t="str">
        <x:v>2016-07-19</x:v>
      </x:c>
      <x:c r="E7" s="12" t="n">
        <x:v>0</x:v>
      </x:c>
      <x:c r="F7" s="12" t="str">
        <x:v>TheStreet</x:v>
      </x:c>
      <x:c r="G7" s="12" t="str">
        <x:v>Philip Morris Stock Slides as Q2 Results Miss Expectations</x:v>
      </x:c>
      <x:c r="H7" s="12" t="str">
        <x:v>https://www.thestreet.com/markets/philip-morris-pm-stock-slides-as-q2-results-miss-expectations-13644271</x:v>
      </x:c>
      <x:c r="I7" s="12" t="str">
        <x:v>OPENED/VERIFIED</x:v>
      </x:c>
      <x:c r="J7" s="12" t="str">
        <x:v>PASS</x:v>
      </x:c>
      <x:c r="K7" s="12" t="str">
        <x:v>PASS</x:v>
      </x:c>
      <x:c r="L7" s="12" t="str">
        <x:v>PASS</x:v>
      </x:c>
      <x:c r="M7" s="12" t="str">
        <x:v>NO</x:v>
      </x:c>
      <x:c r="N7" s="12" t="str">
        <x:v>PASS</x:v>
      </x:c>
      <x:c r="O7" s="12" t="str">
        <x:v>CONTEMPORANEOUS_ATTRIBUTION</x:v>
      </x:c>
      <x:c r="P7" s="12" t="str">
        <x:v>PASS</x:v>
      </x:c>
      <x:c r="Q7" s="12" t="str">
        <x:v>Checked for PM/Philip Morris International identity, exact earnings event, displayed publication date, timing window and source-origin restrictions.</x:v>
      </x:c>
    </x:row>
    <x:row r="8">
      <x:c r="A8" s="12" t="str">
        <x:v>2016-10-18</x:v>
      </x:c>
      <x:c r="B8" s="12" t="str">
        <x:v>PM</x:v>
      </x:c>
      <x:c r="C8" s="12" t="str">
        <x:v>prior</x:v>
      </x:c>
      <x:c r="D8" s="12" t="str">
        <x:v>2016-07-19</x:v>
      </x:c>
      <x:c r="E8" s="12" t="n">
        <x:v>-91</x:v>
      </x:c>
      <x:c r="F8" s="12" t="str">
        <x:v>Philip Morris International</x:v>
      </x:c>
      <x:c r="G8" s="12" t="str">
        <x:v>PMI Reports 2016 Second-Quarter Results</x:v>
      </x:c>
      <x:c r="H8" s="12" t="str">
        <x:v>https://www.pmi.com/media-center/press-releases/press-details?newsId=11971</x:v>
      </x:c>
      <x:c r="I8" s="12" t="str">
        <x:v>OPENED/VERIFIED</x:v>
      </x:c>
      <x:c r="J8" s="12" t="str">
        <x:v>PASS</x:v>
      </x:c>
      <x:c r="K8" s="12" t="str">
        <x:v>PASS</x:v>
      </x:c>
      <x:c r="L8" s="12" t="str">
        <x:v>PASS</x:v>
      </x:c>
      <x:c r="M8" s="12" t="str">
        <x:v>NO</x:v>
      </x:c>
      <x:c r="N8" s="12" t="str">
        <x:v>PASS</x:v>
      </x:c>
      <x:c r="O8" s="12" t="str">
        <x:v>FACTUAL</x:v>
      </x:c>
      <x:c r="P8" s="12" t="str">
        <x:v>PASS</x:v>
      </x:c>
      <x:c r="Q8" s="12" t="str">
        <x:v>Checked for PM/Philip Morris International identity, exact earnings event, displayed publication date, timing window and source-origin restrictions.</x:v>
      </x:c>
    </x:row>
    <x:row r="9">
      <x:c r="A9" s="12" t="str">
        <x:v>2016-10-18</x:v>
      </x:c>
      <x:c r="B9" s="12" t="str">
        <x:v>PM</x:v>
      </x:c>
      <x:c r="C9" s="12" t="str">
        <x:v>release</x:v>
      </x:c>
      <x:c r="D9" s="12" t="str">
        <x:v>2016-10-18</x:v>
      </x:c>
      <x:c r="E9" s="12" t="n">
        <x:v>0</x:v>
      </x:c>
      <x:c r="F9" s="12" t="str">
        <x:v>Philip Morris International</x:v>
      </x:c>
      <x:c r="G9" s="12" t="str">
        <x:v>PMI Reports 2016 Third-Quarter Results</x:v>
      </x:c>
      <x:c r="H9" s="12" t="str">
        <x:v>https://philipmorrisinternational.gcs-web.com/static-files/7a14a810-9639-4ec1-bb1f-278356880bb6</x:v>
      </x:c>
      <x:c r="I9" s="12" t="str">
        <x:v>OPENED/VERIFIED</x:v>
      </x:c>
      <x:c r="J9" s="12" t="str">
        <x:v>PASS</x:v>
      </x:c>
      <x:c r="K9" s="12" t="str">
        <x:v>PASS</x:v>
      </x:c>
      <x:c r="L9" s="12" t="str">
        <x:v>PASS</x:v>
      </x:c>
      <x:c r="M9" s="12" t="str">
        <x:v>NO</x:v>
      </x:c>
      <x:c r="N9" s="12" t="str">
        <x:v>PASS</x:v>
      </x:c>
      <x:c r="O9" s="12" t="str">
        <x:v>FACTUAL</x:v>
      </x:c>
      <x:c r="P9" s="12" t="str">
        <x:v>PASS</x:v>
      </x:c>
      <x:c r="Q9" s="12" t="str">
        <x:v>Checked for PM/Philip Morris International identity, exact earnings event, displayed publication date, timing window and source-origin restrictions.</x:v>
      </x:c>
    </x:row>
    <x:row r="10">
      <x:c r="A10" s="12" t="str">
        <x:v>2016-10-18</x:v>
      </x:c>
      <x:c r="B10" s="12" t="str">
        <x:v>PM</x:v>
      </x:c>
      <x:c r="C10" s="12" t="str">
        <x:v>reaction</x:v>
      </x:c>
      <x:c r="D10" s="12" t="str">
        <x:v>2016-10-18</x:v>
      </x:c>
      <x:c r="E10" s="12" t="n">
        <x:v>0</x:v>
      </x:c>
      <x:c r="F10" s="12" t="str">
        <x:v>TheStreet</x:v>
      </x:c>
      <x:c r="G10" s="12" t="str">
        <x:v>Philip Morris Stock Climbs on Q3 Earnings Beat, Dividend</x:v>
      </x:c>
      <x:c r="H10" s="12" t="str">
        <x:v>https://www.thestreet.com/markets/philip-morris-pm-stock-climbs-on-q3-earning-beat-dividend-13857078</x:v>
      </x:c>
      <x:c r="I10" s="12" t="str">
        <x:v>OPENED/VERIFIED</x:v>
      </x:c>
      <x:c r="J10" s="12" t="str">
        <x:v>PASS</x:v>
      </x:c>
      <x:c r="K10" s="12" t="str">
        <x:v>PASS</x:v>
      </x:c>
      <x:c r="L10" s="12" t="str">
        <x:v>PASS</x:v>
      </x:c>
      <x:c r="M10" s="12" t="str">
        <x:v>NO</x:v>
      </x:c>
      <x:c r="N10" s="12" t="str">
        <x:v>PASS</x:v>
      </x:c>
      <x:c r="O10" s="12" t="str">
        <x:v>CONTEMPORANEOUS_ATTRIBUTION</x:v>
      </x:c>
      <x:c r="P10" s="12" t="str">
        <x:v>PASS</x:v>
      </x:c>
      <x:c r="Q10" s="12" t="str">
        <x:v>Checked for PM/Philip Morris International identity, exact earnings event, displayed publication date, timing window and source-origin restrictions.</x:v>
      </x:c>
    </x:row>
    <x:row r="11">
      <x:c r="A11" s="12" t="str">
        <x:v>2017-02-02</x:v>
      </x:c>
      <x:c r="B11" s="12" t="str">
        <x:v>PM</x:v>
      </x:c>
      <x:c r="C11" s="12" t="str">
        <x:v>prior</x:v>
      </x:c>
      <x:c r="D11" s="12" t="str">
        <x:v>2017-01-23</x:v>
      </x:c>
      <x:c r="E11" s="12" t="n">
        <x:v>-10</x:v>
      </x:c>
      <x:c r="F11" s="12" t="str">
        <x:v>The Motley Fool</x:v>
      </x:c>
      <x:c r="G11" s="12" t="str">
        <x:v>Philip Morris Looks for a Big Earnings Boost, but Will It Deliver?</x:v>
      </x:c>
      <x:c r="H11" s="12" t="str">
        <x:v>https://www.fool.com/investing/2017/01/23/philip-morris-looks-for-a-big-earnings-boost-but-w.aspx</x:v>
      </x:c>
      <x:c r="I11" s="12" t="str">
        <x:v>OPENED/VERIFIED</x:v>
      </x:c>
      <x:c r="J11" s="12" t="str">
        <x:v>PASS</x:v>
      </x:c>
      <x:c r="K11" s="12" t="str">
        <x:v>PASS</x:v>
      </x:c>
      <x:c r="L11" s="12" t="str">
        <x:v>PASS</x:v>
      </x:c>
      <x:c r="M11" s="12" t="str">
        <x:v>NO</x:v>
      </x:c>
      <x:c r="N11" s="12" t="str">
        <x:v>PASS</x:v>
      </x:c>
      <x:c r="O11" s="12" t="str">
        <x:v>FACTUAL</x:v>
      </x:c>
      <x:c r="P11" s="12" t="str">
        <x:v>PASS</x:v>
      </x:c>
      <x:c r="Q11" s="12" t="str">
        <x:v>Checked for PM/Philip Morris International identity, exact earnings event, displayed publication date, timing window and source-origin restrictions.</x:v>
      </x:c>
    </x:row>
    <x:row r="12">
      <x:c r="A12" s="12" t="str">
        <x:v>2017-02-02</x:v>
      </x:c>
      <x:c r="B12" s="12" t="str">
        <x:v>PM</x:v>
      </x:c>
      <x:c r="C12" s="12" t="str">
        <x:v>release</x:v>
      </x:c>
      <x:c r="D12" s="12" t="str">
        <x:v>2017-02-02</x:v>
      </x:c>
      <x:c r="E12" s="12" t="n">
        <x:v>0</x:v>
      </x:c>
      <x:c r="F12" s="12" t="str">
        <x:v>Philip Morris International</x:v>
      </x:c>
      <x:c r="G12" s="12" t="str">
        <x:v>PMI Reports 2016 Results; Provides 2017 EPS Forecast</x:v>
      </x:c>
      <x:c r="H12" s="12" t="str">
        <x:v>https://www.pmi.com/media-center/press-releases/press-details?newsId=12066</x:v>
      </x:c>
      <x:c r="I12" s="12" t="str">
        <x:v>OPENED/VERIFIED</x:v>
      </x:c>
      <x:c r="J12" s="12" t="str">
        <x:v>PASS</x:v>
      </x:c>
      <x:c r="K12" s="12" t="str">
        <x:v>PASS</x:v>
      </x:c>
      <x:c r="L12" s="12" t="str">
        <x:v>PASS</x:v>
      </x:c>
      <x:c r="M12" s="12" t="str">
        <x:v>NO</x:v>
      </x:c>
      <x:c r="N12" s="12" t="str">
        <x:v>PASS</x:v>
      </x:c>
      <x:c r="O12" s="12" t="str">
        <x:v>FACTUAL</x:v>
      </x:c>
      <x:c r="P12" s="12" t="str">
        <x:v>PASS</x:v>
      </x:c>
      <x:c r="Q12" s="12" t="str">
        <x:v>Checked for PM/Philip Morris International identity, exact earnings event, displayed publication date, timing window and source-origin restrictions.</x:v>
      </x:c>
    </x:row>
    <x:row r="13">
      <x:c r="A13" s="12" t="str">
        <x:v>2017-02-02</x:v>
      </x:c>
      <x:c r="B13" s="12" t="str">
        <x:v>PM</x:v>
      </x:c>
      <x:c r="C13" s="12" t="str">
        <x:v>reaction</x:v>
      </x:c>
      <x:c r="D13" s="12" t="str">
        <x:v>2017-02-02</x:v>
      </x:c>
      <x:c r="E13" s="12" t="n">
        <x:v>0</x:v>
      </x:c>
      <x:c r="F13" s="12" t="str">
        <x:v>The Motley Fool</x:v>
      </x:c>
      <x:c r="G13" s="12" t="str">
        <x:v>Philip Morris International Sees a Stronger 2017 Ahead</x:v>
      </x:c>
      <x:c r="H13" s="12" t="str">
        <x:v>https://www.fool.com/investing/2017/02/02/philip-morris-international-sees-a-stronger-2017-a.aspx</x:v>
      </x:c>
      <x:c r="I13" s="12" t="str">
        <x:v>OPENED/VERIFIED</x:v>
      </x:c>
      <x:c r="J13" s="12" t="str">
        <x:v>PASS</x:v>
      </x:c>
      <x:c r="K13" s="12" t="str">
        <x:v>PASS</x:v>
      </x:c>
      <x:c r="L13" s="12" t="str">
        <x:v>PASS</x:v>
      </x:c>
      <x:c r="M13" s="12" t="str">
        <x:v>NO</x:v>
      </x:c>
      <x:c r="N13" s="12" t="str">
        <x:v>PASS</x:v>
      </x:c>
      <x:c r="O13" s="12" t="str">
        <x:v>CONTEMPORANEOUS_ATTRIBUTION</x:v>
      </x:c>
      <x:c r="P13" s="12" t="str">
        <x:v>PASS</x:v>
      </x:c>
      <x:c r="Q13" s="12" t="str">
        <x:v>Checked for PM/Philip Morris International identity, exact earnings event, displayed publication date, timing window and source-origin restrictions.</x:v>
      </x:c>
    </x:row>
    <x:row r="14">
      <x:c r="A14" s="12" t="str">
        <x:v>2017-04-20</x:v>
      </x:c>
      <x:c r="B14" s="12" t="str">
        <x:v>PM</x:v>
      </x:c>
      <x:c r="C14" s="12" t="str">
        <x:v>prior</x:v>
      </x:c>
      <x:c r="D14" s="12" t="str">
        <x:v>2017-02-02</x:v>
      </x:c>
      <x:c r="E14" s="12" t="n">
        <x:v>-77</x:v>
      </x:c>
      <x:c r="F14" s="12" t="str">
        <x:v>Philip Morris International</x:v>
      </x:c>
      <x:c r="G14" s="12" t="str">
        <x:v>PMI Reports 2016 Results; Provides 2017 EPS Forecast</x:v>
      </x:c>
      <x:c r="H14" s="12" t="str">
        <x:v>https://www.pmi.com/media-center/press-releases/press-details?newsId=12066</x:v>
      </x:c>
      <x:c r="I14" s="12" t="str">
        <x:v>OPENED/VERIFIED</x:v>
      </x:c>
      <x:c r="J14" s="12" t="str">
        <x:v>PASS</x:v>
      </x:c>
      <x:c r="K14" s="12" t="str">
        <x:v>PASS</x:v>
      </x:c>
      <x:c r="L14" s="12" t="str">
        <x:v>PASS</x:v>
      </x:c>
      <x:c r="M14" s="12" t="str">
        <x:v>NO</x:v>
      </x:c>
      <x:c r="N14" s="12" t="str">
        <x:v>PASS</x:v>
      </x:c>
      <x:c r="O14" s="12" t="str">
        <x:v>FACTUAL</x:v>
      </x:c>
      <x:c r="P14" s="12" t="str">
        <x:v>PASS</x:v>
      </x:c>
      <x:c r="Q14" s="12" t="str">
        <x:v>Checked for PM/Philip Morris International identity, exact earnings event, displayed publication date, timing window and source-origin restrictions.</x:v>
      </x:c>
    </x:row>
    <x:row r="15">
      <x:c r="A15" s="12" t="str">
        <x:v>2017-04-20</x:v>
      </x:c>
      <x:c r="B15" s="12" t="str">
        <x:v>PM</x:v>
      </x:c>
      <x:c r="C15" s="12" t="str">
        <x:v>release</x:v>
      </x:c>
      <x:c r="D15" s="12" t="str">
        <x:v>2017-04-20</x:v>
      </x:c>
      <x:c r="E15" s="12" t="n">
        <x:v>0</x:v>
      </x:c>
      <x:c r="F15" s="12" t="str">
        <x:v>Philip Morris International</x:v>
      </x:c>
      <x:c r="G15" s="12" t="str">
        <x:v>PMI Reports 2017 First-Quarter Results</x:v>
      </x:c>
      <x:c r="H15" s="12" t="str">
        <x:v>https://www.pmi.com/media-center/press-releases/press-details?newsId=12136</x:v>
      </x:c>
      <x:c r="I15" s="12" t="str">
        <x:v>OPENED/VERIFIED</x:v>
      </x:c>
      <x:c r="J15" s="12" t="str">
        <x:v>PASS</x:v>
      </x:c>
      <x:c r="K15" s="12" t="str">
        <x:v>PASS</x:v>
      </x:c>
      <x:c r="L15" s="12" t="str">
        <x:v>PASS</x:v>
      </x:c>
      <x:c r="M15" s="12" t="str">
        <x:v>NO</x:v>
      </x:c>
      <x:c r="N15" s="12" t="str">
        <x:v>PASS</x:v>
      </x:c>
      <x:c r="O15" s="12" t="str">
        <x:v>FACTUAL</x:v>
      </x:c>
      <x:c r="P15" s="12" t="str">
        <x:v>PASS</x:v>
      </x:c>
      <x:c r="Q15" s="12" t="str">
        <x:v>Checked for PM/Philip Morris International identity, exact earnings event, displayed publication date, timing window and source-origin restrictions.</x:v>
      </x:c>
    </x:row>
    <x:row r="16">
      <x:c r="A16" s="12" t="str">
        <x:v>2017-04-20</x:v>
      </x:c>
      <x:c r="B16" s="12" t="str">
        <x:v>PM</x:v>
      </x:c>
      <x:c r="C16" s="12" t="str">
        <x:v>reaction</x:v>
      </x:c>
      <x:c r="D16" s="12" t="str">
        <x:v>2017-04-20</x:v>
      </x:c>
      <x:c r="E16" s="12" t="n">
        <x:v>0</x:v>
      </x:c>
      <x:c r="F16" s="12" t="str">
        <x:v>The Motley Fool</x:v>
      </x:c>
      <x:c r="G16" s="12" t="str">
        <x:v>Plunging Cigarette Shipments Hurt Philip Morris International</x:v>
      </x:c>
      <x:c r="H16" s="12" t="str">
        <x:v>https://www.fool.com/investing/2017/04/20/plunging-cigarette-shipments-hurt-philip-morris-in.aspx</x:v>
      </x:c>
      <x:c r="I16" s="12" t="str">
        <x:v>OPENED/VERIFIED</x:v>
      </x:c>
      <x:c r="J16" s="12" t="str">
        <x:v>PASS</x:v>
      </x:c>
      <x:c r="K16" s="12" t="str">
        <x:v>PASS</x:v>
      </x:c>
      <x:c r="L16" s="12" t="str">
        <x:v>PASS</x:v>
      </x:c>
      <x:c r="M16" s="12" t="str">
        <x:v>NO</x:v>
      </x:c>
      <x:c r="N16" s="12" t="str">
        <x:v>PASS</x:v>
      </x:c>
      <x:c r="O16" s="12" t="str">
        <x:v>CONTEMPORANEOUS_ATTRIBUTION</x:v>
      </x:c>
      <x:c r="P16" s="12" t="str">
        <x:v>PASS</x:v>
      </x:c>
      <x:c r="Q16" s="12" t="str">
        <x:v>Checked for PM/Philip Morris International identity, exact earnings event, displayed publication date, timing window and source-origin restrictions.</x:v>
      </x:c>
    </x:row>
    <x:row r="17">
      <x:c r="A17" s="12" t="str">
        <x:v>2017-07-20</x:v>
      </x:c>
      <x:c r="B17" s="12" t="str">
        <x:v>PM</x:v>
      </x:c>
      <x:c r="C17" s="12" t="str">
        <x:v>prior</x:v>
      </x:c>
      <x:c r="D17" s="12" t="str">
        <x:v>2017-04-20</x:v>
      </x:c>
      <x:c r="E17" s="12" t="n">
        <x:v>-91</x:v>
      </x:c>
      <x:c r="F17" s="12" t="str">
        <x:v>Philip Morris International</x:v>
      </x:c>
      <x:c r="G17" s="12" t="str">
        <x:v>PMI Reports 2017 First-Quarter Results</x:v>
      </x:c>
      <x:c r="H17" s="12" t="str">
        <x:v>https://www.pmi.com/media-center/press-releases/press-details?newsId=12136</x:v>
      </x:c>
      <x:c r="I17" s="12" t="str">
        <x:v>OPENED/VERIFIED</x:v>
      </x:c>
      <x:c r="J17" s="12" t="str">
        <x:v>PASS</x:v>
      </x:c>
      <x:c r="K17" s="12" t="str">
        <x:v>PASS</x:v>
      </x:c>
      <x:c r="L17" s="12" t="str">
        <x:v>PASS</x:v>
      </x:c>
      <x:c r="M17" s="12" t="str">
        <x:v>NO</x:v>
      </x:c>
      <x:c r="N17" s="12" t="str">
        <x:v>PASS</x:v>
      </x:c>
      <x:c r="O17" s="12" t="str">
        <x:v>FACTUAL</x:v>
      </x:c>
      <x:c r="P17" s="12" t="str">
        <x:v>PASS</x:v>
      </x:c>
      <x:c r="Q17" s="12" t="str">
        <x:v>Checked for PM/Philip Morris International identity, exact earnings event, displayed publication date, timing window and source-origin restrictions.</x:v>
      </x:c>
    </x:row>
    <x:row r="18">
      <x:c r="A18" s="12" t="str">
        <x:v>2017-07-20</x:v>
      </x:c>
      <x:c r="B18" s="12" t="str">
        <x:v>PM</x:v>
      </x:c>
      <x:c r="C18" s="12" t="str">
        <x:v>release</x:v>
      </x:c>
      <x:c r="D18" s="12" t="str">
        <x:v>2017-07-20</x:v>
      </x:c>
      <x:c r="E18" s="12" t="n">
        <x:v>0</x:v>
      </x:c>
      <x:c r="F18" s="12" t="str">
        <x:v>Philip Morris International</x:v>
      </x:c>
      <x:c r="G18" s="12" t="str">
        <x:v>PMI Reports 2017 Second-Quarter Results</x:v>
      </x:c>
      <x:c r="H18" s="12" t="str">
        <x:v>https://www.pmi.com/media-center/press-releases/press-details?newsId=12211</x:v>
      </x:c>
      <x:c r="I18" s="12" t="str">
        <x:v>OPENED/VERIFIED</x:v>
      </x:c>
      <x:c r="J18" s="12" t="str">
        <x:v>PASS</x:v>
      </x:c>
      <x:c r="K18" s="12" t="str">
        <x:v>PASS</x:v>
      </x:c>
      <x:c r="L18" s="12" t="str">
        <x:v>PASS</x:v>
      </x:c>
      <x:c r="M18" s="12" t="str">
        <x:v>NO</x:v>
      </x:c>
      <x:c r="N18" s="12" t="str">
        <x:v>PASS</x:v>
      </x:c>
      <x:c r="O18" s="12" t="str">
        <x:v>FACTUAL</x:v>
      </x:c>
      <x:c r="P18" s="12" t="str">
        <x:v>PASS</x:v>
      </x:c>
      <x:c r="Q18" s="12" t="str">
        <x:v>Checked for PM/Philip Morris International identity, exact earnings event, displayed publication date, timing window and source-origin restrictions.</x:v>
      </x:c>
    </x:row>
    <x:row r="19">
      <x:c r="A19" s="12" t="str">
        <x:v>2017-07-20</x:v>
      </x:c>
      <x:c r="B19" s="12" t="str">
        <x:v>PM</x:v>
      </x:c>
      <x:c r="C19" s="12" t="str">
        <x:v>reaction</x:v>
      </x:c>
      <x:c r="D19" s="12" t="str">
        <x:v>2017-07-20</x:v>
      </x:c>
      <x:c r="E19" s="12" t="n">
        <x:v>0</x:v>
      </x:c>
      <x:c r="F19" s="12" t="str">
        <x:v>The Motley Fool</x:v>
      </x:c>
      <x:c r="G19" s="12" t="str">
        <x:v>Philip Morris International Disappoints as Currency Headwinds Return</x:v>
      </x:c>
      <x:c r="H19" s="12" t="str">
        <x:v>https://www.fool.com/investing/2017/07/20/philip-morris-international-disappoints-as-currenc.aspx</x:v>
      </x:c>
      <x:c r="I19" s="12" t="str">
        <x:v>OPENED/VERIFIED</x:v>
      </x:c>
      <x:c r="J19" s="12" t="str">
        <x:v>PASS</x:v>
      </x:c>
      <x:c r="K19" s="12" t="str">
        <x:v>PASS</x:v>
      </x:c>
      <x:c r="L19" s="12" t="str">
        <x:v>PASS</x:v>
      </x:c>
      <x:c r="M19" s="12" t="str">
        <x:v>NO</x:v>
      </x:c>
      <x:c r="N19" s="12" t="str">
        <x:v>PASS</x:v>
      </x:c>
      <x:c r="O19" s="12" t="str">
        <x:v>CONTEMPORANEOUS_ATTRIBUTION</x:v>
      </x:c>
      <x:c r="P19" s="12" t="str">
        <x:v>PASS</x:v>
      </x:c>
      <x:c r="Q19" s="12" t="str">
        <x:v>Checked for PM/Philip Morris International identity, exact earnings event, displayed publication date, timing window and source-origin restrictions.</x:v>
      </x:c>
    </x:row>
    <x:row r="20">
      <x:c r="A20" s="12" t="str">
        <x:v>2017-10-19</x:v>
      </x:c>
      <x:c r="B20" s="12" t="str">
        <x:v>PM</x:v>
      </x:c>
      <x:c r="C20" s="12" t="str">
        <x:v>prior</x:v>
      </x:c>
      <x:c r="D20" s="12" t="str">
        <x:v>2017-07-20</x:v>
      </x:c>
      <x:c r="E20" s="12" t="n">
        <x:v>-91</x:v>
      </x:c>
      <x:c r="F20" s="12" t="str">
        <x:v>Philip Morris International</x:v>
      </x:c>
      <x:c r="G20" s="12" t="str">
        <x:v>PMI Reports 2017 Second-Quarter Results</x:v>
      </x:c>
      <x:c r="H20" s="12" t="str">
        <x:v>https://www.pmi.com/media-center/press-releases/press-details?newsId=12211</x:v>
      </x:c>
      <x:c r="I20" s="12" t="str">
        <x:v>OPENED/VERIFIED</x:v>
      </x:c>
      <x:c r="J20" s="12" t="str">
        <x:v>PASS</x:v>
      </x:c>
      <x:c r="K20" s="12" t="str">
        <x:v>PASS</x:v>
      </x:c>
      <x:c r="L20" s="12" t="str">
        <x:v>PASS</x:v>
      </x:c>
      <x:c r="M20" s="12" t="str">
        <x:v>NO</x:v>
      </x:c>
      <x:c r="N20" s="12" t="str">
        <x:v>PASS</x:v>
      </x:c>
      <x:c r="O20" s="12" t="str">
        <x:v>FACTUAL</x:v>
      </x:c>
      <x:c r="P20" s="12" t="str">
        <x:v>PASS</x:v>
      </x:c>
      <x:c r="Q20" s="12" t="str">
        <x:v>Checked for PM/Philip Morris International identity, exact earnings event, displayed publication date, timing window and source-origin restrictions.</x:v>
      </x:c>
    </x:row>
    <x:row r="21">
      <x:c r="A21" s="12" t="str">
        <x:v>2017-10-19</x:v>
      </x:c>
      <x:c r="B21" s="12" t="str">
        <x:v>PM</x:v>
      </x:c>
      <x:c r="C21" s="12" t="str">
        <x:v>release</x:v>
      </x:c>
      <x:c r="D21" s="12" t="str">
        <x:v>2017-10-19</x:v>
      </x:c>
      <x:c r="E21" s="12" t="n">
        <x:v>0</x:v>
      </x:c>
      <x:c r="F21" s="12" t="str">
        <x:v>Philip Morris International</x:v>
      </x:c>
      <x:c r="G21" s="12" t="str">
        <x:v>PMI Reports 2017 Third-Quarter Results</x:v>
      </x:c>
      <x:c r="H21" s="12" t="str">
        <x:v>https://www.pmi.com/media-center/press-releases/press-details?newsId=12276</x:v>
      </x:c>
      <x:c r="I21" s="12" t="str">
        <x:v>OPENED/VERIFIED</x:v>
      </x:c>
      <x:c r="J21" s="12" t="str">
        <x:v>PASS</x:v>
      </x:c>
      <x:c r="K21" s="12" t="str">
        <x:v>PASS</x:v>
      </x:c>
      <x:c r="L21" s="12" t="str">
        <x:v>PASS</x:v>
      </x:c>
      <x:c r="M21" s="12" t="str">
        <x:v>NO</x:v>
      </x:c>
      <x:c r="N21" s="12" t="str">
        <x:v>PASS</x:v>
      </x:c>
      <x:c r="O21" s="12" t="str">
        <x:v>FACTUAL</x:v>
      </x:c>
      <x:c r="P21" s="12" t="str">
        <x:v>PASS</x:v>
      </x:c>
      <x:c r="Q21" s="12" t="str">
        <x:v>Checked for PM/Philip Morris International identity, exact earnings event, displayed publication date, timing window and source-origin restrictions.</x:v>
      </x:c>
    </x:row>
    <x:row r="22">
      <x:c r="A22" s="12" t="str">
        <x:v>2017-10-19</x:v>
      </x:c>
      <x:c r="B22" s="12" t="str">
        <x:v>PM</x:v>
      </x:c>
      <x:c r="C22" s="12" t="str">
        <x:v>reaction</x:v>
      </x:c>
      <x:c r="D22" s="12" t="str">
        <x:v>2017-10-19</x:v>
      </x:c>
      <x:c r="E22" s="12" t="n">
        <x:v>0</x:v>
      </x:c>
      <x:c r="F22" s="12" t="str">
        <x:v>The Motley Fool</x:v>
      </x:c>
      <x:c r="G22" s="12" t="str">
        <x:v>Why Can't Philip Morris International Catch a Break?</x:v>
      </x:c>
      <x:c r="H22" s="12" t="str">
        <x:v>https://www.fool.com/investing/2017/10/19/why-cant-philip-morris-international-catch-a-break.aspx</x:v>
      </x:c>
      <x:c r="I22" s="12" t="str">
        <x:v>OPENED/VERIFIED</x:v>
      </x:c>
      <x:c r="J22" s="12" t="str">
        <x:v>PASS</x:v>
      </x:c>
      <x:c r="K22" s="12" t="str">
        <x:v>PASS</x:v>
      </x:c>
      <x:c r="L22" s="12" t="str">
        <x:v>PASS</x:v>
      </x:c>
      <x:c r="M22" s="12" t="str">
        <x:v>NO</x:v>
      </x:c>
      <x:c r="N22" s="12" t="str">
        <x:v>PASS</x:v>
      </x:c>
      <x:c r="O22" s="12" t="str">
        <x:v>CONTEMPORANEOUS_ATTRIBUTION</x:v>
      </x:c>
      <x:c r="P22" s="12" t="str">
        <x:v>PASS</x:v>
      </x:c>
      <x:c r="Q22" s="12" t="str">
        <x:v>Checked for PM/Philip Morris International identity, exact earnings event, displayed publication date, timing window and source-origin restrictions.</x:v>
      </x:c>
    </x:row>
    <x:row r="23">
      <x:c r="A23" s="12" t="str">
        <x:v>2018-02-08</x:v>
      </x:c>
      <x:c r="B23" s="12" t="str">
        <x:v>PM</x:v>
      </x:c>
      <x:c r="C23" s="12" t="str">
        <x:v>prior</x:v>
      </x:c>
      <x:c r="D23" s="12" t="str">
        <x:v>2018-02-02</x:v>
      </x:c>
      <x:c r="E23" s="12" t="n">
        <x:v>-6</x:v>
      </x:c>
      <x:c r="F23" s="12" t="str">
        <x:v>The Motley Fool</x:v>
      </x:c>
      <x:c r="G23" s="12" t="str">
        <x:v>Philip Morris Looks for a Big Profit Boost</x:v>
      </x:c>
      <x:c r="H23" s="12" t="str">
        <x:v>https://www.fool.com/investing/2018/02/02/philip-morris-looks-for-a-big-profit-boost.aspx</x:v>
      </x:c>
      <x:c r="I23" s="12" t="str">
        <x:v>OPENED/VERIFIED</x:v>
      </x:c>
      <x:c r="J23" s="12" t="str">
        <x:v>PASS</x:v>
      </x:c>
      <x:c r="K23" s="12" t="str">
        <x:v>PASS</x:v>
      </x:c>
      <x:c r="L23" s="12" t="str">
        <x:v>PASS</x:v>
      </x:c>
      <x:c r="M23" s="12" t="str">
        <x:v>NO</x:v>
      </x:c>
      <x:c r="N23" s="12" t="str">
        <x:v>PASS</x:v>
      </x:c>
      <x:c r="O23" s="12" t="str">
        <x:v>FACTUAL</x:v>
      </x:c>
      <x:c r="P23" s="12" t="str">
        <x:v>PASS</x:v>
      </x:c>
      <x:c r="Q23" s="12" t="str">
        <x:v>Checked for PM/Philip Morris International identity, exact earnings event, displayed publication date, timing window and source-origin restrictions.</x:v>
      </x:c>
    </x:row>
    <x:row r="24">
      <x:c r="A24" s="12" t="str">
        <x:v>2018-02-08</x:v>
      </x:c>
      <x:c r="B24" s="12" t="str">
        <x:v>PM</x:v>
      </x:c>
      <x:c r="C24" s="12" t="str">
        <x:v>release</x:v>
      </x:c>
      <x:c r="D24" s="12" t="str">
        <x:v>2018-02-08</x:v>
      </x:c>
      <x:c r="E24" s="12" t="n">
        <x:v>0</x:v>
      </x:c>
      <x:c r="F24" s="12" t="str">
        <x:v>Philip Morris International</x:v>
      </x:c>
      <x:c r="G24" s="12" t="str">
        <x:v>PMI Reports 2017 Results; Provides 2018 EPS Forecast</x:v>
      </x:c>
      <x:c r="H24" s="12" t="str">
        <x:v>https://www.pmi.com/media-center/press-releases/press-details?newsId=12336</x:v>
      </x:c>
      <x:c r="I24" s="12" t="str">
        <x:v>OPENED/VERIFIED</x:v>
      </x:c>
      <x:c r="J24" s="12" t="str">
        <x:v>PASS</x:v>
      </x:c>
      <x:c r="K24" s="12" t="str">
        <x:v>PASS</x:v>
      </x:c>
      <x:c r="L24" s="12" t="str">
        <x:v>PASS</x:v>
      </x:c>
      <x:c r="M24" s="12" t="str">
        <x:v>NO</x:v>
      </x:c>
      <x:c r="N24" s="12" t="str">
        <x:v>PASS</x:v>
      </x:c>
      <x:c r="O24" s="12" t="str">
        <x:v>FACTUAL</x:v>
      </x:c>
      <x:c r="P24" s="12" t="str">
        <x:v>PASS</x:v>
      </x:c>
      <x:c r="Q24" s="12" t="str">
        <x:v>Checked for PM/Philip Morris International identity, exact earnings event, displayed publication date, timing window and source-origin restrictions.</x:v>
      </x:c>
    </x:row>
    <x:row r="25">
      <x:c r="A25" s="12" t="str">
        <x:v>2018-02-08</x:v>
      </x:c>
      <x:c r="B25" s="12" t="str">
        <x:v>PM</x:v>
      </x:c>
      <x:c r="C25" s="12" t="str">
        <x:v>reaction</x:v>
      </x:c>
      <x:c r="D25" s="12" t="str">
        <x:v>2018-02-09</x:v>
      </x:c>
      <x:c r="E25" s="12" t="n">
        <x:v>1</x:v>
      </x:c>
      <x:c r="F25" s="12" t="str">
        <x:v>The Motley Fool</x:v>
      </x:c>
      <x:c r="G25" s="12" t="str">
        <x:v>Philip Morris International Expects a Better 2018</x:v>
      </x:c>
      <x:c r="H25" s="12" t="str">
        <x:v>https://www.fool.com/investing/2018/02/09/philip-morris-international-expects-a-better-2018.aspx</x:v>
      </x:c>
      <x:c r="I25" s="12" t="str">
        <x:v>OPENED/VERIFIED</x:v>
      </x:c>
      <x:c r="J25" s="12" t="str">
        <x:v>PASS</x:v>
      </x:c>
      <x:c r="K25" s="12" t="str">
        <x:v>PASS</x:v>
      </x:c>
      <x:c r="L25" s="12" t="str">
        <x:v>PASS</x:v>
      </x:c>
      <x:c r="M25" s="12" t="str">
        <x:v>NO</x:v>
      </x:c>
      <x:c r="N25" s="12" t="str">
        <x:v>PASS</x:v>
      </x:c>
      <x:c r="O25" s="12" t="str">
        <x:v>CONTEMPORANEOUS_ATTRIBUTION</x:v>
      </x:c>
      <x:c r="P25" s="12" t="str">
        <x:v>PASS</x:v>
      </x:c>
      <x:c r="Q25" s="12" t="str">
        <x:v>Checked for PM/Philip Morris International identity, exact earnings event, displayed publication date, timing window and source-origin restrictions.</x:v>
      </x:c>
    </x:row>
    <x:row r="26">
      <x:c r="A26" s="12" t="str">
        <x:v>2018-04-19</x:v>
      </x:c>
      <x:c r="B26" s="12" t="str">
        <x:v>PM</x:v>
      </x:c>
      <x:c r="C26" s="12" t="str">
        <x:v>prior</x:v>
      </x:c>
      <x:c r="D26" s="12" t="str">
        <x:v>2018-02-08</x:v>
      </x:c>
      <x:c r="E26" s="12" t="n">
        <x:v>-70</x:v>
      </x:c>
      <x:c r="F26" s="12" t="str">
        <x:v>Philip Morris International</x:v>
      </x:c>
      <x:c r="G26" s="12" t="str">
        <x:v>PMI Reports 2017 Results; Provides 2018 EPS Forecast</x:v>
      </x:c>
      <x:c r="H26" s="12" t="str">
        <x:v>https://www.pmi.com/media-center/press-releases/press-details?newsId=12336</x:v>
      </x:c>
      <x:c r="I26" s="12" t="str">
        <x:v>OPENED/VERIFIED</x:v>
      </x:c>
      <x:c r="J26" s="12" t="str">
        <x:v>PASS</x:v>
      </x:c>
      <x:c r="K26" s="12" t="str">
        <x:v>PASS</x:v>
      </x:c>
      <x:c r="L26" s="12" t="str">
        <x:v>PASS</x:v>
      </x:c>
      <x:c r="M26" s="12" t="str">
        <x:v>NO</x:v>
      </x:c>
      <x:c r="N26" s="12" t="str">
        <x:v>PASS</x:v>
      </x:c>
      <x:c r="O26" s="12" t="str">
        <x:v>FACTUAL</x:v>
      </x:c>
      <x:c r="P26" s="12" t="str">
        <x:v>PASS</x:v>
      </x:c>
      <x:c r="Q26" s="12" t="str">
        <x:v>Checked for PM/Philip Morris International identity, exact earnings event, displayed publication date, timing window and source-origin restrictions.</x:v>
      </x:c>
    </x:row>
    <x:row r="27">
      <x:c r="A27" s="12" t="str">
        <x:v>2018-04-19</x:v>
      </x:c>
      <x:c r="B27" s="12" t="str">
        <x:v>PM</x:v>
      </x:c>
      <x:c r="C27" s="12" t="str">
        <x:v>release</x:v>
      </x:c>
      <x:c r="D27" s="12" t="str">
        <x:v>2018-04-19</x:v>
      </x:c>
      <x:c r="E27" s="12" t="n">
        <x:v>0</x:v>
      </x:c>
      <x:c r="F27" s="12" t="str">
        <x:v>Philip Morris International</x:v>
      </x:c>
      <x:c r="G27" s="12" t="str">
        <x:v>PMI Reports 2018 First-Quarter Results</x:v>
      </x:c>
      <x:c r="H27" s="12" t="str">
        <x:v>https://www.pmi.com/media-center/press-releases/press-details?newsId=12386</x:v>
      </x:c>
      <x:c r="I27" s="12" t="str">
        <x:v>OPENED/VERIFIED</x:v>
      </x:c>
      <x:c r="J27" s="12" t="str">
        <x:v>PASS</x:v>
      </x:c>
      <x:c r="K27" s="12" t="str">
        <x:v>PASS</x:v>
      </x:c>
      <x:c r="L27" s="12" t="str">
        <x:v>PASS</x:v>
      </x:c>
      <x:c r="M27" s="12" t="str">
        <x:v>NO</x:v>
      </x:c>
      <x:c r="N27" s="12" t="str">
        <x:v>PASS</x:v>
      </x:c>
      <x:c r="O27" s="12" t="str">
        <x:v>FACTUAL</x:v>
      </x:c>
      <x:c r="P27" s="12" t="str">
        <x:v>PASS</x:v>
      </x:c>
      <x:c r="Q27" s="12" t="str">
        <x:v>Checked for PM/Philip Morris International identity, exact earnings event, displayed publication date, timing window and source-origin restrictions.</x:v>
      </x:c>
    </x:row>
    <x:row r="28">
      <x:c r="A28" s="12" t="str">
        <x:v>2018-04-19</x:v>
      </x:c>
      <x:c r="B28" s="12" t="str">
        <x:v>PM</x:v>
      </x:c>
      <x:c r="C28" s="12" t="str">
        <x:v>reaction</x:v>
      </x:c>
      <x:c r="D28" s="12" t="str">
        <x:v>2018-04-19</x:v>
      </x:c>
      <x:c r="E28" s="12" t="n">
        <x:v>0</x:v>
      </x:c>
      <x:c r="F28" s="12" t="str">
        <x:v>The Motley Fool</x:v>
      </x:c>
      <x:c r="G28" s="12" t="str">
        <x:v>Why Shares of Altria Group, Inc. and Philip Morris International Fell Today</x:v>
      </x:c>
      <x:c r="H28" s="12" t="str">
        <x:v>https://www.fool.com/investing/2018/04/19/why-shares-of-altria-group-inc-and-philip-morris-i.aspx</x:v>
      </x:c>
      <x:c r="I28" s="12" t="str">
        <x:v>OPENED/VERIFIED</x:v>
      </x:c>
      <x:c r="J28" s="12" t="str">
        <x:v>PASS</x:v>
      </x:c>
      <x:c r="K28" s="12" t="str">
        <x:v>PASS</x:v>
      </x:c>
      <x:c r="L28" s="12" t="str">
        <x:v>PASS</x:v>
      </x:c>
      <x:c r="M28" s="12" t="str">
        <x:v>NO</x:v>
      </x:c>
      <x:c r="N28" s="12" t="str">
        <x:v>PASS</x:v>
      </x:c>
      <x:c r="O28" s="12" t="str">
        <x:v>CONTEMPORANEOUS_ATTRIBUTION</x:v>
      </x:c>
      <x:c r="P28" s="12" t="str">
        <x:v>PASS</x:v>
      </x:c>
      <x:c r="Q28" s="12" t="str">
        <x:v>Checked for PM/Philip Morris International identity, exact earnings event, displayed publication date, timing window and source-origin restrictions.</x:v>
      </x:c>
    </x:row>
    <x:row r="29">
      <x:c r="A29" s="12" t="str">
        <x:v>2018-07-19</x:v>
      </x:c>
      <x:c r="B29" s="12" t="str">
        <x:v>PM</x:v>
      </x:c>
      <x:c r="C29" s="12" t="str">
        <x:v>prior</x:v>
      </x:c>
      <x:c r="D29" s="12" t="str">
        <x:v>2018-04-19</x:v>
      </x:c>
      <x:c r="E29" s="12" t="n">
        <x:v>-91</x:v>
      </x:c>
      <x:c r="F29" s="12" t="str">
        <x:v>Philip Morris International</x:v>
      </x:c>
      <x:c r="G29" s="12" t="str">
        <x:v>PMI Reports 2018 First-Quarter Results</x:v>
      </x:c>
      <x:c r="H29" s="12" t="str">
        <x:v>https://www.pmi.com/media-center/press-releases/press-details?newsId=12386</x:v>
      </x:c>
      <x:c r="I29" s="12" t="str">
        <x:v>OPENED/VERIFIED</x:v>
      </x:c>
      <x:c r="J29" s="12" t="str">
        <x:v>PASS</x:v>
      </x:c>
      <x:c r="K29" s="12" t="str">
        <x:v>PASS</x:v>
      </x:c>
      <x:c r="L29" s="12" t="str">
        <x:v>PASS</x:v>
      </x:c>
      <x:c r="M29" s="12" t="str">
        <x:v>NO</x:v>
      </x:c>
      <x:c r="N29" s="12" t="str">
        <x:v>PASS</x:v>
      </x:c>
      <x:c r="O29" s="12" t="str">
        <x:v>FACTUAL</x:v>
      </x:c>
      <x:c r="P29" s="12" t="str">
        <x:v>PASS</x:v>
      </x:c>
      <x:c r="Q29" s="12" t="str">
        <x:v>Checked for PM/Philip Morris International identity, exact earnings event, displayed publication date, timing window and source-origin restrictions.</x:v>
      </x:c>
    </x:row>
    <x:row r="30">
      <x:c r="A30" s="12" t="str">
        <x:v>2018-07-19</x:v>
      </x:c>
      <x:c r="B30" s="12" t="str">
        <x:v>PM</x:v>
      </x:c>
      <x:c r="C30" s="12" t="str">
        <x:v>release</x:v>
      </x:c>
      <x:c r="D30" s="12" t="str">
        <x:v>2018-07-19</x:v>
      </x:c>
      <x:c r="E30" s="12" t="n">
        <x:v>0</x:v>
      </x:c>
      <x:c r="F30" s="12" t="str">
        <x:v>Philip Morris International</x:v>
      </x:c>
      <x:c r="G30" s="12" t="str">
        <x:v>PMI Reports 2018 Second-Quarter Results</x:v>
      </x:c>
      <x:c r="H30" s="12" t="str">
        <x:v>https://www.pmi.com/media-center/press-releases/press-details?newsId=12446</x:v>
      </x:c>
      <x:c r="I30" s="12" t="str">
        <x:v>OPENED/VERIFIED</x:v>
      </x:c>
      <x:c r="J30" s="12" t="str">
        <x:v>PASS</x:v>
      </x:c>
      <x:c r="K30" s="12" t="str">
        <x:v>PASS</x:v>
      </x:c>
      <x:c r="L30" s="12" t="str">
        <x:v>PASS</x:v>
      </x:c>
      <x:c r="M30" s="12" t="str">
        <x:v>NO</x:v>
      </x:c>
      <x:c r="N30" s="12" t="str">
        <x:v>PASS</x:v>
      </x:c>
      <x:c r="O30" s="12" t="str">
        <x:v>FACTUAL</x:v>
      </x:c>
      <x:c r="P30" s="12" t="str">
        <x:v>PASS</x:v>
      </x:c>
      <x:c r="Q30" s="12" t="str">
        <x:v>Checked for PM/Philip Morris International identity, exact earnings event, displayed publication date, timing window and source-origin restrictions.</x:v>
      </x:c>
    </x:row>
    <x:row r="31">
      <x:c r="A31" s="12" t="str">
        <x:v>2018-07-19</x:v>
      </x:c>
      <x:c r="B31" s="12" t="str">
        <x:v>PM</x:v>
      </x:c>
      <x:c r="C31" s="12" t="str">
        <x:v>reaction</x:v>
      </x:c>
      <x:c r="D31" s="12" t="str">
        <x:v>2018-07-19</x:v>
      </x:c>
      <x:c r="E31" s="12" t="n">
        <x:v>0</x:v>
      </x:c>
      <x:c r="F31" s="12" t="str">
        <x:v>The Motley Fool</x:v>
      </x:c>
      <x:c r="G31" s="12" t="str">
        <x:v>Why Philip Morris International Inc Shares Were Sliding Today</x:v>
      </x:c>
      <x:c r="H31" s="12" t="str">
        <x:v>https://www.fool.com/investing/2018/07/19/why-philip-morris-international-inc-shares-were-sl.aspx</x:v>
      </x:c>
      <x:c r="I31" s="12" t="str">
        <x:v>OPENED/VERIFIED</x:v>
      </x:c>
      <x:c r="J31" s="12" t="str">
        <x:v>PASS</x:v>
      </x:c>
      <x:c r="K31" s="12" t="str">
        <x:v>PASS</x:v>
      </x:c>
      <x:c r="L31" s="12" t="str">
        <x:v>PASS</x:v>
      </x:c>
      <x:c r="M31" s="12" t="str">
        <x:v>NO</x:v>
      </x:c>
      <x:c r="N31" s="12" t="str">
        <x:v>PASS</x:v>
      </x:c>
      <x:c r="O31" s="12" t="str">
        <x:v>CONTEMPORANEOUS_ATTRIBUTION</x:v>
      </x:c>
      <x:c r="P31" s="12" t="str">
        <x:v>PASS</x:v>
      </x:c>
      <x:c r="Q31" s="12" t="str">
        <x:v>Checked for PM/Philip Morris International identity, exact earnings event, displayed publication date, timing window and source-origin restrictions.</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4" hidden="0" customWidth="1"/>
    <x:col min="2" max="2" width="9" hidden="0" customWidth="1"/>
    <x:col min="3" max="3" width="13" hidden="0" customWidth="1"/>
    <x:col min="4" max="4" width="16" hidden="0" customWidth="1"/>
    <x:col min="5" max="5" width="18" hidden="0" customWidth="1"/>
    <x:col min="6" max="6" width="20" hidden="0" customWidth="1"/>
    <x:col min="7" max="7" width="20" hidden="0" customWidth="1"/>
    <x:col min="8" max="8" width="18" hidden="0" customWidth="1"/>
    <x:col min="9" max="9" width="14" hidden="0" customWidth="1"/>
    <x:col min="10" max="10" width="23" hidden="0" customWidth="1"/>
    <x:col min="11" max="11" width="14" hidden="0" customWidth="1"/>
  </x:cols>
  <x:sheetData>
    <x:row r="1">
      <x:c r="A1" s="5" t="str">
        <x:v>earnings_date</x:v>
      </x:c>
      <x:c r="B1" s="5" t="str">
        <x:v>ticker</x:v>
      </x:c>
      <x:c r="C1" s="5" t="str">
        <x:v>ret_1day_pct</x:v>
      </x:c>
      <x:c r="D1" s="5" t="str">
        <x:v>ret_1daypost_pct</x:v>
      </x:c>
      <x:c r="E1" s="5" t="str">
        <x:v>reaction_basis</x:v>
      </x:c>
      <x:c r="F1" s="5" t="str">
        <x:v>computed_direction</x:v>
      </x:c>
      <x:c r="G1" s="5" t="str">
        <x:v>narrative_direction</x:v>
      </x:c>
      <x:c r="H1" s="5" t="str">
        <x:v>direction_match</x:v>
      </x:c>
      <x:c r="I1" s="5" t="str">
        <x:v>source_count</x:v>
      </x:c>
      <x:c r="J1" s="5" t="str">
        <x:v>source_audit_pass_count</x:v>
      </x:c>
      <x:c r="K1" s="5" t="str">
        <x:v>qa_status</x:v>
      </x:c>
    </x:row>
    <x:row r="2">
      <x:c r="A2" t="str">
        <x:v>2016-04-19</x:v>
      </x:c>
      <x:c r="B2" t="str">
        <x:v>PM</x:v>
      </x:c>
      <x:c r="C2" s="20" t="n">
        <x:v>-1.76</x:v>
      </x:c>
      <x:c r="D2" s="20" t="n">
        <x:v>-1.28</x:v>
      </x:c>
      <x:c r="E2" t="str">
        <x:v>ret_1day_pct</x:v>
      </x:c>
      <x:c r="F2" t="str">
        <x:f>IF(C2&gt;0.1,"UP",IF(C2&lt;-0.1,"DOWN","FLAT"))</x:f>
        <x:v>DOWN</x:v>
      </x:c>
      <x:c r="G2" t="str">
        <x:v>DOWN</x:v>
      </x:c>
      <x:c r="H2" t="str">
        <x:f>IF(F2=G2,"PASS","FAIL")</x:f>
        <x:v>PASS</x:v>
      </x:c>
      <x:c r="I2" t="n">
        <x:v>3</x:v>
      </x:c>
      <x:c r="J2" t="n">
        <x:f>COUNTIFS('Source Audit'!$A:$A,A2,'Source Audit'!$P:$P,"PASS")</x:f>
        <x:v>3</x:v>
      </x:c>
      <x:c r="K2" t="str">
        <x:f>IF(AND(H2="PASS",J2=I2),"PASS","FAIL")</x:f>
        <x:v>PASS</x:v>
      </x:c>
    </x:row>
    <x:row r="3">
      <x:c r="A3" t="str">
        <x:v>2016-07-19</x:v>
      </x:c>
      <x:c r="B3" t="str">
        <x:v>PM</x:v>
      </x:c>
      <x:c r="C3" s="20" t="n">
        <x:v>-2.78</x:v>
      </x:c>
      <x:c r="D3" s="20" t="n">
        <x:v>-0.7</x:v>
      </x:c>
      <x:c r="E3" t="str">
        <x:v>ret_1day_pct</x:v>
      </x:c>
      <x:c r="F3" t="str">
        <x:f>IF(C3&gt;0.1,"UP",IF(C3&lt;-0.1,"DOWN","FLAT"))</x:f>
        <x:v>DOWN</x:v>
      </x:c>
      <x:c r="G3" t="str">
        <x:v>DOWN</x:v>
      </x:c>
      <x:c r="H3" t="str">
        <x:f>IF(F3=G3,"PASS","FAIL")</x:f>
        <x:v>PASS</x:v>
      </x:c>
      <x:c r="I3" t="n">
        <x:v>3</x:v>
      </x:c>
      <x:c r="J3" t="n">
        <x:f>COUNTIFS('Source Audit'!$A:$A,A3,'Source Audit'!$P:$P,"PASS")</x:f>
        <x:v>3</x:v>
      </x:c>
      <x:c r="K3" t="str">
        <x:f>IF(AND(H3="PASS",J3=I3),"PASS","FAIL")</x:f>
        <x:v>PASS</x:v>
      </x:c>
    </x:row>
    <x:row r="4">
      <x:c r="A4" t="str">
        <x:v>2016-10-18</x:v>
      </x:c>
      <x:c r="B4" t="str">
        <x:v>PM</x:v>
      </x:c>
      <x:c r="C4" s="20" t="n">
        <x:v>0.44</x:v>
      </x:c>
      <x:c r="D4" s="20" t="n">
        <x:v>-0.9</x:v>
      </x:c>
      <x:c r="E4" t="str">
        <x:v>ret_1day_pct</x:v>
      </x:c>
      <x:c r="F4" t="str">
        <x:f>IF(C4&gt;0.1,"UP",IF(C4&lt;-0.1,"DOWN","FLAT"))</x:f>
        <x:v>UP</x:v>
      </x:c>
      <x:c r="G4" t="str">
        <x:v>UP</x:v>
      </x:c>
      <x:c r="H4" t="str">
        <x:f>IF(F4=G4,"PASS","FAIL")</x:f>
        <x:v>PASS</x:v>
      </x:c>
      <x:c r="I4" t="n">
        <x:v>3</x:v>
      </x:c>
      <x:c r="J4" t="n">
        <x:f>COUNTIFS('Source Audit'!$A:$A,A4,'Source Audit'!$P:$P,"PASS")</x:f>
        <x:v>3</x:v>
      </x:c>
      <x:c r="K4" t="str">
        <x:f>IF(AND(H4="PASS",J4=I4),"PASS","FAIL")</x:f>
        <x:v>PASS</x:v>
      </x:c>
    </x:row>
    <x:row r="5">
      <x:c r="A5" t="str">
        <x:v>2017-02-02</x:v>
      </x:c>
      <x:c r="B5" t="str">
        <x:v>PM</x:v>
      </x:c>
      <x:c r="C5" s="20" t="n">
        <x:v>2.95</x:v>
      </x:c>
      <x:c r="D5" s="20" t="n">
        <x:v>1.52</x:v>
      </x:c>
      <x:c r="E5" t="str">
        <x:v>ret_1day_pct</x:v>
      </x:c>
      <x:c r="F5" t="str">
        <x:f>IF(C5&gt;0.1,"UP",IF(C5&lt;-0.1,"DOWN","FLAT"))</x:f>
        <x:v>UP</x:v>
      </x:c>
      <x:c r="G5" t="str">
        <x:v>UP</x:v>
      </x:c>
      <x:c r="H5" t="str">
        <x:f>IF(F5=G5,"PASS","FAIL")</x:f>
        <x:v>PASS</x:v>
      </x:c>
      <x:c r="I5" t="n">
        <x:v>3</x:v>
      </x:c>
      <x:c r="J5" t="n">
        <x:f>COUNTIFS('Source Audit'!$A:$A,A5,'Source Audit'!$P:$P,"PASS")</x:f>
        <x:v>3</x:v>
      </x:c>
      <x:c r="K5" t="str">
        <x:f>IF(AND(H5="PASS",J5=I5),"PASS","FAIL")</x:f>
        <x:v>PASS</x:v>
      </x:c>
    </x:row>
    <x:row r="6">
      <x:c r="A6" t="str">
        <x:v>2017-04-20</x:v>
      </x:c>
      <x:c r="B6" t="str">
        <x:v>PM</x:v>
      </x:c>
      <x:c r="C6" s="20" t="n">
        <x:v>-4.22</x:v>
      </x:c>
      <x:c r="D6" s="20" t="n">
        <x:v>-0.04</x:v>
      </x:c>
      <x:c r="E6" t="str">
        <x:v>ret_1day_pct</x:v>
      </x:c>
      <x:c r="F6" t="str">
        <x:f>IF(C6&gt;0.1,"UP",IF(C6&lt;-0.1,"DOWN","FLAT"))</x:f>
        <x:v>DOWN</x:v>
      </x:c>
      <x:c r="G6" t="str">
        <x:v>DOWN</x:v>
      </x:c>
      <x:c r="H6" t="str">
        <x:f>IF(F6=G6,"PASS","FAIL")</x:f>
        <x:v>PASS</x:v>
      </x:c>
      <x:c r="I6" t="n">
        <x:v>3</x:v>
      </x:c>
      <x:c r="J6" t="n">
        <x:f>COUNTIFS('Source Audit'!$A:$A,A6,'Source Audit'!$P:$P,"PASS")</x:f>
        <x:v>3</x:v>
      </x:c>
      <x:c r="K6" t="str">
        <x:f>IF(AND(H6="PASS",J6=I6),"PASS","FAIL")</x:f>
        <x:v>PASS</x:v>
      </x:c>
    </x:row>
    <x:row r="7">
      <x:c r="A7" t="str">
        <x:v>2017-07-20</x:v>
      </x:c>
      <x:c r="B7" t="str">
        <x:v>PM</x:v>
      </x:c>
      <x:c r="C7" s="20" t="n">
        <x:v>-1.45</x:v>
      </x:c>
      <x:c r="D7" s="20" t="n">
        <x:v>-0.14</x:v>
      </x:c>
      <x:c r="E7" t="str">
        <x:v>ret_1day_pct</x:v>
      </x:c>
      <x:c r="F7" t="str">
        <x:f>IF(C7&gt;0.1,"UP",IF(C7&lt;-0.1,"DOWN","FLAT"))</x:f>
        <x:v>DOWN</x:v>
      </x:c>
      <x:c r="G7" t="str">
        <x:v>DOWN</x:v>
      </x:c>
      <x:c r="H7" t="str">
        <x:f>IF(F7=G7,"PASS","FAIL")</x:f>
        <x:v>PASS</x:v>
      </x:c>
      <x:c r="I7" t="n">
        <x:v>3</x:v>
      </x:c>
      <x:c r="J7" t="n">
        <x:f>COUNTIFS('Source Audit'!$A:$A,A7,'Source Audit'!$P:$P,"PASS")</x:f>
        <x:v>3</x:v>
      </x:c>
      <x:c r="K7" t="str">
        <x:f>IF(AND(H7="PASS",J7=I7),"PASS","FAIL")</x:f>
        <x:v>PASS</x:v>
      </x:c>
    </x:row>
    <x:row r="8">
      <x:c r="A8" t="str">
        <x:v>2017-10-19</x:v>
      </x:c>
      <x:c r="B8" t="str">
        <x:v>PM</x:v>
      </x:c>
      <x:c r="C8" s="20" t="n">
        <x:v>-3.86</x:v>
      </x:c>
      <x:c r="D8" s="20" t="n">
        <x:v>0.85</x:v>
      </x:c>
      <x:c r="E8" t="str">
        <x:v>ret_1day_pct</x:v>
      </x:c>
      <x:c r="F8" t="str">
        <x:f>IF(C8&gt;0.1,"UP",IF(C8&lt;-0.1,"DOWN","FLAT"))</x:f>
        <x:v>DOWN</x:v>
      </x:c>
      <x:c r="G8" t="str">
        <x:v>DOWN</x:v>
      </x:c>
      <x:c r="H8" t="str">
        <x:f>IF(F8=G8,"PASS","FAIL")</x:f>
        <x:v>PASS</x:v>
      </x:c>
      <x:c r="I8" t="n">
        <x:v>3</x:v>
      </x:c>
      <x:c r="J8" t="n">
        <x:f>COUNTIFS('Source Audit'!$A:$A,A8,'Source Audit'!$P:$P,"PASS")</x:f>
        <x:v>3</x:v>
      </x:c>
      <x:c r="K8" t="str">
        <x:f>IF(AND(H8="PASS",J8=I8),"PASS","FAIL")</x:f>
        <x:v>PASS</x:v>
      </x:c>
    </x:row>
    <x:row r="9">
      <x:c r="A9" t="str">
        <x:v>2018-02-08</x:v>
      </x:c>
      <x:c r="B9" t="str">
        <x:v>PM</x:v>
      </x:c>
      <x:c r="C9" s="20" t="n">
        <x:v>5</x:v>
      </x:c>
      <x:c r="D9" s="20" t="n">
        <x:v>-1.68</x:v>
      </x:c>
      <x:c r="E9" t="str">
        <x:v>ret_1day_pct</x:v>
      </x:c>
      <x:c r="F9" t="str">
        <x:f>IF(C9&gt;0.1,"UP",IF(C9&lt;-0.1,"DOWN","FLAT"))</x:f>
        <x:v>UP</x:v>
      </x:c>
      <x:c r="G9" t="str">
        <x:v>UP</x:v>
      </x:c>
      <x:c r="H9" t="str">
        <x:f>IF(F9=G9,"PASS","FAIL")</x:f>
        <x:v>PASS</x:v>
      </x:c>
      <x:c r="I9" t="n">
        <x:v>3</x:v>
      </x:c>
      <x:c r="J9" t="n">
        <x:f>COUNTIFS('Source Audit'!$A:$A,A9,'Source Audit'!$P:$P,"PASS")</x:f>
        <x:v>3</x:v>
      </x:c>
      <x:c r="K9" t="str">
        <x:f>IF(AND(H9="PASS",J9=I9),"PASS","FAIL")</x:f>
        <x:v>PASS</x:v>
      </x:c>
    </x:row>
    <x:row r="10">
      <x:c r="A10" t="str">
        <x:v>2018-04-19</x:v>
      </x:c>
      <x:c r="B10" t="str">
        <x:v>PM</x:v>
      </x:c>
      <x:c r="C10" s="20" t="n">
        <x:v>-15.04</x:v>
      </x:c>
      <x:c r="D10" s="20" t="n">
        <x:v>-0.85</x:v>
      </x:c>
      <x:c r="E10" t="str">
        <x:v>ret_1day_pct</x:v>
      </x:c>
      <x:c r="F10" t="str">
        <x:f>IF(C10&gt;0.1,"UP",IF(C10&lt;-0.1,"DOWN","FLAT"))</x:f>
        <x:v>DOWN</x:v>
      </x:c>
      <x:c r="G10" t="str">
        <x:v>DOWN</x:v>
      </x:c>
      <x:c r="H10" t="str">
        <x:f>IF(F10=G10,"PASS","FAIL")</x:f>
        <x:v>PASS</x:v>
      </x:c>
      <x:c r="I10" t="n">
        <x:v>3</x:v>
      </x:c>
      <x:c r="J10" t="n">
        <x:f>COUNTIFS('Source Audit'!$A:$A,A10,'Source Audit'!$P:$P,"PASS")</x:f>
        <x:v>3</x:v>
      </x:c>
      <x:c r="K10" t="str">
        <x:f>IF(AND(H10="PASS",J10=I10),"PASS","FAIL")</x:f>
        <x:v>PASS</x:v>
      </x:c>
    </x:row>
    <x:row r="11">
      <x:c r="A11" t="str">
        <x:v>2018-07-19</x:v>
      </x:c>
      <x:c r="B11" t="str">
        <x:v>PM</x:v>
      </x:c>
      <x:c r="C11" s="20" t="n">
        <x:v>-1.28</x:v>
      </x:c>
      <x:c r="D11" s="20" t="n">
        <x:v>4.32</x:v>
      </x:c>
      <x:c r="E11" t="str">
        <x:v>ret_1day_pct</x:v>
      </x:c>
      <x:c r="F11" t="str">
        <x:f>IF(C11&gt;0.1,"UP",IF(C11&lt;-0.1,"DOWN","FLAT"))</x:f>
        <x:v>DOWN</x:v>
      </x:c>
      <x:c r="G11" t="str">
        <x:v>DOWN</x:v>
      </x:c>
      <x:c r="H11" t="str">
        <x:f>IF(F11=G11,"PASS","FAIL")</x:f>
        <x:v>PASS</x:v>
      </x:c>
      <x:c r="I11" t="n">
        <x:v>3</x:v>
      </x:c>
      <x:c r="J11" t="n">
        <x:f>COUNTIFS('Source Audit'!$A:$A,A11,'Source Audit'!$P:$P,"PASS")</x:f>
        <x:v>3</x:v>
      </x:c>
      <x:c r="K11" t="str">
        <x:f>IF(AND(H11="PASS",J11=I11),"PASS","FAIL")</x:f>
        <x:v>PASS</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30" hidden="0" customWidth="1"/>
    <x:col min="2" max="2" width="110" hidden="0" customWidth="1"/>
  </x:cols>
  <x:sheetData>
    <x:row r="1">
      <x:c r="A1" s="5" t="str">
        <x:v>Item</x:v>
      </x:c>
      <x:c r="B1" s="5" t="str">
        <x:v>Rule</x:v>
      </x:c>
    </x:row>
    <x:row r="2">
      <x:c r="A2" s="12" t="str">
        <x:v>Rebuild status</x:v>
      </x:c>
      <x:c r="B2" s="12" t="str">
        <x:v>PM rebuilt from scratch under the corrected verification protocol.</x:v>
      </x:c>
    </x:row>
    <x:row r="3">
      <x:c r="A3" s="12" t="str">
        <x:v>Identity source</x:v>
      </x:c>
      <x:c r="B3" s="12" t="str">
        <x:v>Ticker/company, exact earnings dates and all return fields come from group_observations.csv.</x:v>
      </x:c>
    </x:row>
    <x:row r="4">
      <x:c r="A4" s="12" t="str">
        <x:v>Reaction basis</x:v>
      </x:c>
      <x:c r="B4" s="12" t="str">
        <x:v>PMI earnings events in this sample were before the open or during the trading day; ret_1day_pct is therefore used for mechanical direction QA.</x:v>
      </x:c>
    </x:row>
    <x:row r="5">
      <x:c r="A5" s="12" t="str">
        <x:v>Narrative</x:v>
      </x:c>
      <x:c r="B5" s="12" t="str">
        <x:v>Short Prior Context; detailed Current Earnings Release; three concise event-specific Possible Drivers.</x:v>
      </x:c>
    </x:row>
    <x:row r="6">
      <x:c r="A6" s="12" t="str">
        <x:v>Sources</x:v>
      </x:c>
      <x:c r="B6" s="12" t="str">
        <x:v>PMI's own press releases anchor the financial facts. Each event has a date-matched contemporaneous reaction article.</x:v>
      </x:c>
    </x:row>
    <x:row r="7">
      <x:c r="A7" s="12" t="str">
        <x:v>Timing</x:v>
      </x:c>
      <x:c r="B7" s="12" t="str">
        <x:v>Prior = -100..-1 calendar days; release = day 0; reaction = day 0..+3.</x:v>
      </x:c>
    </x:row>
    <x:row r="8">
      <x:c r="A8" s="12" t="str">
        <x:v>Restrictions</x:v>
      </x:c>
      <x:c r="B8" s="12" t="str">
        <x:v>No WSJ, Reuters, Dow Jones or MarketWatch-syndicated source is included. Fox/MarketWatch syndication previously used for PM was removed.</x:v>
      </x:c>
    </x:row>
    <x:row r="9">
      <x:c r="A9" s="12" t="str">
        <x:v>QA</x:v>
      </x:c>
      <x:c r="B9" s="12" t="str">
        <x:v>Event QA mechanically recomputes direction from ret_1day_pct and requires exactly three PASS source rows for every event.</x:v>
      </x:c>
    </x:row>
  </x:sheetData>
  <x:pageMargins left="0.7" right="0.7" top="0.75" bottom="0.75" header="0.3" footer="0.3"/>
</x:worksheet>
</file>