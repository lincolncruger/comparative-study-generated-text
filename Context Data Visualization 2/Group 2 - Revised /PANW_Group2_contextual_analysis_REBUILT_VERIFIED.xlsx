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e63c4a1a1f40ea" /></Relationships>
</file>

<file path=xl/workbook.xml><?xml version="1.0" encoding="utf-8"?>
<x:workbook xmlns:x="http://schemas.openxmlformats.org/spreadsheetml/2006/main">
  <x:sheets>
    <x:sheet xmlns:r="http://schemas.openxmlformats.org/officeDocument/2006/relationships" name="PANW" sheetId="1" r:id="R40e4246e805a47e2"/>
    <x:sheet xmlns:r="http://schemas.openxmlformats.org/officeDocument/2006/relationships" name="Source Audit" sheetId="2" r:id="Rda083d9552d24ba0"/>
    <x:sheet xmlns:r="http://schemas.openxmlformats.org/officeDocument/2006/relationships" name="Event QA" sheetId="3" r:id="Rc9ed442bbaae427d"/>
    <x:sheet xmlns:r="http://schemas.openxmlformats.org/officeDocument/2006/relationships" name="Methodology" sheetId="4" r:id="R53fcd8fb021346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23efe8bd9a4063" /><Relationship Type="http://schemas.openxmlformats.org/officeDocument/2006/relationships/theme" Target="/xl/theme/theme1.xml" Id="R3b65154bd83c46b0" /><Relationship Type="http://schemas.openxmlformats.org/officeDocument/2006/relationships/sharedStrings" Target="/xl/sharedStrings.xml" Id="Re8efc447bf844e4c" /><Relationship Type="http://schemas.openxmlformats.org/officeDocument/2006/relationships/worksheet" Target="/xl/worksheets/sheet1.xml" Id="R40e4246e805a47e2" /><Relationship Type="http://schemas.openxmlformats.org/officeDocument/2006/relationships/worksheet" Target="/xl/worksheets/sheet2.xml" Id="Rda083d9552d24ba0" /><Relationship Type="http://schemas.openxmlformats.org/officeDocument/2006/relationships/worksheet" Target="/xl/worksheets/sheet3.xml" Id="Rc9ed442bbaae427d" /><Relationship Type="http://schemas.openxmlformats.org/officeDocument/2006/relationships/worksheet" Target="/xl/worksheets/sheet4.xml" Id="R53fcd8fb021346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6" hidden="0" customWidth="1"/>
    <x:col min="15" max="15" width="66" hidden="0" customWidth="1"/>
    <x:col min="16" max="16" width="66"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PANW</x:v>
      </x:c>
      <x:c r="C2" s="15" t="str">
        <x:v>Palo Alto Networks</x:v>
      </x:c>
      <x:c r="D2" s="15" t="str">
        <x:v>2016q2</x:v>
      </x:c>
      <x:c r="E2" s="15" t="str">
        <x:v>2016-05-26</x:v>
      </x:c>
      <x:c r="F2" s="18" t="n">
        <x:v>1.72</x:v>
      </x:c>
      <x:c r="G2" s="18" t="n">
        <x:v>-12.8</x:v>
      </x:c>
      <x:c r="H2" s="18" t="n">
        <x:v>-11.3</x:v>
      </x:c>
      <x:c r="I2" s="18" t="n">
        <x:v>-12.21</x:v>
      </x:c>
      <x:c r="J2" s="18" t="n">
        <x:v>-9.27</x:v>
      </x:c>
      <x:c r="K2" s="15" t="str">
        <x:v>ret_1daypost_pct</x:v>
      </x:c>
      <x:c r="L2" s="15" t="str">
        <x:v>DOWN</x:v>
      </x:c>
      <x:c r="M2" s="15" t="str">
        <x:v>## Prior Context
Palo Alto Networks entered the quarter as one of the fastest-growing cybersecurity vendors, but investors had become increasingly sensitive to decelerating growth and the amount of spending required to sustain it.
### Verified prior source
None
## Current Earnings Release
Fiscal Q3 revenue grew **48% to $345.8 million**, billings increased **61% to $486.2 million**, and non-GAAP EPS was **$0.42**, in line with consensus. Subscription and support revenue rose **63%**, improving the recurring-revenue mix.
The problem was forward guidance. PANW guided fiscal Q4 revenue to **$386–$390 million** and EPS to **$0.48–$0.50**, with analyst estimates already near the high ends of those ranges. Management also acknowledged a more volatile macro environment. The quarter itself was strong, but the guide implied further growth deceleration.
### Verified release source
2016-05-26 | Palo Alto Networks | Palo Alto Networks Reports Fiscal Third Quarter 2016 Financial Results | https://investors.paloaltonetworks.com/static-files/50dfd7a6-524f-4194-82b0-8d34bfb96abe
## Possible Drivers
**First-order driver.** The stock dropped because Q4 guidance was too light relative to expectations.
**Second-order driver.** Revenue growth was still exceptional, but the rate of deceleration became more visible.
**Third-order driver.** Strong recurring subscription growth softened the long-term concern but did not offset the weak guide.
### Verified reaction source
2016-05-27 | The Motley Fool | Why Palo Alto Networks, Inc. Stock Dropped Today | https://www.fool.com/investing/2016/05/27/why-palo-alto-networks-inc-stock-dropped-today.aspx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2" s="15" t="str">
        <x:v>None</x:v>
      </x:c>
      <x:c r="O2" s="15" t="str">
        <x:v>2016-05-26 | Palo Alto Networks | Palo Alto Networks Reports Fiscal Third Quarter 2016 Financial Results | https://investors.paloaltonetworks.com/static-files/50dfd7a6-524f-4194-82b0-8d34bfb96abe</x:v>
      </x:c>
      <x:c r="P2" s="15" t="str">
        <x:v>2016-05-27 | The Motley Fool | Why Palo Alto Networks, Inc. Stock Dropped Today | https://www.fool.com/investing/2016/05/27/why-palo-alto-networks-inc-stock-dropped-today.aspx</x:v>
      </x:c>
      <x:c r="Q2" s="15" t="str">
        <x:v>2016-05-26 | Palo Alto Networks | Palo Alto Networks Reports Fiscal Third Quarter 2016 Financial Results | https://investors.paloaltonetworks.com/static-files/50dfd7a6-524f-4194-82b0-8d34bfb96abe
2016-05-27 | The Motley Fool | Why Palo Alto Networks, Inc. Stock Dropped Today | https://www.fool.com/investing/2016/05/27/why-palo-alto-networks-inc-stock-dropped-today.aspx</x:v>
      </x:c>
      <x:c r="R2" s="15" t="n">
        <x:v>2</x:v>
      </x:c>
      <x:c r="S2" s="15" t="str">
        <x:v>PASS</x:v>
      </x:c>
    </x:row>
    <x:row r="3" ht="340" customHeight="1">
      <x:c r="A3" s="15" t="n">
        <x:v>1</x:v>
      </x:c>
      <x:c r="B3" s="15" t="str">
        <x:v>PANW</x:v>
      </x:c>
      <x:c r="C3" s="15" t="str">
        <x:v>Palo Alto Networks</x:v>
      </x:c>
      <x:c r="D3" s="15" t="str">
        <x:v>2016q3</x:v>
      </x:c>
      <x:c r="E3" s="15" t="str">
        <x:v>2016-08-30</x:v>
      </x:c>
      <x:c r="F3" s="18" t="n">
        <x:v>1.54</x:v>
      </x:c>
      <x:c r="G3" s="18" t="n">
        <x:v>-6.91</x:v>
      </x:c>
      <x:c r="H3" s="18" t="n">
        <x:v>-5.48</x:v>
      </x:c>
      <x:c r="I3" s="18" t="n">
        <x:v>-5.43</x:v>
      </x:c>
      <x:c r="J3" s="18" t="n">
        <x:v>2.44</x:v>
      </x:c>
      <x:c r="K3" s="15" t="str">
        <x:v>ret_1daypost_pct</x:v>
      </x:c>
      <x:c r="L3" s="15" t="str">
        <x:v>DOWN</x:v>
      </x:c>
      <x:c r="M3" s="15" t="str">
        <x:v>## Prior Context
After the May selloff, expectations were already focused on whether PANW could reaccelerate growth or at least stop the guidance disappointments.
### Verified prior source
2016-05-26 | Palo Alto Networks | Palo Alto Networks Reports Fiscal Third Quarter 2016 Financial Results | https://investors.paloaltonetworks.com/static-files/50dfd7a6-524f-4194-82b0-8d34bfb96abe
## Current Earnings Release
Fiscal Q4 revenue rose **41% to $400.8 million** and non-GAAP EPS was **$0.50**, both around or above expectations. Billings increased **45%**, and the company authorized a **$500 million share repurchase**.
However, fiscal Q1 guidance again disappointed. Management expected revenue growth of only **33%–35%**, the slowest pace since the IPO, and earnings growth also slowed sharply. The report therefore reinforced the same concern as May: execution remained good, but the growth trajectory was normalizing faster than investors wanted.
### Verified release source
2016-08-30 | Palo Alto Networks | Palo Alto Networks Reports Fiscal Fourth Quarter and Fiscal Year 2016 Financial Results | https://investors.paloaltonetworks.com/static-files/6d63aeb8-55aa-4075-85aa-da6fe699befe
## Possible Drivers
**First-order driver.** Shares fell because another conservative forward guide overshadowed an otherwise solid quarter.
**Second-order driver.** The market was reacting to slowing growth, not a collapse in current demand.
**Third-order driver.** The buyback supported valuation but could not compensate for the weaker growth outlook.
### Verified reaction source
2016-08-31 | The Motley Fool | Palo Alto Networks, Inc. Goes 9-for-9 | https://www.fool.com/investing/2016/08/31/palo-alto-networks-inc-goes-9-for-9.aspx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3" s="15" t="str">
        <x:v>2016-05-26 | Palo Alto Networks | Palo Alto Networks Reports Fiscal Third Quarter 2016 Financial Results | https://investors.paloaltonetworks.com/static-files/50dfd7a6-524f-4194-82b0-8d34bfb96abe</x:v>
      </x:c>
      <x:c r="O3" s="15" t="str">
        <x:v>2016-08-30 | Palo Alto Networks | Palo Alto Networks Reports Fiscal Fourth Quarter and Fiscal Year 2016 Financial Results | https://investors.paloaltonetworks.com/static-files/6d63aeb8-55aa-4075-85aa-da6fe699befe</x:v>
      </x:c>
      <x:c r="P3" s="15" t="str">
        <x:v>2016-08-31 | The Motley Fool | Palo Alto Networks, Inc. Goes 9-for-9 | https://www.fool.com/investing/2016/08/31/palo-alto-networks-inc-goes-9-for-9.aspx</x:v>
      </x:c>
      <x:c r="Q3" s="15" t="str">
        <x:v>2016-05-26 | Palo Alto Networks | Palo Alto Networks Reports Fiscal Third Quarter 2016 Financial Results | https://investors.paloaltonetworks.com/static-files/50dfd7a6-524f-4194-82b0-8d34bfb96abe
2016-08-30 | Palo Alto Networks | Palo Alto Networks Reports Fiscal Fourth Quarter and Fiscal Year 2016 Financial Results | https://investors.paloaltonetworks.com/static-files/6d63aeb8-55aa-4075-85aa-da6fe699befe
2016-08-31 | The Motley Fool | Palo Alto Networks, Inc. Goes 9-for-9 | https://www.fool.com/investing/2016/08/31/palo-alto-networks-inc-goes-9-for-9.aspx</x:v>
      </x:c>
      <x:c r="R3" s="15" t="n">
        <x:v>3</x:v>
      </x:c>
      <x:c r="S3" s="15" t="str">
        <x:v>PASS</x:v>
      </x:c>
    </x:row>
    <x:row r="4" ht="340" customHeight="1">
      <x:c r="A4" s="15" t="n">
        <x:v>2</x:v>
      </x:c>
      <x:c r="B4" s="15" t="str">
        <x:v>PANW</x:v>
      </x:c>
      <x:c r="C4" s="15" t="str">
        <x:v>Palo Alto Networks</x:v>
      </x:c>
      <x:c r="D4" s="15" t="str">
        <x:v>2016q4</x:v>
      </x:c>
      <x:c r="E4" s="15" t="str">
        <x:v>2016-11-21</x:v>
      </x:c>
      <x:c r="F4" s="18" t="n">
        <x:v>-0.96</x:v>
      </x:c>
      <x:c r="G4" s="18" t="n">
        <x:v>-13.55</x:v>
      </x:c>
      <x:c r="H4" s="18" t="n">
        <x:v>-14.37</x:v>
      </x:c>
      <x:c r="I4" s="18" t="n">
        <x:v>-15.72</x:v>
      </x:c>
      <x:c r="J4" s="18" t="n">
        <x:v>-15.03</x:v>
      </x:c>
      <x:c r="K4" s="15" t="str">
        <x:v>ret_1daypost_pct</x:v>
      </x:c>
      <x:c r="L4" s="15" t="str">
        <x:v>DOWN</x:v>
      </x:c>
      <x:c r="M4" s="15" t="str">
        <x:v>## Prior Context
By November, investors had already seen two consecutive guidance-related selloffs. The key question was whether product growth and pipeline conversion could stabilize.
### Verified prior source
2016-08-30 | Palo Alto Networks | Palo Alto Networks Reports Fiscal Fourth Quarter and Fiscal Year 2016 Financial Results | https://investors.paloaltonetworks.com/static-files/6d63aeb8-55aa-4075-85aa-da6fe699befe
## Current Earnings Release
Fiscal Q1 revenue increased **34% to $398.1 million**, while non-GAAP EPS rose **62% to $0.55**. Services revenue grew **57%**, but product revenue increased only about **11%**. Revenue landed below the midpoint of PANW's prior guide even though EPS exceeded guidance.
The next-quarter outlook was the larger issue. Management guided Q2 revenue to **$426–$432 million** and EPS to **$0.61–$0.63**, with the revenue outlook below market expectations. The widening gap between strong recurring services and slower product growth made investors question the pace of new-platform deployments.
### Verified release source
2016-11-21 | Palo Alto Networks | Palo Alto Networks Reports Fiscal First Quarter 2017 Financial Results | https://investors.paloaltonetworks.com/static-files/3dbf8f8c-bde8-479c-8c7c-c9b2b6d29286
## Possible Drivers
**First-order driver.** The stock plunged because revenue and forward guidance were weaker than expected.
**Second-order driver.** Product growth slowed much more than subscription/support growth.
**Third-order driver.** Strong EPS and deferred revenue could not offset concern about the pace of new deployments.
### Verified reaction source
2016-11-22 | The Motley Fool | Why Palo Alto Networks, Inc. Stock Plunged Today | https://www.fool.com/investing/2016/11/22/why-palo-alto-networks-inc-stock-plunged-today.aspx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4" s="15" t="str">
        <x:v>2016-08-30 | Palo Alto Networks | Palo Alto Networks Reports Fiscal Fourth Quarter and Fiscal Year 2016 Financial Results | https://investors.paloaltonetworks.com/static-files/6d63aeb8-55aa-4075-85aa-da6fe699befe</x:v>
      </x:c>
      <x:c r="O4" s="15" t="str">
        <x:v>2016-11-21 | Palo Alto Networks | Palo Alto Networks Reports Fiscal First Quarter 2017 Financial Results | https://investors.paloaltonetworks.com/static-files/3dbf8f8c-bde8-479c-8c7c-c9b2b6d29286</x:v>
      </x:c>
      <x:c r="P4" s="15" t="str">
        <x:v>2016-11-22 | The Motley Fool | Why Palo Alto Networks, Inc. Stock Plunged Today | https://www.fool.com/investing/2016/11/22/why-palo-alto-networks-inc-stock-plunged-today.aspx</x:v>
      </x:c>
      <x:c r="Q4" s="15" t="str">
        <x:v>2016-08-30 | Palo Alto Networks | Palo Alto Networks Reports Fiscal Fourth Quarter and Fiscal Year 2016 Financial Results | https://investors.paloaltonetworks.com/static-files/6d63aeb8-55aa-4075-85aa-da6fe699befe
2016-11-21 | Palo Alto Networks | Palo Alto Networks Reports Fiscal First Quarter 2017 Financial Results | https://investors.paloaltonetworks.com/static-files/3dbf8f8c-bde8-479c-8c7c-c9b2b6d29286
2016-11-22 | The Motley Fool | Why Palo Alto Networks, Inc. Stock Plunged Today | https://www.fool.com/investing/2016/11/22/why-palo-alto-networks-inc-stock-plunged-today.aspx</x:v>
      </x:c>
      <x:c r="R4" s="15" t="n">
        <x:v>3</x:v>
      </x:c>
      <x:c r="S4" s="15" t="str">
        <x:v>PASS</x:v>
      </x:c>
    </x:row>
    <x:row r="5" ht="340" customHeight="1">
      <x:c r="A5" s="15" t="n">
        <x:v>3</x:v>
      </x:c>
      <x:c r="B5" s="15" t="str">
        <x:v>PANW</x:v>
      </x:c>
      <x:c r="C5" s="15" t="str">
        <x:v>Palo Alto Networks</x:v>
      </x:c>
      <x:c r="D5" s="15" t="str">
        <x:v>2017q1</x:v>
      </x:c>
      <x:c r="E5" s="15" t="str">
        <x:v>2017-02-28</x:v>
      </x:c>
      <x:c r="F5" s="18" t="n">
        <x:v>-0.87</x:v>
      </x:c>
      <x:c r="G5" s="18" t="n">
        <x:v>-25.49</x:v>
      </x:c>
      <x:c r="H5" s="18" t="n">
        <x:v>-26.14</x:v>
      </x:c>
      <x:c r="I5" s="18" t="n">
        <x:v>-25.83</x:v>
      </x:c>
      <x:c r="J5" s="18" t="n">
        <x:v>-25.18</x:v>
      </x:c>
      <x:c r="K5" s="15" t="str">
        <x:v>ret_1daypost_pct</x:v>
      </x:c>
      <x:c r="L5" s="15" t="str">
        <x:v>DOWN</x:v>
      </x:c>
      <x:c r="M5" s="15" t="str">
        <x:v>## Prior Context
The stock entered fiscal Q2 needing evidence that the earlier slowdown was temporary. Instead, the quarter exposed a more fundamental sales-execution problem.
### Verified prior source
2016-11-21 | Palo Alto Networks | Palo Alto Networks Reports Fiscal First Quarter 2017 Financial Results | https://investors.paloaltonetworks.com/static-files/3dbf8f8c-bde8-479c-8c7c-c9b2b6d29286
## Current Earnings Release
Fiscal Q2 revenue rose **26% to $422.6 million**, below PANW's own **$426–$432 million** guidance, while adjusted EPS of **$0.63** was near the high end of guidance. Product revenue declined year over year, while subscription/support remained strong.
Management explicitly blamed **go-to-market execution challenges**: too many territory splits and overly complicated segmentation had lowered sales productivity and slowed pipeline conversion. Fiscal Q3 guidance of **$406–$416 million** of revenue and **$0.54–$0.56** EPS was far below consensus. This was the clearest negative inflection in the sample.
### Verified release source
2017-02-28 | Palo Alto Networks | Palo Alto Networks Reports Fiscal Second Quarter 2017 Financial Results | https://investors.paloaltonetworks.com/static-files/269b1a9e-1cde-47c0-9f47-a2ed189a518e
## Possible Drivers
**First-order driver.** The 25% collapse came from an acknowledged sales-execution problem plus very weak Q3 guidance.
**Second-order driver.** Product revenue weakness showed the issue was affecting new-platform sales, not just accounting timing.
**Third-order driver.** Recurring revenue remained healthy, but investors needed proof the sales reorganization could restore growth.
### Verified reaction source
2017-03-01 | The Motley Fool | Why Palo Alto Networks, Inc. Stock Plunged Today | https://www.fool.com/investing/2017/03/01/why-palo-alto-networks-inc-stock-plunged-today.aspx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5" s="15" t="str">
        <x:v>2016-11-21 | Palo Alto Networks | Palo Alto Networks Reports Fiscal First Quarter 2017 Financial Results | https://investors.paloaltonetworks.com/static-files/3dbf8f8c-bde8-479c-8c7c-c9b2b6d29286</x:v>
      </x:c>
      <x:c r="O5" s="15" t="str">
        <x:v>2017-02-28 | Palo Alto Networks | Palo Alto Networks Reports Fiscal Second Quarter 2017 Financial Results | https://investors.paloaltonetworks.com/static-files/269b1a9e-1cde-47c0-9f47-a2ed189a518e</x:v>
      </x:c>
      <x:c r="P5" s="15" t="str">
        <x:v>2017-03-01 | The Motley Fool | Why Palo Alto Networks, Inc. Stock Plunged Today | https://www.fool.com/investing/2017/03/01/why-palo-alto-networks-inc-stock-plunged-today.aspx</x:v>
      </x:c>
      <x:c r="Q5" s="15" t="str">
        <x:v>2016-11-21 | Palo Alto Networks | Palo Alto Networks Reports Fiscal First Quarter 2017 Financial Results | https://investors.paloaltonetworks.com/static-files/3dbf8f8c-bde8-479c-8c7c-c9b2b6d29286
2017-02-28 | Palo Alto Networks | Palo Alto Networks Reports Fiscal Second Quarter 2017 Financial Results | https://investors.paloaltonetworks.com/static-files/269b1a9e-1cde-47c0-9f47-a2ed189a518e
2017-03-01 | The Motley Fool | Why Palo Alto Networks, Inc. Stock Plunged Today | https://www.fool.com/investing/2017/03/01/why-palo-alto-networks-inc-stock-plunged-today.aspx</x:v>
      </x:c>
      <x:c r="R5" s="15" t="n">
        <x:v>3</x:v>
      </x:c>
      <x:c r="S5" s="15" t="str">
        <x:v>PASS</x:v>
      </x:c>
    </x:row>
    <x:row r="6" ht="340" customHeight="1">
      <x:c r="A6" s="15" t="n">
        <x:v>4</x:v>
      </x:c>
      <x:c r="B6" s="15" t="str">
        <x:v>PANW</x:v>
      </x:c>
      <x:c r="C6" s="15" t="str">
        <x:v>Palo Alto Networks</x:v>
      </x:c>
      <x:c r="D6" s="15" t="str">
        <x:v>2017q2</x:v>
      </x:c>
      <x:c r="E6" s="15" t="str">
        <x:v>2017-05-31</x:v>
      </x:c>
      <x:c r="F6" s="18" t="n">
        <x:v>1.39</x:v>
      </x:c>
      <x:c r="G6" s="18" t="n">
        <x:v>16.3</x:v>
      </x:c>
      <x:c r="H6" s="18" t="n">
        <x:v>17.92</x:v>
      </x:c>
      <x:c r="I6" s="18" t="n">
        <x:v>17.1</x:v>
      </x:c>
      <x:c r="J6" s="18" t="n">
        <x:v>18.19</x:v>
      </x:c>
      <x:c r="K6" s="15" t="str">
        <x:v>ret_1daypost_pct</x:v>
      </x:c>
      <x:c r="L6" s="15" t="str">
        <x:v>UP</x:v>
      </x:c>
      <x:c r="M6" s="15" t="str">
        <x:v>## Prior Context
Expectations were unusually low after the February crash. Management had reorganized sales coverage and deliberately issued cautious guidance, so Q3 became the first test of the repair plan.
### Verified prior source
2017-02-28 | Palo Alto Networks | Palo Alto Networks Reports Fiscal Second Quarter 2017 Financial Results | https://investors.paloaltonetworks.com/static-files/269b1a9e-1cde-47c0-9f47-a2ed189a518e
## Current Earnings Release
Fiscal Q3 revenue reached **$431.8 million**, well above guidance of $406–$416 million, and adjusted EPS was **$0.61**, above guidance of $0.54–$0.56. Subscription and support revenue grew **46%**, while PANW added roughly **2,500 customers**.
Management said the execution issues were improving and guided fiscal Q4 revenue to **$481–$491 million** with EPS of **$0.78–$0.80**. Because the expectations bar had been reset so sharply lower, the combination of a beat, customer growth and credible evidence of sales stabilization produced a powerful rebound.
### Verified release source
2017-05-31 | Palo Alto Networks | Palo Alto Networks Reports Fiscal Third Quarter 2017 Financial Results | https://investors.paloaltonetworks.com/news-releases/news-release-details/palo-alto-networks-reports-fiscal-third-quarter-2017-financial
## Possible Drivers
**First-order driver.** Shares surged because PANW beat cautious guidance and showed the sales-execution repair was working.
**Second-order driver.** Strong customer additions rebuilt confidence in pipeline conversion.
**Third-order driver.** Recurring revenue growth remained robust throughout the turnaround.
### Verified reaction source
2017-05-31 | The Motley Fool | Palo Alto Networks, Inc. Rides Customer Growth to a Strong Quarter | https://www.fool.com/investing/2017/05/31/palo-alto-networks-inc-rides-customer-growth.aspx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6" s="15" t="str">
        <x:v>2017-02-28 | Palo Alto Networks | Palo Alto Networks Reports Fiscal Second Quarter 2017 Financial Results | https://investors.paloaltonetworks.com/static-files/269b1a9e-1cde-47c0-9f47-a2ed189a518e</x:v>
      </x:c>
      <x:c r="O6" s="15" t="str">
        <x:v>2017-05-31 | Palo Alto Networks | Palo Alto Networks Reports Fiscal Third Quarter 2017 Financial Results | https://investors.paloaltonetworks.com/news-releases/news-release-details/palo-alto-networks-reports-fiscal-third-quarter-2017-financial</x:v>
      </x:c>
      <x:c r="P6" s="15" t="str">
        <x:v>2017-05-31 | The Motley Fool | Palo Alto Networks, Inc. Rides Customer Growth to a Strong Quarter | https://www.fool.com/investing/2017/05/31/palo-alto-networks-inc-rides-customer-growth.aspx</x:v>
      </x:c>
      <x:c r="Q6" s="15" t="str">
        <x:v>2017-02-28 | Palo Alto Networks | Palo Alto Networks Reports Fiscal Second Quarter 2017 Financial Results | https://investors.paloaltonetworks.com/static-files/269b1a9e-1cde-47c0-9f47-a2ed189a518e
2017-05-31 | Palo Alto Networks | Palo Alto Networks Reports Fiscal Third Quarter 2017 Financial Results | https://investors.paloaltonetworks.com/news-releases/news-release-details/palo-alto-networks-reports-fiscal-third-quarter-2017-financial
2017-05-31 | The Motley Fool | Palo Alto Networks, Inc. Rides Customer Growth to a Strong Quarter | https://www.fool.com/investing/2017/05/31/palo-alto-networks-inc-rides-customer-growth.aspx</x:v>
      </x:c>
      <x:c r="R6" s="15" t="n">
        <x:v>3</x:v>
      </x:c>
      <x:c r="S6" s="15" t="str">
        <x:v>PASS</x:v>
      </x:c>
    </x:row>
    <x:row r="7" ht="340" customHeight="1">
      <x:c r="A7" s="15" t="n">
        <x:v>5</x:v>
      </x:c>
      <x:c r="B7" s="15" t="str">
        <x:v>PANW</x:v>
      </x:c>
      <x:c r="C7" s="15" t="str">
        <x:v>Palo Alto Networks</x:v>
      </x:c>
      <x:c r="D7" s="15" t="str">
        <x:v>2017q3</x:v>
      </x:c>
      <x:c r="E7" s="15" t="str">
        <x:v>2017-08-31</x:v>
      </x:c>
      <x:c r="F7" s="18" t="n">
        <x:v>-0.77</x:v>
      </x:c>
      <x:c r="G7" s="18" t="n">
        <x:v>10.25</x:v>
      </x:c>
      <x:c r="H7" s="18" t="n">
        <x:v>9.4</x:v>
      </x:c>
      <x:c r="I7" s="18" t="n">
        <x:v>11.18</x:v>
      </x:c>
      <x:c r="J7" s="18" t="n">
        <x:v>10.21</x:v>
      </x:c>
      <x:c r="K7" s="15" t="str">
        <x:v>ret_1daypost_pct</x:v>
      </x:c>
      <x:c r="L7" s="15" t="str">
        <x:v>UP</x:v>
      </x:c>
      <x:c r="M7" s="15" t="str">
        <x:v>## Prior Context
After the May rebound, PANW still needed a second consecutive clean quarter to prove the execution recovery was durable rather than temporary.
### Verified prior source
2017-05-31 | Palo Alto Networks | Palo Alto Networks Reports Fiscal Third Quarter 2017 Financial Results | https://investors.paloaltonetworks.com/news-releases/news-release-details/palo-alto-networks-reports-fiscal-third-quarter-2017-financial
## Current Earnings Release
Fiscal Q4 revenue grew **27% to $509.1 million**, nearly $22 million above consensus, and adjusted EPS was **$0.92**, about $0.13 above expectations. Product revenue grew **11%** and subscription/support revenue **42%**. PANW also added about **3,000 customers**, a quarterly record.
Fiscal-2018 guidance called for revenue growth of **21%–23%** and adjusted EPS of **$3.24–$3.34**, with the midpoints above consensus. The report confirmed that the February sales problems had been repaired while operating margin improved.
### Verified release source
2017-08-31 | Palo Alto Networks | Palo Alto Networks Reports Fiscal Fourth Quarter and Fiscal Year 2017 Financial Results | https://investors.paloaltonetworks.com/news-releases/news-release-details/palo-alto-networks-reports-fiscal-fourth-quarter-and-fiscal-2
## Possible Drivers
**First-order driver.** The stock jumped because revenue, EPS and full-year guidance all beat expectations.
**Second-order driver.** Record new-customer additions confirmed that the sales reorganization was working.
**Third-order driver.** Faster subscription/support growth improved revenue visibility.
### Verified reaction source
2017-09-01 | The Motley Fool | Why Shares of Palo Alto Networks Are Soaring Today | https://www.fool.com/investing/2017/09/01/why-shares-of-palo-alto-networks-are-soaring-today.aspx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7" s="15" t="str">
        <x:v>2017-05-31 | Palo Alto Networks | Palo Alto Networks Reports Fiscal Third Quarter 2017 Financial Results | https://investors.paloaltonetworks.com/news-releases/news-release-details/palo-alto-networks-reports-fiscal-third-quarter-2017-financial</x:v>
      </x:c>
      <x:c r="O7" s="15" t="str">
        <x:v>2017-08-31 | Palo Alto Networks | Palo Alto Networks Reports Fiscal Fourth Quarter and Fiscal Year 2017 Financial Results | https://investors.paloaltonetworks.com/news-releases/news-release-details/palo-alto-networks-reports-fiscal-fourth-quarter-and-fiscal-2</x:v>
      </x:c>
      <x:c r="P7" s="15" t="str">
        <x:v>2017-09-01 | The Motley Fool | Why Shares of Palo Alto Networks Are Soaring Today | https://www.fool.com/investing/2017/09/01/why-shares-of-palo-alto-networks-are-soaring-today.aspx</x:v>
      </x:c>
      <x:c r="Q7" s="15" t="str">
        <x:v>2017-05-31 | Palo Alto Networks | Palo Alto Networks Reports Fiscal Third Quarter 2017 Financial Results | https://investors.paloaltonetworks.com/news-releases/news-release-details/palo-alto-networks-reports-fiscal-third-quarter-2017-financial
2017-08-31 | Palo Alto Networks | Palo Alto Networks Reports Fiscal Fourth Quarter and Fiscal Year 2017 Financial Results | https://investors.paloaltonetworks.com/news-releases/news-release-details/palo-alto-networks-reports-fiscal-fourth-quarter-and-fiscal-2
2017-09-01 | The Motley Fool | Why Shares of Palo Alto Networks Are Soaring Today | https://www.fool.com/investing/2017/09/01/why-shares-of-palo-alto-networks-are-soaring-today.aspx</x:v>
      </x:c>
      <x:c r="R7" s="15" t="n">
        <x:v>3</x:v>
      </x:c>
      <x:c r="S7" s="15" t="str">
        <x:v>PASS</x:v>
      </x:c>
    </x:row>
    <x:row r="8" ht="340" customHeight="1">
      <x:c r="A8" s="15" t="n">
        <x:v>6</x:v>
      </x:c>
      <x:c r="B8" s="15" t="str">
        <x:v>PANW</x:v>
      </x:c>
      <x:c r="C8" s="15" t="str">
        <x:v>Palo Alto Networks</x:v>
      </x:c>
      <x:c r="D8" s="15" t="str">
        <x:v>2017q4</x:v>
      </x:c>
      <x:c r="E8" s="15" t="str">
        <x:v>2017-11-20</x:v>
      </x:c>
      <x:c r="F8" s="18" t="n">
        <x:v>-0.31</x:v>
      </x:c>
      <x:c r="G8" s="18" t="n">
        <x:v>4.17</x:v>
      </x:c>
      <x:c r="H8" s="18" t="n">
        <x:v>3.84</x:v>
      </x:c>
      <x:c r="I8" s="18" t="n">
        <x:v>6.94</x:v>
      </x:c>
      <x:c r="J8" s="18" t="n">
        <x:v>7.61</x:v>
      </x:c>
      <x:c r="K8" s="15" t="str">
        <x:v>ret_1daypost_pct</x:v>
      </x:c>
      <x:c r="L8" s="15" t="str">
        <x:v>UP</x:v>
      </x:c>
      <x:c r="M8" s="15" t="str">
        <x:v>## Prior Context
By fiscal Q1 2018, the recovery thesis was established. Investors were now focused on whether PANW could sustain growth while improving operating leverage.
### Verified prior source
2017-08-31 | Palo Alto Networks | Palo Alto Networks Reports Fiscal Fourth Quarter and Fiscal Year 2017 Financial Results | https://investors.paloaltonetworks.com/news-releases/news-release-details/palo-alto-networks-reports-fiscal-fourth-quarter-and-fiscal-2
## Current Earnings Release
Fiscal Q1 revenue rose **27% to $505.5 million**, product revenue increased **14%**, and subscription/support revenue grew **36%**. Non-GAAP EPS was **$0.74**. PANW added more than **2,500 customers**, taking the installed base above 45,000.
Management raised fiscal-2018 guidance to **$2.145–$2.185 billion** of revenue and **$3.35–$3.41** of non-GAAP EPS. The quarter therefore extended the execution recovery and showed that customer acquisition, recurring revenue and margin expansion could coexist.
### Verified release source
2017-11-20 | Palo Alto Networks | Palo Alto Networks Reports Fiscal First Quarter 2018 Financial Results | https://investors.paloaltonetworks.com/news-releases/news-release-details/palo-alto-networks-reports-fiscal-first-quarter-2018-financial
## Possible Drivers
**First-order driver.** Shares rose because the quarter was strong and management raised full-year guidance.
**Second-order driver.** Product growth reaccelerated, reducing concern about new-platform demand.
**Third-order driver.** Continued customer growth supported the 'land and expand' model.
### Verified reaction source
2017-11-21 | The Motley Fool | Palo Alto Networks, Inc. Reports a Strong Quarter, Raises Guidance | https://www.fool.com/investing/2017/11/21/palo-alto-networks-inc-reports-a-strong-quarter-ra.aspx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8" s="15" t="str">
        <x:v>2017-08-31 | Palo Alto Networks | Palo Alto Networks Reports Fiscal Fourth Quarter and Fiscal Year 2017 Financial Results | https://investors.paloaltonetworks.com/news-releases/news-release-details/palo-alto-networks-reports-fiscal-fourth-quarter-and-fiscal-2</x:v>
      </x:c>
      <x:c r="O8" s="15" t="str">
        <x:v>2017-11-20 | Palo Alto Networks | Palo Alto Networks Reports Fiscal First Quarter 2018 Financial Results | https://investors.paloaltonetworks.com/news-releases/news-release-details/palo-alto-networks-reports-fiscal-first-quarter-2018-financial</x:v>
      </x:c>
      <x:c r="P8" s="15" t="str">
        <x:v>2017-11-21 | The Motley Fool | Palo Alto Networks, Inc. Reports a Strong Quarter, Raises Guidance | https://www.fool.com/investing/2017/11/21/palo-alto-networks-inc-reports-a-strong-quarter-ra.aspx</x:v>
      </x:c>
      <x:c r="Q8" s="15" t="str">
        <x:v>2017-08-31 | Palo Alto Networks | Palo Alto Networks Reports Fiscal Fourth Quarter and Fiscal Year 2017 Financial Results | https://investors.paloaltonetworks.com/news-releases/news-release-details/palo-alto-networks-reports-fiscal-fourth-quarter-and-fiscal-2
2017-11-20 | Palo Alto Networks | Palo Alto Networks Reports Fiscal First Quarter 2018 Financial Results | https://investors.paloaltonetworks.com/news-releases/news-release-details/palo-alto-networks-reports-fiscal-first-quarter-2018-financial
2017-11-21 | The Motley Fool | Palo Alto Networks, Inc. Reports a Strong Quarter, Raises Guidance | https://www.fool.com/investing/2017/11/21/palo-alto-networks-inc-reports-a-strong-quarter-ra.aspx</x:v>
      </x:c>
      <x:c r="R8" s="15" t="n">
        <x:v>3</x:v>
      </x:c>
      <x:c r="S8" s="15" t="str">
        <x:v>PASS</x:v>
      </x:c>
    </x:row>
    <x:row r="9" ht="340" customHeight="1">
      <x:c r="A9" s="15" t="n">
        <x:v>7</x:v>
      </x:c>
      <x:c r="B9" s="15" t="str">
        <x:v>PANW</x:v>
      </x:c>
      <x:c r="C9" s="15" t="str">
        <x:v>Palo Alto Networks</x:v>
      </x:c>
      <x:c r="D9" s="15" t="str">
        <x:v>2018q1</x:v>
      </x:c>
      <x:c r="E9" s="15" t="str">
        <x:v>2018-02-26</x:v>
      </x:c>
      <x:c r="F9" s="18" t="n">
        <x:v>1.28</x:v>
      </x:c>
      <x:c r="G9" s="18" t="n">
        <x:v>3.57</x:v>
      </x:c>
      <x:c r="H9" s="18" t="n">
        <x:v>4.9</x:v>
      </x:c>
      <x:c r="I9" s="18" t="n">
        <x:v>5.67</x:v>
      </x:c>
      <x:c r="J9" s="18" t="n">
        <x:v>8.11</x:v>
      </x:c>
      <x:c r="K9" s="15" t="str">
        <x:v>ret_1daypost_pct</x:v>
      </x:c>
      <x:c r="L9" s="15" t="str">
        <x:v>UP</x:v>
      </x:c>
      <x:c r="M9" s="15" t="str">
        <x:v>## Prior Context
PANW entered fiscal Q2 with the turnaround largely complete. The debate had shifted toward cloud security, accelerating product growth and the size of the margin opportunity.
### Verified prior source
2017-11-20 | Palo Alto Networks | Palo Alto Networks Reports Fiscal First Quarter 2018 Financial Results | https://investors.paloaltonetworks.com/news-releases/news-release-details/palo-alto-networks-reports-fiscal-first-quarter-2018-financial
## Current Earnings Release
Fiscal Q2 revenue increased **28% to $542.4 million**, product revenue grew **20%**, subscription/support revenue **34%**, and billings **20%**. Adjusted EPS was **$0.97**, ahead of forecasts near $0.79, though about $0.11 of the result reflected the lower tax rate.
Management raised full-year guidance across revenue, product revenue, billings and EPS. The call also emphasized PANW's expanding role across AWS, Azure and Google Cloud, suggesting the company was extending its platform beyond traditional network firewalls.
### Verified release source
2018-02-26 | Palo Alto Networks | Palo Alto Networks Reports Fiscal Second Quarter 2018 Financial Results | https://investors.paloaltonetworks.com/news-releases/news-release-details/palo-alto-networks-reports-fiscal-second-quarter-2018-financial
## Possible Drivers
**First-order driver.** The stock rose on a sizable earnings beat and a broad full-year guidance increase.
**Second-order driver.** Product growth accelerated to 20%, confirming that the earlier execution weakness was behind the company.
**Third-order driver.** Cloud-security adoption expanded PANW's addressable market beyond appliance refresh cycles.
### Verified reaction source
2018-02-27 | TheStreet | Palo Alto Networks Jumps on Strong Earnings, Outlook | https://www.thestreet.com/investing/comcast-sky-jerome-powell-fitbit-5-things-you-must-know-before-the-market-opens-tuesday-14500060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9" s="15" t="str">
        <x:v>2017-11-20 | Palo Alto Networks | Palo Alto Networks Reports Fiscal First Quarter 2018 Financial Results | https://investors.paloaltonetworks.com/news-releases/news-release-details/palo-alto-networks-reports-fiscal-first-quarter-2018-financial</x:v>
      </x:c>
      <x:c r="O9" s="15" t="str">
        <x:v>2018-02-26 | Palo Alto Networks | Palo Alto Networks Reports Fiscal Second Quarter 2018 Financial Results | https://investors.paloaltonetworks.com/news-releases/news-release-details/palo-alto-networks-reports-fiscal-second-quarter-2018-financial</x:v>
      </x:c>
      <x:c r="P9" s="15" t="str">
        <x:v>2018-02-27 | TheStreet | Palo Alto Networks Jumps on Strong Earnings, Outlook | https://www.thestreet.com/investing/comcast-sky-jerome-powell-fitbit-5-things-you-must-know-before-the-market-opens-tuesday-14500060</x:v>
      </x:c>
      <x:c r="Q9" s="15" t="str">
        <x:v>2017-11-20 | Palo Alto Networks | Palo Alto Networks Reports Fiscal First Quarter 2018 Financial Results | https://investors.paloaltonetworks.com/news-releases/news-release-details/palo-alto-networks-reports-fiscal-first-quarter-2018-financial
2018-02-26 | Palo Alto Networks | Palo Alto Networks Reports Fiscal Second Quarter 2018 Financial Results | https://investors.paloaltonetworks.com/news-releases/news-release-details/palo-alto-networks-reports-fiscal-second-quarter-2018-financial
2018-02-27 | TheStreet | Palo Alto Networks Jumps on Strong Earnings, Outlook | https://www.thestreet.com/investing/comcast-sky-jerome-powell-fitbit-5-things-you-must-know-before-the-market-opens-tuesday-14500060</x:v>
      </x:c>
      <x:c r="R9" s="15" t="n">
        <x:v>3</x:v>
      </x:c>
      <x:c r="S9" s="15" t="str">
        <x:v>PASS</x:v>
      </x:c>
    </x:row>
    <x:row r="10" ht="340" customHeight="1">
      <x:c r="A10" s="15" t="n">
        <x:v>8</x:v>
      </x:c>
      <x:c r="B10" s="15" t="str">
        <x:v>PANW</x:v>
      </x:c>
      <x:c r="C10" s="15" t="str">
        <x:v>Palo Alto Networks</x:v>
      </x:c>
      <x:c r="D10" s="15" t="str">
        <x:v>2018q2</x:v>
      </x:c>
      <x:c r="E10" s="15" t="str">
        <x:v>2018-06-04</x:v>
      </x:c>
      <x:c r="F10" s="18" t="n">
        <x:v>-0.98</x:v>
      </x:c>
      <x:c r="G10" s="18" t="n">
        <x:v>-2.18</x:v>
      </x:c>
      <x:c r="H10" s="18" t="n">
        <x:v>-3.14</x:v>
      </x:c>
      <x:c r="I10" s="18" t="n">
        <x:v>-3.56</x:v>
      </x:c>
      <x:c r="J10" s="18" t="n">
        <x:v>-6.74</x:v>
      </x:c>
      <x:c r="K10" s="15" t="str">
        <x:v>ret_1day_pct</x:v>
      </x:c>
      <x:c r="L10" s="15" t="str">
        <x:v>DOWN</x:v>
      </x:c>
      <x:c r="M10" s="15" t="str">
        <x:v>## Prior Context
This event requires special timing treatment. On **June 1**, PANW preannounced record Q3 revenue and billings while also naming former Google/SoftBank executive Nikesh Arora as the next CEO. The formal earnings call occurred before the market opened June 4.
### Verified prior source
2018-02-26 | Palo Alto Networks | Palo Alto Networks Reports Fiscal Second Quarter 2018 Financial Results | https://investors.paloaltonetworks.com/news-releases/news-release-details/palo-alto-networks-reports-fiscal-second-quarter-2018-financial
2018-06-01 | Palo Alto Networks | Palo Alto Networks Announces Record Revenues and Billings and Board Appoints Nikesh Arora as CEO and Chairman | https://investors.paloaltonetworks.com/news-releases/news-release-details/palo-alto-networks-announces-record-revenues-and-billings-and
## Current Earnings Release
The preannounced Q3 numbers were strong: revenue rose **31% to $567.1 million**, product revenue **31% to $215.2 million**, and billings **33% to $721.0 million**. On June 4, PANW reported adjusted EPS of **$0.99**, well above prior guidance of $0.94–$0.96.
Management raised full-year revenue guidance to **$2.240–$2.250 billion** and billings guidance to **$2.807–$2.822 billion**. The fundamental print was a beat-and-raise, but much of the good news had already been disclosed June 1. The leadership transition to Nikesh Arora also introduced uncertainty after a roughly 50% stock run over the prior year.
### Verified release source
2018-06-04 | Palo Alto Networks | Palo Alto Networks Reports Fiscal Third Quarter 2018 Financial Results | https://investors.paloaltonetworks.com/news-releases/news-release-details/palo-alto-networks-reports-fiscal-third-quarter-2018-financial
## Possible Drivers
**First-order driver.** The modest negative June 4 reaction reflected preannouncement/leadership-transition digestion, not a weak quarter.
**Second-order driver.** Revenue, product revenue and billings all materially exceeded prior guidance.
**Third-order driver.** New-CEO uncertainty mattered more because the operating beat had already been partially priced in on June 1.
### Verified reaction source
2018-06-05 | The Motley Fool | Palo Alto Networks Welcomes Its New CEO With a Beat and Raise | https://www.fool.com/investing/2018/06/05/palo-alto-networks-welcomes-its-new-ceo-with-a-bea.aspx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10" s="15" t="str">
        <x:v>2018-02-26 | Palo Alto Networks | Palo Alto Networks Reports Fiscal Second Quarter 2018 Financial Results | https://investors.paloaltonetworks.com/news-releases/news-release-details/palo-alto-networks-reports-fiscal-second-quarter-2018-financial
2018-06-01 | Palo Alto Networks | Palo Alto Networks Announces Record Revenues and Billings and Board Appoints Nikesh Arora as CEO and Chairman | https://investors.paloaltonetworks.com/news-releases/news-release-details/palo-alto-networks-announces-record-revenues-and-billings-and</x:v>
      </x:c>
      <x:c r="O10" s="15" t="str">
        <x:v>2018-06-04 | Palo Alto Networks | Palo Alto Networks Reports Fiscal Third Quarter 2018 Financial Results | https://investors.paloaltonetworks.com/news-releases/news-release-details/palo-alto-networks-reports-fiscal-third-quarter-2018-financial</x:v>
      </x:c>
      <x:c r="P10" s="15" t="str">
        <x:v>2018-06-05 | The Motley Fool | Palo Alto Networks Welcomes Its New CEO With a Beat and Raise | https://www.fool.com/investing/2018/06/05/palo-alto-networks-welcomes-its-new-ceo-with-a-bea.aspx</x:v>
      </x:c>
      <x:c r="Q10" s="15" t="str">
        <x:v>2018-02-26 | Palo Alto Networks | Palo Alto Networks Reports Fiscal Second Quarter 2018 Financial Results | https://investors.paloaltonetworks.com/news-releases/news-release-details/palo-alto-networks-reports-fiscal-second-quarter-2018-financial
2018-06-01 | Palo Alto Networks | Palo Alto Networks Announces Record Revenues and Billings and Board Appoints Nikesh Arora as CEO and Chairman | https://investors.paloaltonetworks.com/news-releases/news-release-details/palo-alto-networks-announces-record-revenues-and-billings-and
2018-06-04 | Palo Alto Networks | Palo Alto Networks Reports Fiscal Third Quarter 2018 Financial Results | https://investors.paloaltonetworks.com/news-releases/news-release-details/palo-alto-networks-reports-fiscal-third-quarter-2018-financial
2018-06-05 | The Motley Fool | Palo Alto Networks Welcomes Its New CEO With a Beat and Raise | https://www.fool.com/investing/2018/06/05/palo-alto-networks-welcomes-its-new-ceo-with-a-bea.aspx</x:v>
      </x:c>
      <x:c r="R10" s="15" t="n">
        <x:v>4</x:v>
      </x:c>
      <x:c r="S10" s="15" t="str">
        <x:v>PASS</x:v>
      </x:c>
    </x:row>
    <x:row r="11" ht="340" customHeight="1">
      <x:c r="A11" s="15" t="n">
        <x:v>9</x:v>
      </x:c>
      <x:c r="B11" s="15" t="str">
        <x:v>PANW</x:v>
      </x:c>
      <x:c r="C11" s="15" t="str">
        <x:v>Palo Alto Networks</x:v>
      </x:c>
      <x:c r="D11" s="15" t="str">
        <x:v>2018q3</x:v>
      </x:c>
      <x:c r="E11" s="15" t="str">
        <x:v>2018-09-06</x:v>
      </x:c>
      <x:c r="F11" s="18" t="n">
        <x:v>-0.44</x:v>
      </x:c>
      <x:c r="G11" s="18" t="n">
        <x:v>3.52</x:v>
      </x:c>
      <x:c r="H11" s="18" t="n">
        <x:v>3.07</x:v>
      </x:c>
      <x:c r="I11" s="18" t="n">
        <x:v>0.37</x:v>
      </x:c>
      <x:c r="J11" s="18" t="n">
        <x:v>2.68</x:v>
      </x:c>
      <x:c r="K11" s="15" t="str">
        <x:v>ret_1daypost_pct</x:v>
      </x:c>
      <x:c r="L11" s="15" t="str">
        <x:v>UP</x:v>
      </x:c>
      <x:c r="M11" s="15" t="str">
        <x:v>## Prior Context
This was Nikesh Arora's first full earnings report as CEO. Investors wanted confirmation that the leadership transition would not interrupt PANW's strong cloud-security and platform momentum.
### Verified prior source
2018-06-04 | Palo Alto Networks | Palo Alto Networks Reports Fiscal Third Quarter 2018 Financial Results | https://investors.paloaltonetworks.com/news-releases/news-release-details/palo-alto-networks-reports-fiscal-third-quarter-2018-financial
## Current Earnings Release
Fiscal Q4 revenue increased **29% to $658.1 million**, billings rose **29% to $868.1 million**, and adjusted EPS reached **$1.28**. Subscription and support revenue grew **32%**, while free cash flow hit a record **$252.5 million**.
The geographic mix was also strong, with EMEA and APAC revenue each growing more than 40%. Management guided fiscal Q1 2019 revenue to **$625–$635 million** under the new accounting standard. The result showed that growth, cash generation and international momentum remained strong under the new CEO.
### Verified release source
2018-09-06 | Palo Alto Networks | Palo Alto Networks Reports Fiscal Fourth Quarter and Fiscal Year 2018 Financial Results | https://investors.paloaltonetworks.com/news-releases/news-release-details/palo-alto-networks-reports-fiscal-fourth-quarter-and-fiscal-1
## Possible Drivers
**First-order driver.** Shares rose because Q4 earnings, revenue and billings were stronger than expected.
**Second-order driver.** Record free cash flow improved the quality of the growth.
**Third-order driver.** Strong international and cloud-security momentum reduced concern around the CEO transition.
### Verified reaction source
2018-09-07 | Warrior Trading News | Palo Alto Networks Shares Gain Premarket After a Strong Q4 | https://warriortradingnews.com/2018/09/07/palo-alto-networks-panw-stock-shares-gain-13-premarket-after-a-strong-q4/
## Verification Status
Included sources were checked for Palo Alto Networks/PANW identity, the correct earnings event or directly relevant preannouncement, publication date, timing window and source origin. Palo Alto Networks Investor Relations is the factual anchor. No WSJ, Reuters, Dow Jones or MarketWatch-syndicated article is included.
</x:v>
      </x:c>
      <x:c r="N11" s="15" t="str">
        <x:v>2018-06-04 | Palo Alto Networks | Palo Alto Networks Reports Fiscal Third Quarter 2018 Financial Results | https://investors.paloaltonetworks.com/news-releases/news-release-details/palo-alto-networks-reports-fiscal-third-quarter-2018-financial</x:v>
      </x:c>
      <x:c r="O11" s="15" t="str">
        <x:v>2018-09-06 | Palo Alto Networks | Palo Alto Networks Reports Fiscal Fourth Quarter and Fiscal Year 2018 Financial Results | https://investors.paloaltonetworks.com/news-releases/news-release-details/palo-alto-networks-reports-fiscal-fourth-quarter-and-fiscal-1</x:v>
      </x:c>
      <x:c r="P11" s="15" t="str">
        <x:v>2018-09-07 | Warrior Trading News | Palo Alto Networks Shares Gain Premarket After a Strong Q4 | https://warriortradingnews.com/2018/09/07/palo-alto-networks-panw-stock-shares-gain-13-premarket-after-a-strong-q4/</x:v>
      </x:c>
      <x:c r="Q11" s="15" t="str">
        <x:v>2018-06-04 | Palo Alto Networks | Palo Alto Networks Reports Fiscal Third Quarter 2018 Financial Results | https://investors.paloaltonetworks.com/news-releases/news-release-details/palo-alto-networks-reports-fiscal-third-quarter-2018-financial
2018-09-06 | Palo Alto Networks | Palo Alto Networks Reports Fiscal Fourth Quarter and Fiscal Year 2018 Financial Results | https://investors.paloaltonetworks.com/news-releases/news-release-details/palo-alto-networks-reports-fiscal-fourth-quarter-and-fiscal-1
2018-09-07 | Warrior Trading News | Palo Alto Networks Shares Gain Premarket After a Strong Q4 | https://warriortradingnews.com/2018/09/07/palo-alto-networks-panw-stock-shares-gain-13-premarket-after-a-strong-q4/</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5"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2016-05-26</x:v>
      </x:c>
      <x:c r="B2" s="12" t="str">
        <x:v>PANW</x:v>
      </x:c>
      <x:c r="C2" s="12" t="str">
        <x:v>release</x:v>
      </x:c>
      <x:c r="D2" s="12" t="str">
        <x:v>2016-05-26</x:v>
      </x:c>
      <x:c r="E2" s="12" t="n">
        <x:v>0</x:v>
      </x:c>
      <x:c r="F2" s="12" t="str">
        <x:v>Palo Alto Networks</x:v>
      </x:c>
      <x:c r="G2" s="12" t="str">
        <x:v>Palo Alto Networks Reports Fiscal Third Quarter 2016 Financial Results</x:v>
      </x:c>
      <x:c r="H2" s="12" t="str">
        <x:v>https://investors.paloaltonetworks.com/static-files/50dfd7a6-524f-4194-82b0-8d34bfb96abe</x:v>
      </x:c>
      <x:c r="I2" s="12" t="str">
        <x:v>VERIFIED</x:v>
      </x:c>
      <x:c r="J2" s="12" t="str">
        <x:v>PASS</x:v>
      </x:c>
      <x:c r="K2" s="12" t="str">
        <x:v>PASS</x:v>
      </x:c>
      <x:c r="L2" s="12" t="str">
        <x:v>PASS</x:v>
      </x:c>
      <x:c r="M2" s="12" t="str">
        <x:v>NO</x:v>
      </x:c>
      <x:c r="N2" s="12" t="str">
        <x:v>PASS</x:v>
      </x:c>
      <x:c r="O2" s="12" t="str">
        <x:v>FACTUAL</x:v>
      </x:c>
      <x:c r="P2" s="12" t="str">
        <x:v>PASS</x:v>
      </x:c>
      <x:c r="Q2" s="12" t="str">
        <x:v>Verified against PANW/Palo Alto Networks, exact event/catalyst, displayed date, timing window and source-origin restrictions.</x:v>
      </x:c>
    </x:row>
    <x:row r="3">
      <x:c r="A3" s="12" t="str">
        <x:v>2016-05-26</x:v>
      </x:c>
      <x:c r="B3" s="12" t="str">
        <x:v>PANW</x:v>
      </x:c>
      <x:c r="C3" s="12" t="str">
        <x:v>reaction</x:v>
      </x:c>
      <x:c r="D3" s="12" t="str">
        <x:v>2016-05-27</x:v>
      </x:c>
      <x:c r="E3" s="12" t="n">
        <x:v>1</x:v>
      </x:c>
      <x:c r="F3" s="12" t="str">
        <x:v>The Motley Fool</x:v>
      </x:c>
      <x:c r="G3" s="12" t="str">
        <x:v>Why Palo Alto Networks, Inc. Stock Dropped Today</x:v>
      </x:c>
      <x:c r="H3" s="12" t="str">
        <x:v>https://www.fool.com/investing/2016/05/27/why-palo-alto-networks-inc-stock-dropped-today.aspx</x:v>
      </x:c>
      <x:c r="I3" s="12" t="str">
        <x:v>VERIFIED</x:v>
      </x:c>
      <x:c r="J3" s="12" t="str">
        <x:v>PASS</x:v>
      </x:c>
      <x:c r="K3" s="12" t="str">
        <x:v>PASS</x:v>
      </x:c>
      <x:c r="L3" s="12" t="str">
        <x:v>PASS</x:v>
      </x:c>
      <x:c r="M3" s="12" t="str">
        <x:v>NO</x:v>
      </x:c>
      <x:c r="N3" s="12" t="str">
        <x:v>PASS</x:v>
      </x:c>
      <x:c r="O3" s="12" t="str">
        <x:v>CONTEMPORANEOUS_ATTRIBUTION</x:v>
      </x:c>
      <x:c r="P3" s="12" t="str">
        <x:v>PASS</x:v>
      </x:c>
      <x:c r="Q3" s="12" t="str">
        <x:v>Verified against PANW/Palo Alto Networks, exact event/catalyst, displayed date, timing window and source-origin restrictions.</x:v>
      </x:c>
    </x:row>
    <x:row r="4">
      <x:c r="A4" s="12" t="str">
        <x:v>2016-08-30</x:v>
      </x:c>
      <x:c r="B4" s="12" t="str">
        <x:v>PANW</x:v>
      </x:c>
      <x:c r="C4" s="12" t="str">
        <x:v>prior</x:v>
      </x:c>
      <x:c r="D4" s="12" t="str">
        <x:v>2016-05-26</x:v>
      </x:c>
      <x:c r="E4" s="12" t="n">
        <x:v>-96</x:v>
      </x:c>
      <x:c r="F4" s="12" t="str">
        <x:v>Palo Alto Networks</x:v>
      </x:c>
      <x:c r="G4" s="12" t="str">
        <x:v>Palo Alto Networks Reports Fiscal Third Quarter 2016 Financial Results</x:v>
      </x:c>
      <x:c r="H4" s="12" t="str">
        <x:v>https://investors.paloaltonetworks.com/static-files/50dfd7a6-524f-4194-82b0-8d34bfb96abe</x:v>
      </x:c>
      <x:c r="I4" s="12" t="str">
        <x:v>VERIFIED</x:v>
      </x:c>
      <x:c r="J4" s="12" t="str">
        <x:v>PASS</x:v>
      </x:c>
      <x:c r="K4" s="12" t="str">
        <x:v>PASS</x:v>
      </x:c>
      <x:c r="L4" s="12" t="str">
        <x:v>PASS</x:v>
      </x:c>
      <x:c r="M4" s="12" t="str">
        <x:v>NO</x:v>
      </x:c>
      <x:c r="N4" s="12" t="str">
        <x:v>PASS</x:v>
      </x:c>
      <x:c r="O4" s="12" t="str">
        <x:v>FACTUAL</x:v>
      </x:c>
      <x:c r="P4" s="12" t="str">
        <x:v>PASS</x:v>
      </x:c>
      <x:c r="Q4" s="12" t="str">
        <x:v>Verified against PANW/Palo Alto Networks, exact event/catalyst, displayed date, timing window and source-origin restrictions.</x:v>
      </x:c>
    </x:row>
    <x:row r="5">
      <x:c r="A5" s="12" t="str">
        <x:v>2016-08-30</x:v>
      </x:c>
      <x:c r="B5" s="12" t="str">
        <x:v>PANW</x:v>
      </x:c>
      <x:c r="C5" s="12" t="str">
        <x:v>release</x:v>
      </x:c>
      <x:c r="D5" s="12" t="str">
        <x:v>2016-08-30</x:v>
      </x:c>
      <x:c r="E5" s="12" t="n">
        <x:v>0</x:v>
      </x:c>
      <x:c r="F5" s="12" t="str">
        <x:v>Palo Alto Networks</x:v>
      </x:c>
      <x:c r="G5" s="12" t="str">
        <x:v>Palo Alto Networks Reports Fiscal Fourth Quarter and Fiscal Year 2016 Financial Results</x:v>
      </x:c>
      <x:c r="H5" s="12" t="str">
        <x:v>https://investors.paloaltonetworks.com/static-files/6d63aeb8-55aa-4075-85aa-da6fe699befe</x:v>
      </x:c>
      <x:c r="I5" s="12" t="str">
        <x:v>VERIFIED</x:v>
      </x:c>
      <x:c r="J5" s="12" t="str">
        <x:v>PASS</x:v>
      </x:c>
      <x:c r="K5" s="12" t="str">
        <x:v>PASS</x:v>
      </x:c>
      <x:c r="L5" s="12" t="str">
        <x:v>PASS</x:v>
      </x:c>
      <x:c r="M5" s="12" t="str">
        <x:v>NO</x:v>
      </x:c>
      <x:c r="N5" s="12" t="str">
        <x:v>PASS</x:v>
      </x:c>
      <x:c r="O5" s="12" t="str">
        <x:v>FACTUAL</x:v>
      </x:c>
      <x:c r="P5" s="12" t="str">
        <x:v>PASS</x:v>
      </x:c>
      <x:c r="Q5" s="12" t="str">
        <x:v>Verified against PANW/Palo Alto Networks, exact event/catalyst, displayed date, timing window and source-origin restrictions.</x:v>
      </x:c>
    </x:row>
    <x:row r="6">
      <x:c r="A6" s="12" t="str">
        <x:v>2016-08-30</x:v>
      </x:c>
      <x:c r="B6" s="12" t="str">
        <x:v>PANW</x:v>
      </x:c>
      <x:c r="C6" s="12" t="str">
        <x:v>reaction</x:v>
      </x:c>
      <x:c r="D6" s="12" t="str">
        <x:v>2016-08-31</x:v>
      </x:c>
      <x:c r="E6" s="12" t="n">
        <x:v>1</x:v>
      </x:c>
      <x:c r="F6" s="12" t="str">
        <x:v>The Motley Fool</x:v>
      </x:c>
      <x:c r="G6" s="12" t="str">
        <x:v>Palo Alto Networks, Inc. Goes 9-for-9</x:v>
      </x:c>
      <x:c r="H6" s="12" t="str">
        <x:v>https://www.fool.com/investing/2016/08/31/palo-alto-networks-inc-goes-9-for-9.aspx</x:v>
      </x:c>
      <x:c r="I6" s="12" t="str">
        <x:v>VERIFIED</x:v>
      </x:c>
      <x:c r="J6" s="12" t="str">
        <x:v>PASS</x:v>
      </x:c>
      <x:c r="K6" s="12" t="str">
        <x:v>PASS</x:v>
      </x:c>
      <x:c r="L6" s="12" t="str">
        <x:v>PASS</x:v>
      </x:c>
      <x:c r="M6" s="12" t="str">
        <x:v>NO</x:v>
      </x:c>
      <x:c r="N6" s="12" t="str">
        <x:v>PASS</x:v>
      </x:c>
      <x:c r="O6" s="12" t="str">
        <x:v>CONTEMPORANEOUS_ATTRIBUTION</x:v>
      </x:c>
      <x:c r="P6" s="12" t="str">
        <x:v>PASS</x:v>
      </x:c>
      <x:c r="Q6" s="12" t="str">
        <x:v>Verified against PANW/Palo Alto Networks, exact event/catalyst, displayed date, timing window and source-origin restrictions.</x:v>
      </x:c>
    </x:row>
    <x:row r="7">
      <x:c r="A7" s="12" t="str">
        <x:v>2016-11-21</x:v>
      </x:c>
      <x:c r="B7" s="12" t="str">
        <x:v>PANW</x:v>
      </x:c>
      <x:c r="C7" s="12" t="str">
        <x:v>prior</x:v>
      </x:c>
      <x:c r="D7" s="12" t="str">
        <x:v>2016-08-30</x:v>
      </x:c>
      <x:c r="E7" s="12" t="n">
        <x:v>-83</x:v>
      </x:c>
      <x:c r="F7" s="12" t="str">
        <x:v>Palo Alto Networks</x:v>
      </x:c>
      <x:c r="G7" s="12" t="str">
        <x:v>Palo Alto Networks Reports Fiscal Fourth Quarter and Fiscal Year 2016 Financial Results</x:v>
      </x:c>
      <x:c r="H7" s="12" t="str">
        <x:v>https://investors.paloaltonetworks.com/static-files/6d63aeb8-55aa-4075-85aa-da6fe699befe</x:v>
      </x:c>
      <x:c r="I7" s="12" t="str">
        <x:v>VERIFIED</x:v>
      </x:c>
      <x:c r="J7" s="12" t="str">
        <x:v>PASS</x:v>
      </x:c>
      <x:c r="K7" s="12" t="str">
        <x:v>PASS</x:v>
      </x:c>
      <x:c r="L7" s="12" t="str">
        <x:v>PASS</x:v>
      </x:c>
      <x:c r="M7" s="12" t="str">
        <x:v>NO</x:v>
      </x:c>
      <x:c r="N7" s="12" t="str">
        <x:v>PASS</x:v>
      </x:c>
      <x:c r="O7" s="12" t="str">
        <x:v>FACTUAL</x:v>
      </x:c>
      <x:c r="P7" s="12" t="str">
        <x:v>PASS</x:v>
      </x:c>
      <x:c r="Q7" s="12" t="str">
        <x:v>Verified against PANW/Palo Alto Networks, exact event/catalyst, displayed date, timing window and source-origin restrictions.</x:v>
      </x:c>
    </x:row>
    <x:row r="8">
      <x:c r="A8" s="12" t="str">
        <x:v>2016-11-21</x:v>
      </x:c>
      <x:c r="B8" s="12" t="str">
        <x:v>PANW</x:v>
      </x:c>
      <x:c r="C8" s="12" t="str">
        <x:v>release</x:v>
      </x:c>
      <x:c r="D8" s="12" t="str">
        <x:v>2016-11-21</x:v>
      </x:c>
      <x:c r="E8" s="12" t="n">
        <x:v>0</x:v>
      </x:c>
      <x:c r="F8" s="12" t="str">
        <x:v>Palo Alto Networks</x:v>
      </x:c>
      <x:c r="G8" s="12" t="str">
        <x:v>Palo Alto Networks Reports Fiscal First Quarter 2017 Financial Results</x:v>
      </x:c>
      <x:c r="H8" s="12" t="str">
        <x:v>https://investors.paloaltonetworks.com/static-files/3dbf8f8c-bde8-479c-8c7c-c9b2b6d29286</x:v>
      </x:c>
      <x:c r="I8" s="12" t="str">
        <x:v>VERIFIED</x:v>
      </x:c>
      <x:c r="J8" s="12" t="str">
        <x:v>PASS</x:v>
      </x:c>
      <x:c r="K8" s="12" t="str">
        <x:v>PASS</x:v>
      </x:c>
      <x:c r="L8" s="12" t="str">
        <x:v>PASS</x:v>
      </x:c>
      <x:c r="M8" s="12" t="str">
        <x:v>NO</x:v>
      </x:c>
      <x:c r="N8" s="12" t="str">
        <x:v>PASS</x:v>
      </x:c>
      <x:c r="O8" s="12" t="str">
        <x:v>FACTUAL</x:v>
      </x:c>
      <x:c r="P8" s="12" t="str">
        <x:v>PASS</x:v>
      </x:c>
      <x:c r="Q8" s="12" t="str">
        <x:v>Verified against PANW/Palo Alto Networks, exact event/catalyst, displayed date, timing window and source-origin restrictions.</x:v>
      </x:c>
    </x:row>
    <x:row r="9">
      <x:c r="A9" s="12" t="str">
        <x:v>2016-11-21</x:v>
      </x:c>
      <x:c r="B9" s="12" t="str">
        <x:v>PANW</x:v>
      </x:c>
      <x:c r="C9" s="12" t="str">
        <x:v>reaction</x:v>
      </x:c>
      <x:c r="D9" s="12" t="str">
        <x:v>2016-11-22</x:v>
      </x:c>
      <x:c r="E9" s="12" t="n">
        <x:v>1</x:v>
      </x:c>
      <x:c r="F9" s="12" t="str">
        <x:v>The Motley Fool</x:v>
      </x:c>
      <x:c r="G9" s="12" t="str">
        <x:v>Why Palo Alto Networks, Inc. Stock Plunged Today</x:v>
      </x:c>
      <x:c r="H9" s="12" t="str">
        <x:v>https://www.fool.com/investing/2016/11/22/why-palo-alto-networks-inc-stock-plunged-today.aspx</x:v>
      </x:c>
      <x:c r="I9" s="12" t="str">
        <x:v>VERIFIED</x:v>
      </x:c>
      <x:c r="J9" s="12" t="str">
        <x:v>PASS</x:v>
      </x:c>
      <x:c r="K9" s="12" t="str">
        <x:v>PASS</x:v>
      </x:c>
      <x:c r="L9" s="12" t="str">
        <x:v>PASS</x:v>
      </x:c>
      <x:c r="M9" s="12" t="str">
        <x:v>NO</x:v>
      </x:c>
      <x:c r="N9" s="12" t="str">
        <x:v>PASS</x:v>
      </x:c>
      <x:c r="O9" s="12" t="str">
        <x:v>CONTEMPORANEOUS_ATTRIBUTION</x:v>
      </x:c>
      <x:c r="P9" s="12" t="str">
        <x:v>PASS</x:v>
      </x:c>
      <x:c r="Q9" s="12" t="str">
        <x:v>Verified against PANW/Palo Alto Networks, exact event/catalyst, displayed date, timing window and source-origin restrictions.</x:v>
      </x:c>
    </x:row>
    <x:row r="10">
      <x:c r="A10" s="12" t="str">
        <x:v>2017-02-28</x:v>
      </x:c>
      <x:c r="B10" s="12" t="str">
        <x:v>PANW</x:v>
      </x:c>
      <x:c r="C10" s="12" t="str">
        <x:v>prior</x:v>
      </x:c>
      <x:c r="D10" s="12" t="str">
        <x:v>2016-11-21</x:v>
      </x:c>
      <x:c r="E10" s="12" t="n">
        <x:v>-99</x:v>
      </x:c>
      <x:c r="F10" s="12" t="str">
        <x:v>Palo Alto Networks</x:v>
      </x:c>
      <x:c r="G10" s="12" t="str">
        <x:v>Palo Alto Networks Reports Fiscal First Quarter 2017 Financial Results</x:v>
      </x:c>
      <x:c r="H10" s="12" t="str">
        <x:v>https://investors.paloaltonetworks.com/static-files/3dbf8f8c-bde8-479c-8c7c-c9b2b6d29286</x:v>
      </x:c>
      <x:c r="I10" s="12" t="str">
        <x:v>VERIFIED</x:v>
      </x:c>
      <x:c r="J10" s="12" t="str">
        <x:v>PASS</x:v>
      </x:c>
      <x:c r="K10" s="12" t="str">
        <x:v>PASS</x:v>
      </x:c>
      <x:c r="L10" s="12" t="str">
        <x:v>PASS</x:v>
      </x:c>
      <x:c r="M10" s="12" t="str">
        <x:v>NO</x:v>
      </x:c>
      <x:c r="N10" s="12" t="str">
        <x:v>PASS</x:v>
      </x:c>
      <x:c r="O10" s="12" t="str">
        <x:v>FACTUAL</x:v>
      </x:c>
      <x:c r="P10" s="12" t="str">
        <x:v>PASS</x:v>
      </x:c>
      <x:c r="Q10" s="12" t="str">
        <x:v>Verified against PANW/Palo Alto Networks, exact event/catalyst, displayed date, timing window and source-origin restrictions.</x:v>
      </x:c>
    </x:row>
    <x:row r="11">
      <x:c r="A11" s="12" t="str">
        <x:v>2017-02-28</x:v>
      </x:c>
      <x:c r="B11" s="12" t="str">
        <x:v>PANW</x:v>
      </x:c>
      <x:c r="C11" s="12" t="str">
        <x:v>release</x:v>
      </x:c>
      <x:c r="D11" s="12" t="str">
        <x:v>2017-02-28</x:v>
      </x:c>
      <x:c r="E11" s="12" t="n">
        <x:v>0</x:v>
      </x:c>
      <x:c r="F11" s="12" t="str">
        <x:v>Palo Alto Networks</x:v>
      </x:c>
      <x:c r="G11" s="12" t="str">
        <x:v>Palo Alto Networks Reports Fiscal Second Quarter 2017 Financial Results</x:v>
      </x:c>
      <x:c r="H11" s="12" t="str">
        <x:v>https://investors.paloaltonetworks.com/static-files/269b1a9e-1cde-47c0-9f47-a2ed189a518e</x:v>
      </x:c>
      <x:c r="I11" s="12" t="str">
        <x:v>VERIFIED</x:v>
      </x:c>
      <x:c r="J11" s="12" t="str">
        <x:v>PASS</x:v>
      </x:c>
      <x:c r="K11" s="12" t="str">
        <x:v>PASS</x:v>
      </x:c>
      <x:c r="L11" s="12" t="str">
        <x:v>PASS</x:v>
      </x:c>
      <x:c r="M11" s="12" t="str">
        <x:v>NO</x:v>
      </x:c>
      <x:c r="N11" s="12" t="str">
        <x:v>PASS</x:v>
      </x:c>
      <x:c r="O11" s="12" t="str">
        <x:v>FACTUAL</x:v>
      </x:c>
      <x:c r="P11" s="12" t="str">
        <x:v>PASS</x:v>
      </x:c>
      <x:c r="Q11" s="12" t="str">
        <x:v>Verified against PANW/Palo Alto Networks, exact event/catalyst, displayed date, timing window and source-origin restrictions.</x:v>
      </x:c>
    </x:row>
    <x:row r="12">
      <x:c r="A12" s="12" t="str">
        <x:v>2017-02-28</x:v>
      </x:c>
      <x:c r="B12" s="12" t="str">
        <x:v>PANW</x:v>
      </x:c>
      <x:c r="C12" s="12" t="str">
        <x:v>reaction</x:v>
      </x:c>
      <x:c r="D12" s="12" t="str">
        <x:v>2017-03-01</x:v>
      </x:c>
      <x:c r="E12" s="12" t="n">
        <x:v>1</x:v>
      </x:c>
      <x:c r="F12" s="12" t="str">
        <x:v>The Motley Fool</x:v>
      </x:c>
      <x:c r="G12" s="12" t="str">
        <x:v>Why Palo Alto Networks, Inc. Stock Plunged Today</x:v>
      </x:c>
      <x:c r="H12" s="12" t="str">
        <x:v>https://www.fool.com/investing/2017/03/01/why-palo-alto-networks-inc-stock-plunged-today.aspx</x:v>
      </x:c>
      <x:c r="I12" s="12" t="str">
        <x:v>VERIFIED</x:v>
      </x:c>
      <x:c r="J12" s="12" t="str">
        <x:v>PASS</x:v>
      </x:c>
      <x:c r="K12" s="12" t="str">
        <x:v>PASS</x:v>
      </x:c>
      <x:c r="L12" s="12" t="str">
        <x:v>PASS</x:v>
      </x:c>
      <x:c r="M12" s="12" t="str">
        <x:v>NO</x:v>
      </x:c>
      <x:c r="N12" s="12" t="str">
        <x:v>PASS</x:v>
      </x:c>
      <x:c r="O12" s="12" t="str">
        <x:v>CONTEMPORANEOUS_ATTRIBUTION</x:v>
      </x:c>
      <x:c r="P12" s="12" t="str">
        <x:v>PASS</x:v>
      </x:c>
      <x:c r="Q12" s="12" t="str">
        <x:v>Verified against PANW/Palo Alto Networks, exact event/catalyst, displayed date, timing window and source-origin restrictions.</x:v>
      </x:c>
    </x:row>
    <x:row r="13">
      <x:c r="A13" s="12" t="str">
        <x:v>2017-05-31</x:v>
      </x:c>
      <x:c r="B13" s="12" t="str">
        <x:v>PANW</x:v>
      </x:c>
      <x:c r="C13" s="12" t="str">
        <x:v>prior</x:v>
      </x:c>
      <x:c r="D13" s="12" t="str">
        <x:v>2017-02-28</x:v>
      </x:c>
      <x:c r="E13" s="12" t="n">
        <x:v>-92</x:v>
      </x:c>
      <x:c r="F13" s="12" t="str">
        <x:v>Palo Alto Networks</x:v>
      </x:c>
      <x:c r="G13" s="12" t="str">
        <x:v>Palo Alto Networks Reports Fiscal Second Quarter 2017 Financial Results</x:v>
      </x:c>
      <x:c r="H13" s="12" t="str">
        <x:v>https://investors.paloaltonetworks.com/static-files/269b1a9e-1cde-47c0-9f47-a2ed189a518e</x:v>
      </x:c>
      <x:c r="I13" s="12" t="str">
        <x:v>VERIFIED</x:v>
      </x:c>
      <x:c r="J13" s="12" t="str">
        <x:v>PASS</x:v>
      </x:c>
      <x:c r="K13" s="12" t="str">
        <x:v>PASS</x:v>
      </x:c>
      <x:c r="L13" s="12" t="str">
        <x:v>PASS</x:v>
      </x:c>
      <x:c r="M13" s="12" t="str">
        <x:v>NO</x:v>
      </x:c>
      <x:c r="N13" s="12" t="str">
        <x:v>PASS</x:v>
      </x:c>
      <x:c r="O13" s="12" t="str">
        <x:v>FACTUAL</x:v>
      </x:c>
      <x:c r="P13" s="12" t="str">
        <x:v>PASS</x:v>
      </x:c>
      <x:c r="Q13" s="12" t="str">
        <x:v>Verified against PANW/Palo Alto Networks, exact event/catalyst, displayed date, timing window and source-origin restrictions.</x:v>
      </x:c>
    </x:row>
    <x:row r="14">
      <x:c r="A14" s="12" t="str">
        <x:v>2017-05-31</x:v>
      </x:c>
      <x:c r="B14" s="12" t="str">
        <x:v>PANW</x:v>
      </x:c>
      <x:c r="C14" s="12" t="str">
        <x:v>release</x:v>
      </x:c>
      <x:c r="D14" s="12" t="str">
        <x:v>2017-05-31</x:v>
      </x:c>
      <x:c r="E14" s="12" t="n">
        <x:v>0</x:v>
      </x:c>
      <x:c r="F14" s="12" t="str">
        <x:v>Palo Alto Networks</x:v>
      </x:c>
      <x:c r="G14" s="12" t="str">
        <x:v>Palo Alto Networks Reports Fiscal Third Quarter 2017 Financial Results</x:v>
      </x:c>
      <x:c r="H14" s="12" t="str">
        <x:v>https://investors.paloaltonetworks.com/news-releases/news-release-details/palo-alto-networks-reports-fiscal-third-quarter-2017-financial</x:v>
      </x:c>
      <x:c r="I14" s="12" t="str">
        <x:v>VERIFIED</x:v>
      </x:c>
      <x:c r="J14" s="12" t="str">
        <x:v>PASS</x:v>
      </x:c>
      <x:c r="K14" s="12" t="str">
        <x:v>PASS</x:v>
      </x:c>
      <x:c r="L14" s="12" t="str">
        <x:v>PASS</x:v>
      </x:c>
      <x:c r="M14" s="12" t="str">
        <x:v>NO</x:v>
      </x:c>
      <x:c r="N14" s="12" t="str">
        <x:v>PASS</x:v>
      </x:c>
      <x:c r="O14" s="12" t="str">
        <x:v>FACTUAL</x:v>
      </x:c>
      <x:c r="P14" s="12" t="str">
        <x:v>PASS</x:v>
      </x:c>
      <x:c r="Q14" s="12" t="str">
        <x:v>Verified against PANW/Palo Alto Networks, exact event/catalyst, displayed date, timing window and source-origin restrictions.</x:v>
      </x:c>
    </x:row>
    <x:row r="15">
      <x:c r="A15" s="12" t="str">
        <x:v>2017-05-31</x:v>
      </x:c>
      <x:c r="B15" s="12" t="str">
        <x:v>PANW</x:v>
      </x:c>
      <x:c r="C15" s="12" t="str">
        <x:v>reaction</x:v>
      </x:c>
      <x:c r="D15" s="12" t="str">
        <x:v>2017-05-31</x:v>
      </x:c>
      <x:c r="E15" s="12" t="n">
        <x:v>0</x:v>
      </x:c>
      <x:c r="F15" s="12" t="str">
        <x:v>The Motley Fool</x:v>
      </x:c>
      <x:c r="G15" s="12" t="str">
        <x:v>Palo Alto Networks, Inc. Rides Customer Growth to a Strong Quarter</x:v>
      </x:c>
      <x:c r="H15" s="12" t="str">
        <x:v>https://www.fool.com/investing/2017/05/31/palo-alto-networks-inc-rides-customer-growth.aspx</x:v>
      </x:c>
      <x:c r="I15" s="12" t="str">
        <x:v>VERIFIED</x:v>
      </x:c>
      <x:c r="J15" s="12" t="str">
        <x:v>PASS</x:v>
      </x:c>
      <x:c r="K15" s="12" t="str">
        <x:v>PASS</x:v>
      </x:c>
      <x:c r="L15" s="12" t="str">
        <x:v>PASS</x:v>
      </x:c>
      <x:c r="M15" s="12" t="str">
        <x:v>NO</x:v>
      </x:c>
      <x:c r="N15" s="12" t="str">
        <x:v>PASS</x:v>
      </x:c>
      <x:c r="O15" s="12" t="str">
        <x:v>CONTEMPORANEOUS_ATTRIBUTION</x:v>
      </x:c>
      <x:c r="P15" s="12" t="str">
        <x:v>PASS</x:v>
      </x:c>
      <x:c r="Q15" s="12" t="str">
        <x:v>Verified against PANW/Palo Alto Networks, exact event/catalyst, displayed date, timing window and source-origin restrictions.</x:v>
      </x:c>
    </x:row>
    <x:row r="16">
      <x:c r="A16" s="12" t="str">
        <x:v>2017-08-31</x:v>
      </x:c>
      <x:c r="B16" s="12" t="str">
        <x:v>PANW</x:v>
      </x:c>
      <x:c r="C16" s="12" t="str">
        <x:v>prior</x:v>
      </x:c>
      <x:c r="D16" s="12" t="str">
        <x:v>2017-05-31</x:v>
      </x:c>
      <x:c r="E16" s="12" t="n">
        <x:v>-92</x:v>
      </x:c>
      <x:c r="F16" s="12" t="str">
        <x:v>Palo Alto Networks</x:v>
      </x:c>
      <x:c r="G16" s="12" t="str">
        <x:v>Palo Alto Networks Reports Fiscal Third Quarter 2017 Financial Results</x:v>
      </x:c>
      <x:c r="H16" s="12" t="str">
        <x:v>https://investors.paloaltonetworks.com/news-releases/news-release-details/palo-alto-networks-reports-fiscal-third-quarter-2017-financial</x:v>
      </x:c>
      <x:c r="I16" s="12" t="str">
        <x:v>VERIFIED</x:v>
      </x:c>
      <x:c r="J16" s="12" t="str">
        <x:v>PASS</x:v>
      </x:c>
      <x:c r="K16" s="12" t="str">
        <x:v>PASS</x:v>
      </x:c>
      <x:c r="L16" s="12" t="str">
        <x:v>PASS</x:v>
      </x:c>
      <x:c r="M16" s="12" t="str">
        <x:v>NO</x:v>
      </x:c>
      <x:c r="N16" s="12" t="str">
        <x:v>PASS</x:v>
      </x:c>
      <x:c r="O16" s="12" t="str">
        <x:v>FACTUAL</x:v>
      </x:c>
      <x:c r="P16" s="12" t="str">
        <x:v>PASS</x:v>
      </x:c>
      <x:c r="Q16" s="12" t="str">
        <x:v>Verified against PANW/Palo Alto Networks, exact event/catalyst, displayed date, timing window and source-origin restrictions.</x:v>
      </x:c>
    </x:row>
    <x:row r="17">
      <x:c r="A17" s="12" t="str">
        <x:v>2017-08-31</x:v>
      </x:c>
      <x:c r="B17" s="12" t="str">
        <x:v>PANW</x:v>
      </x:c>
      <x:c r="C17" s="12" t="str">
        <x:v>release</x:v>
      </x:c>
      <x:c r="D17" s="12" t="str">
        <x:v>2017-08-31</x:v>
      </x:c>
      <x:c r="E17" s="12" t="n">
        <x:v>0</x:v>
      </x:c>
      <x:c r="F17" s="12" t="str">
        <x:v>Palo Alto Networks</x:v>
      </x:c>
      <x:c r="G17" s="12" t="str">
        <x:v>Palo Alto Networks Reports Fiscal Fourth Quarter and Fiscal Year 2017 Financial Results</x:v>
      </x:c>
      <x:c r="H17" s="12" t="str">
        <x:v>https://investors.paloaltonetworks.com/news-releases/news-release-details/palo-alto-networks-reports-fiscal-fourth-quarter-and-fiscal-2</x:v>
      </x:c>
      <x:c r="I17" s="12" t="str">
        <x:v>VERIFIED</x:v>
      </x:c>
      <x:c r="J17" s="12" t="str">
        <x:v>PASS</x:v>
      </x:c>
      <x:c r="K17" s="12" t="str">
        <x:v>PASS</x:v>
      </x:c>
      <x:c r="L17" s="12" t="str">
        <x:v>PASS</x:v>
      </x:c>
      <x:c r="M17" s="12" t="str">
        <x:v>NO</x:v>
      </x:c>
      <x:c r="N17" s="12" t="str">
        <x:v>PASS</x:v>
      </x:c>
      <x:c r="O17" s="12" t="str">
        <x:v>FACTUAL</x:v>
      </x:c>
      <x:c r="P17" s="12" t="str">
        <x:v>PASS</x:v>
      </x:c>
      <x:c r="Q17" s="12" t="str">
        <x:v>Verified against PANW/Palo Alto Networks, exact event/catalyst, displayed date, timing window and source-origin restrictions.</x:v>
      </x:c>
    </x:row>
    <x:row r="18">
      <x:c r="A18" s="12" t="str">
        <x:v>2017-08-31</x:v>
      </x:c>
      <x:c r="B18" s="12" t="str">
        <x:v>PANW</x:v>
      </x:c>
      <x:c r="C18" s="12" t="str">
        <x:v>reaction</x:v>
      </x:c>
      <x:c r="D18" s="12" t="str">
        <x:v>2017-09-01</x:v>
      </x:c>
      <x:c r="E18" s="12" t="n">
        <x:v>1</x:v>
      </x:c>
      <x:c r="F18" s="12" t="str">
        <x:v>The Motley Fool</x:v>
      </x:c>
      <x:c r="G18" s="12" t="str">
        <x:v>Why Shares of Palo Alto Networks Are Soaring Today</x:v>
      </x:c>
      <x:c r="H18" s="12" t="str">
        <x:v>https://www.fool.com/investing/2017/09/01/why-shares-of-palo-alto-networks-are-soaring-today.aspx</x:v>
      </x:c>
      <x:c r="I18" s="12" t="str">
        <x:v>VERIFIED</x:v>
      </x:c>
      <x:c r="J18" s="12" t="str">
        <x:v>PASS</x:v>
      </x:c>
      <x:c r="K18" s="12" t="str">
        <x:v>PASS</x:v>
      </x:c>
      <x:c r="L18" s="12" t="str">
        <x:v>PASS</x:v>
      </x:c>
      <x:c r="M18" s="12" t="str">
        <x:v>NO</x:v>
      </x:c>
      <x:c r="N18" s="12" t="str">
        <x:v>PASS</x:v>
      </x:c>
      <x:c r="O18" s="12" t="str">
        <x:v>CONTEMPORANEOUS_ATTRIBUTION</x:v>
      </x:c>
      <x:c r="P18" s="12" t="str">
        <x:v>PASS</x:v>
      </x:c>
      <x:c r="Q18" s="12" t="str">
        <x:v>Verified against PANW/Palo Alto Networks, exact event/catalyst, displayed date, timing window and source-origin restrictions.</x:v>
      </x:c>
    </x:row>
    <x:row r="19">
      <x:c r="A19" s="12" t="str">
        <x:v>2017-11-20</x:v>
      </x:c>
      <x:c r="B19" s="12" t="str">
        <x:v>PANW</x:v>
      </x:c>
      <x:c r="C19" s="12" t="str">
        <x:v>prior</x:v>
      </x:c>
      <x:c r="D19" s="12" t="str">
        <x:v>2017-08-31</x:v>
      </x:c>
      <x:c r="E19" s="12" t="n">
        <x:v>-81</x:v>
      </x:c>
      <x:c r="F19" s="12" t="str">
        <x:v>Palo Alto Networks</x:v>
      </x:c>
      <x:c r="G19" s="12" t="str">
        <x:v>Palo Alto Networks Reports Fiscal Fourth Quarter and Fiscal Year 2017 Financial Results</x:v>
      </x:c>
      <x:c r="H19" s="12" t="str">
        <x:v>https://investors.paloaltonetworks.com/news-releases/news-release-details/palo-alto-networks-reports-fiscal-fourth-quarter-and-fiscal-2</x:v>
      </x:c>
      <x:c r="I19" s="12" t="str">
        <x:v>VERIFIED</x:v>
      </x:c>
      <x:c r="J19" s="12" t="str">
        <x:v>PASS</x:v>
      </x:c>
      <x:c r="K19" s="12" t="str">
        <x:v>PASS</x:v>
      </x:c>
      <x:c r="L19" s="12" t="str">
        <x:v>PASS</x:v>
      </x:c>
      <x:c r="M19" s="12" t="str">
        <x:v>NO</x:v>
      </x:c>
      <x:c r="N19" s="12" t="str">
        <x:v>PASS</x:v>
      </x:c>
      <x:c r="O19" s="12" t="str">
        <x:v>FACTUAL</x:v>
      </x:c>
      <x:c r="P19" s="12" t="str">
        <x:v>PASS</x:v>
      </x:c>
      <x:c r="Q19" s="12" t="str">
        <x:v>Verified against PANW/Palo Alto Networks, exact event/catalyst, displayed date, timing window and source-origin restrictions.</x:v>
      </x:c>
    </x:row>
    <x:row r="20">
      <x:c r="A20" s="12" t="str">
        <x:v>2017-11-20</x:v>
      </x:c>
      <x:c r="B20" s="12" t="str">
        <x:v>PANW</x:v>
      </x:c>
      <x:c r="C20" s="12" t="str">
        <x:v>release</x:v>
      </x:c>
      <x:c r="D20" s="12" t="str">
        <x:v>2017-11-20</x:v>
      </x:c>
      <x:c r="E20" s="12" t="n">
        <x:v>0</x:v>
      </x:c>
      <x:c r="F20" s="12" t="str">
        <x:v>Palo Alto Networks</x:v>
      </x:c>
      <x:c r="G20" s="12" t="str">
        <x:v>Palo Alto Networks Reports Fiscal First Quarter 2018 Financial Results</x:v>
      </x:c>
      <x:c r="H20" s="12" t="str">
        <x:v>https://investors.paloaltonetworks.com/news-releases/news-release-details/palo-alto-networks-reports-fiscal-first-quarter-2018-financial</x:v>
      </x:c>
      <x:c r="I20" s="12" t="str">
        <x:v>VERIFIED</x:v>
      </x:c>
      <x:c r="J20" s="12" t="str">
        <x:v>PASS</x:v>
      </x:c>
      <x:c r="K20" s="12" t="str">
        <x:v>PASS</x:v>
      </x:c>
      <x:c r="L20" s="12" t="str">
        <x:v>PASS</x:v>
      </x:c>
      <x:c r="M20" s="12" t="str">
        <x:v>NO</x:v>
      </x:c>
      <x:c r="N20" s="12" t="str">
        <x:v>PASS</x:v>
      </x:c>
      <x:c r="O20" s="12" t="str">
        <x:v>FACTUAL</x:v>
      </x:c>
      <x:c r="P20" s="12" t="str">
        <x:v>PASS</x:v>
      </x:c>
      <x:c r="Q20" s="12" t="str">
        <x:v>Verified against PANW/Palo Alto Networks, exact event/catalyst, displayed date, timing window and source-origin restrictions.</x:v>
      </x:c>
    </x:row>
    <x:row r="21">
      <x:c r="A21" s="12" t="str">
        <x:v>2017-11-20</x:v>
      </x:c>
      <x:c r="B21" s="12" t="str">
        <x:v>PANW</x:v>
      </x:c>
      <x:c r="C21" s="12" t="str">
        <x:v>reaction</x:v>
      </x:c>
      <x:c r="D21" s="12" t="str">
        <x:v>2017-11-21</x:v>
      </x:c>
      <x:c r="E21" s="12" t="n">
        <x:v>1</x:v>
      </x:c>
      <x:c r="F21" s="12" t="str">
        <x:v>The Motley Fool</x:v>
      </x:c>
      <x:c r="G21" s="12" t="str">
        <x:v>Palo Alto Networks, Inc. Reports a Strong Quarter, Raises Guidance</x:v>
      </x:c>
      <x:c r="H21" s="12" t="str">
        <x:v>https://www.fool.com/investing/2017/11/21/palo-alto-networks-inc-reports-a-strong-quarter-ra.aspx</x:v>
      </x:c>
      <x:c r="I21" s="12" t="str">
        <x:v>VERIFIED</x:v>
      </x:c>
      <x:c r="J21" s="12" t="str">
        <x:v>PASS</x:v>
      </x:c>
      <x:c r="K21" s="12" t="str">
        <x:v>PASS</x:v>
      </x:c>
      <x:c r="L21" s="12" t="str">
        <x:v>PASS</x:v>
      </x:c>
      <x:c r="M21" s="12" t="str">
        <x:v>NO</x:v>
      </x:c>
      <x:c r="N21" s="12" t="str">
        <x:v>PASS</x:v>
      </x:c>
      <x:c r="O21" s="12" t="str">
        <x:v>CONTEMPORANEOUS_ATTRIBUTION</x:v>
      </x:c>
      <x:c r="P21" s="12" t="str">
        <x:v>PASS</x:v>
      </x:c>
      <x:c r="Q21" s="12" t="str">
        <x:v>Verified against PANW/Palo Alto Networks, exact event/catalyst, displayed date, timing window and source-origin restrictions.</x:v>
      </x:c>
    </x:row>
    <x:row r="22">
      <x:c r="A22" s="12" t="str">
        <x:v>2018-02-26</x:v>
      </x:c>
      <x:c r="B22" s="12" t="str">
        <x:v>PANW</x:v>
      </x:c>
      <x:c r="C22" s="12" t="str">
        <x:v>prior</x:v>
      </x:c>
      <x:c r="D22" s="12" t="str">
        <x:v>2017-11-20</x:v>
      </x:c>
      <x:c r="E22" s="12" t="n">
        <x:v>-98</x:v>
      </x:c>
      <x:c r="F22" s="12" t="str">
        <x:v>Palo Alto Networks</x:v>
      </x:c>
      <x:c r="G22" s="12" t="str">
        <x:v>Palo Alto Networks Reports Fiscal First Quarter 2018 Financial Results</x:v>
      </x:c>
      <x:c r="H22" s="12" t="str">
        <x:v>https://investors.paloaltonetworks.com/news-releases/news-release-details/palo-alto-networks-reports-fiscal-first-quarter-2018-financial</x:v>
      </x:c>
      <x:c r="I22" s="12" t="str">
        <x:v>VERIFIED</x:v>
      </x:c>
      <x:c r="J22" s="12" t="str">
        <x:v>PASS</x:v>
      </x:c>
      <x:c r="K22" s="12" t="str">
        <x:v>PASS</x:v>
      </x:c>
      <x:c r="L22" s="12" t="str">
        <x:v>PASS</x:v>
      </x:c>
      <x:c r="M22" s="12" t="str">
        <x:v>NO</x:v>
      </x:c>
      <x:c r="N22" s="12" t="str">
        <x:v>PASS</x:v>
      </x:c>
      <x:c r="O22" s="12" t="str">
        <x:v>FACTUAL</x:v>
      </x:c>
      <x:c r="P22" s="12" t="str">
        <x:v>PASS</x:v>
      </x:c>
      <x:c r="Q22" s="12" t="str">
        <x:v>Verified against PANW/Palo Alto Networks, exact event/catalyst, displayed date, timing window and source-origin restrictions.</x:v>
      </x:c>
    </x:row>
    <x:row r="23">
      <x:c r="A23" s="12" t="str">
        <x:v>2018-02-26</x:v>
      </x:c>
      <x:c r="B23" s="12" t="str">
        <x:v>PANW</x:v>
      </x:c>
      <x:c r="C23" s="12" t="str">
        <x:v>release</x:v>
      </x:c>
      <x:c r="D23" s="12" t="str">
        <x:v>2018-02-26</x:v>
      </x:c>
      <x:c r="E23" s="12" t="n">
        <x:v>0</x:v>
      </x:c>
      <x:c r="F23" s="12" t="str">
        <x:v>Palo Alto Networks</x:v>
      </x:c>
      <x:c r="G23" s="12" t="str">
        <x:v>Palo Alto Networks Reports Fiscal Second Quarter 2018 Financial Results</x:v>
      </x:c>
      <x:c r="H23" s="12" t="str">
        <x:v>https://investors.paloaltonetworks.com/news-releases/news-release-details/palo-alto-networks-reports-fiscal-second-quarter-2018-financial</x:v>
      </x:c>
      <x:c r="I23" s="12" t="str">
        <x:v>VERIFIED</x:v>
      </x:c>
      <x:c r="J23" s="12" t="str">
        <x:v>PASS</x:v>
      </x:c>
      <x:c r="K23" s="12" t="str">
        <x:v>PASS</x:v>
      </x:c>
      <x:c r="L23" s="12" t="str">
        <x:v>PASS</x:v>
      </x:c>
      <x:c r="M23" s="12" t="str">
        <x:v>NO</x:v>
      </x:c>
      <x:c r="N23" s="12" t="str">
        <x:v>PASS</x:v>
      </x:c>
      <x:c r="O23" s="12" t="str">
        <x:v>FACTUAL</x:v>
      </x:c>
      <x:c r="P23" s="12" t="str">
        <x:v>PASS</x:v>
      </x:c>
      <x:c r="Q23" s="12" t="str">
        <x:v>Verified against PANW/Palo Alto Networks, exact event/catalyst, displayed date, timing window and source-origin restrictions.</x:v>
      </x:c>
    </x:row>
    <x:row r="24">
      <x:c r="A24" s="12" t="str">
        <x:v>2018-02-26</x:v>
      </x:c>
      <x:c r="B24" s="12" t="str">
        <x:v>PANW</x:v>
      </x:c>
      <x:c r="C24" s="12" t="str">
        <x:v>reaction</x:v>
      </x:c>
      <x:c r="D24" s="12" t="str">
        <x:v>2018-02-27</x:v>
      </x:c>
      <x:c r="E24" s="12" t="n">
        <x:v>1</x:v>
      </x:c>
      <x:c r="F24" s="12" t="str">
        <x:v>TheStreet</x:v>
      </x:c>
      <x:c r="G24" s="12" t="str">
        <x:v>Palo Alto Networks Jumps on Strong Earnings, Outlook</x:v>
      </x:c>
      <x:c r="H24" s="12" t="str">
        <x:v>https://www.thestreet.com/investing/comcast-sky-jerome-powell-fitbit-5-things-you-must-know-before-the-market-opens-tuesday-14500060</x:v>
      </x:c>
      <x:c r="I24" s="12" t="str">
        <x:v>VERIFIED</x:v>
      </x:c>
      <x:c r="J24" s="12" t="str">
        <x:v>PASS</x:v>
      </x:c>
      <x:c r="K24" s="12" t="str">
        <x:v>PASS</x:v>
      </x:c>
      <x:c r="L24" s="12" t="str">
        <x:v>PASS</x:v>
      </x:c>
      <x:c r="M24" s="12" t="str">
        <x:v>NO</x:v>
      </x:c>
      <x:c r="N24" s="12" t="str">
        <x:v>PASS</x:v>
      </x:c>
      <x:c r="O24" s="12" t="str">
        <x:v>CONTEMPORANEOUS_ATTRIBUTION</x:v>
      </x:c>
      <x:c r="P24" s="12" t="str">
        <x:v>PASS</x:v>
      </x:c>
      <x:c r="Q24" s="12" t="str">
        <x:v>Verified against PANW/Palo Alto Networks, exact event/catalyst, displayed date, timing window and source-origin restrictions.</x:v>
      </x:c>
    </x:row>
    <x:row r="25">
      <x:c r="A25" s="12" t="str">
        <x:v>2018-06-04</x:v>
      </x:c>
      <x:c r="B25" s="12" t="str">
        <x:v>PANW</x:v>
      </x:c>
      <x:c r="C25" s="12" t="str">
        <x:v>prior</x:v>
      </x:c>
      <x:c r="D25" s="12" t="str">
        <x:v>2018-02-26</x:v>
      </x:c>
      <x:c r="E25" s="12" t="n">
        <x:v>-98</x:v>
      </x:c>
      <x:c r="F25" s="12" t="str">
        <x:v>Palo Alto Networks</x:v>
      </x:c>
      <x:c r="G25" s="12" t="str">
        <x:v>Palo Alto Networks Reports Fiscal Second Quarter 2018 Financial Results</x:v>
      </x:c>
      <x:c r="H25" s="12" t="str">
        <x:v>https://investors.paloaltonetworks.com/news-releases/news-release-details/palo-alto-networks-reports-fiscal-second-quarter-2018-financial</x:v>
      </x:c>
      <x:c r="I25" s="12" t="str">
        <x:v>VERIFIED</x:v>
      </x:c>
      <x:c r="J25" s="12" t="str">
        <x:v>PASS</x:v>
      </x:c>
      <x:c r="K25" s="12" t="str">
        <x:v>PASS</x:v>
      </x:c>
      <x:c r="L25" s="12" t="str">
        <x:v>PASS</x:v>
      </x:c>
      <x:c r="M25" s="12" t="str">
        <x:v>NO</x:v>
      </x:c>
      <x:c r="N25" s="12" t="str">
        <x:v>PASS</x:v>
      </x:c>
      <x:c r="O25" s="12" t="str">
        <x:v>FACTUAL</x:v>
      </x:c>
      <x:c r="P25" s="12" t="str">
        <x:v>PASS</x:v>
      </x:c>
      <x:c r="Q25" s="12" t="str">
        <x:v>Verified against PANW/Palo Alto Networks, exact event/catalyst, displayed date, timing window and source-origin restrictions.</x:v>
      </x:c>
    </x:row>
    <x:row r="26">
      <x:c r="A26" s="12" t="str">
        <x:v>2018-06-04</x:v>
      </x:c>
      <x:c r="B26" s="12" t="str">
        <x:v>PANW</x:v>
      </x:c>
      <x:c r="C26" s="12" t="str">
        <x:v>prior</x:v>
      </x:c>
      <x:c r="D26" s="12" t="str">
        <x:v>2018-06-01</x:v>
      </x:c>
      <x:c r="E26" s="12" t="n">
        <x:v>-3</x:v>
      </x:c>
      <x:c r="F26" s="12" t="str">
        <x:v>Palo Alto Networks</x:v>
      </x:c>
      <x:c r="G26" s="12" t="str">
        <x:v>Palo Alto Networks Announces Record Revenues and Billings and Board Appoints Nikesh Arora as CEO and Chairman</x:v>
      </x:c>
      <x:c r="H26" s="12" t="str">
        <x:v>https://investors.paloaltonetworks.com/news-releases/news-release-details/palo-alto-networks-announces-record-revenues-and-billings-and</x:v>
      </x:c>
      <x:c r="I26" s="12" t="str">
        <x:v>VERIFIED</x:v>
      </x:c>
      <x:c r="J26" s="12" t="str">
        <x:v>PASS</x:v>
      </x:c>
      <x:c r="K26" s="12" t="str">
        <x:v>PASS</x:v>
      </x:c>
      <x:c r="L26" s="12" t="str">
        <x:v>PASS</x:v>
      </x:c>
      <x:c r="M26" s="12" t="str">
        <x:v>NO</x:v>
      </x:c>
      <x:c r="N26" s="12" t="str">
        <x:v>PASS</x:v>
      </x:c>
      <x:c r="O26" s="12" t="str">
        <x:v>FACTUAL</x:v>
      </x:c>
      <x:c r="P26" s="12" t="str">
        <x:v>PASS</x:v>
      </x:c>
      <x:c r="Q26" s="12" t="str">
        <x:v>Verified against PANW/Palo Alto Networks, exact event/catalyst, displayed date, timing window and source-origin restrictions.</x:v>
      </x:c>
    </x:row>
    <x:row r="27">
      <x:c r="A27" s="12" t="str">
        <x:v>2018-06-04</x:v>
      </x:c>
      <x:c r="B27" s="12" t="str">
        <x:v>PANW</x:v>
      </x:c>
      <x:c r="C27" s="12" t="str">
        <x:v>release</x:v>
      </x:c>
      <x:c r="D27" s="12" t="str">
        <x:v>2018-06-04</x:v>
      </x:c>
      <x:c r="E27" s="12" t="n">
        <x:v>0</x:v>
      </x:c>
      <x:c r="F27" s="12" t="str">
        <x:v>Palo Alto Networks</x:v>
      </x:c>
      <x:c r="G27" s="12" t="str">
        <x:v>Palo Alto Networks Reports Fiscal Third Quarter 2018 Financial Results</x:v>
      </x:c>
      <x:c r="H27" s="12" t="str">
        <x:v>https://investors.paloaltonetworks.com/news-releases/news-release-details/palo-alto-networks-reports-fiscal-third-quarter-2018-financial</x:v>
      </x:c>
      <x:c r="I27" s="12" t="str">
        <x:v>VERIFIED</x:v>
      </x:c>
      <x:c r="J27" s="12" t="str">
        <x:v>PASS</x:v>
      </x:c>
      <x:c r="K27" s="12" t="str">
        <x:v>PASS</x:v>
      </x:c>
      <x:c r="L27" s="12" t="str">
        <x:v>PASS</x:v>
      </x:c>
      <x:c r="M27" s="12" t="str">
        <x:v>NO</x:v>
      </x:c>
      <x:c r="N27" s="12" t="str">
        <x:v>PASS</x:v>
      </x:c>
      <x:c r="O27" s="12" t="str">
        <x:v>FACTUAL</x:v>
      </x:c>
      <x:c r="P27" s="12" t="str">
        <x:v>PASS</x:v>
      </x:c>
      <x:c r="Q27" s="12" t="str">
        <x:v>Verified against PANW/Palo Alto Networks, exact event/catalyst, displayed date, timing window and source-origin restrictions.</x:v>
      </x:c>
    </x:row>
    <x:row r="28">
      <x:c r="A28" s="12" t="str">
        <x:v>2018-06-04</x:v>
      </x:c>
      <x:c r="B28" s="12" t="str">
        <x:v>PANW</x:v>
      </x:c>
      <x:c r="C28" s="12" t="str">
        <x:v>reaction</x:v>
      </x:c>
      <x:c r="D28" s="12" t="str">
        <x:v>2018-06-05</x:v>
      </x:c>
      <x:c r="E28" s="12" t="n">
        <x:v>1</x:v>
      </x:c>
      <x:c r="F28" s="12" t="str">
        <x:v>The Motley Fool</x:v>
      </x:c>
      <x:c r="G28" s="12" t="str">
        <x:v>Palo Alto Networks Welcomes Its New CEO With a Beat and Raise</x:v>
      </x:c>
      <x:c r="H28" s="12" t="str">
        <x:v>https://www.fool.com/investing/2018/06/05/palo-alto-networks-welcomes-its-new-ceo-with-a-bea.aspx</x:v>
      </x:c>
      <x:c r="I28" s="12" t="str">
        <x:v>VERIFIED</x:v>
      </x:c>
      <x:c r="J28" s="12" t="str">
        <x:v>PASS</x:v>
      </x:c>
      <x:c r="K28" s="12" t="str">
        <x:v>PASS</x:v>
      </x:c>
      <x:c r="L28" s="12" t="str">
        <x:v>PASS</x:v>
      </x:c>
      <x:c r="M28" s="12" t="str">
        <x:v>NO</x:v>
      </x:c>
      <x:c r="N28" s="12" t="str">
        <x:v>PASS</x:v>
      </x:c>
      <x:c r="O28" s="12" t="str">
        <x:v>CONTEMPORANEOUS_ATTRIBUTION</x:v>
      </x:c>
      <x:c r="P28" s="12" t="str">
        <x:v>PASS</x:v>
      </x:c>
      <x:c r="Q28" s="12" t="str">
        <x:v>Verified against PANW/Palo Alto Networks, exact event/catalyst, displayed date, timing window and source-origin restrictions.</x:v>
      </x:c>
    </x:row>
    <x:row r="29">
      <x:c r="A29" s="12" t="str">
        <x:v>2018-09-06</x:v>
      </x:c>
      <x:c r="B29" s="12" t="str">
        <x:v>PANW</x:v>
      </x:c>
      <x:c r="C29" s="12" t="str">
        <x:v>prior</x:v>
      </x:c>
      <x:c r="D29" s="12" t="str">
        <x:v>2018-06-04</x:v>
      </x:c>
      <x:c r="E29" s="12" t="n">
        <x:v>-94</x:v>
      </x:c>
      <x:c r="F29" s="12" t="str">
        <x:v>Palo Alto Networks</x:v>
      </x:c>
      <x:c r="G29" s="12" t="str">
        <x:v>Palo Alto Networks Reports Fiscal Third Quarter 2018 Financial Results</x:v>
      </x:c>
      <x:c r="H29" s="12" t="str">
        <x:v>https://investors.paloaltonetworks.com/news-releases/news-release-details/palo-alto-networks-reports-fiscal-third-quarter-2018-financial</x:v>
      </x:c>
      <x:c r="I29" s="12" t="str">
        <x:v>VERIFIED</x:v>
      </x:c>
      <x:c r="J29" s="12" t="str">
        <x:v>PASS</x:v>
      </x:c>
      <x:c r="K29" s="12" t="str">
        <x:v>PASS</x:v>
      </x:c>
      <x:c r="L29" s="12" t="str">
        <x:v>PASS</x:v>
      </x:c>
      <x:c r="M29" s="12" t="str">
        <x:v>NO</x:v>
      </x:c>
      <x:c r="N29" s="12" t="str">
        <x:v>PASS</x:v>
      </x:c>
      <x:c r="O29" s="12" t="str">
        <x:v>FACTUAL</x:v>
      </x:c>
      <x:c r="P29" s="12" t="str">
        <x:v>PASS</x:v>
      </x:c>
      <x:c r="Q29" s="12" t="str">
        <x:v>Verified against PANW/Palo Alto Networks, exact event/catalyst, displayed date, timing window and source-origin restrictions.</x:v>
      </x:c>
    </x:row>
    <x:row r="30">
      <x:c r="A30" s="12" t="str">
        <x:v>2018-09-06</x:v>
      </x:c>
      <x:c r="B30" s="12" t="str">
        <x:v>PANW</x:v>
      </x:c>
      <x:c r="C30" s="12" t="str">
        <x:v>release</x:v>
      </x:c>
      <x:c r="D30" s="12" t="str">
        <x:v>2018-09-06</x:v>
      </x:c>
      <x:c r="E30" s="12" t="n">
        <x:v>0</x:v>
      </x:c>
      <x:c r="F30" s="12" t="str">
        <x:v>Palo Alto Networks</x:v>
      </x:c>
      <x:c r="G30" s="12" t="str">
        <x:v>Palo Alto Networks Reports Fiscal Fourth Quarter and Fiscal Year 2018 Financial Results</x:v>
      </x:c>
      <x:c r="H30" s="12" t="str">
        <x:v>https://investors.paloaltonetworks.com/news-releases/news-release-details/palo-alto-networks-reports-fiscal-fourth-quarter-and-fiscal-1</x:v>
      </x:c>
      <x:c r="I30" s="12" t="str">
        <x:v>VERIFIED</x:v>
      </x:c>
      <x:c r="J30" s="12" t="str">
        <x:v>PASS</x:v>
      </x:c>
      <x:c r="K30" s="12" t="str">
        <x:v>PASS</x:v>
      </x:c>
      <x:c r="L30" s="12" t="str">
        <x:v>PASS</x:v>
      </x:c>
      <x:c r="M30" s="12" t="str">
        <x:v>NO</x:v>
      </x:c>
      <x:c r="N30" s="12" t="str">
        <x:v>PASS</x:v>
      </x:c>
      <x:c r="O30" s="12" t="str">
        <x:v>FACTUAL</x:v>
      </x:c>
      <x:c r="P30" s="12" t="str">
        <x:v>PASS</x:v>
      </x:c>
      <x:c r="Q30" s="12" t="str">
        <x:v>Verified against PANW/Palo Alto Networks, exact event/catalyst, displayed date, timing window and source-origin restrictions.</x:v>
      </x:c>
    </x:row>
    <x:row r="31">
      <x:c r="A31" s="12" t="str">
        <x:v>2018-09-06</x:v>
      </x:c>
      <x:c r="B31" s="12" t="str">
        <x:v>PANW</x:v>
      </x:c>
      <x:c r="C31" s="12" t="str">
        <x:v>reaction</x:v>
      </x:c>
      <x:c r="D31" s="12" t="str">
        <x:v>2018-09-07</x:v>
      </x:c>
      <x:c r="E31" s="12" t="n">
        <x:v>1</x:v>
      </x:c>
      <x:c r="F31" s="12" t="str">
        <x:v>Warrior Trading News</x:v>
      </x:c>
      <x:c r="G31" s="12" t="str">
        <x:v>Palo Alto Networks Shares Gain Premarket After a Strong Q4</x:v>
      </x:c>
      <x:c r="H31" s="12" t="str">
        <x:v>https://warriortradingnews.com/2018/09/07/palo-alto-networks-panw-stock-shares-gain-13-premarket-after-a-strong-q4/</x:v>
      </x:c>
      <x:c r="I31" s="12" t="str">
        <x:v>VERIFIED</x:v>
      </x:c>
      <x:c r="J31" s="12" t="str">
        <x:v>PASS</x:v>
      </x:c>
      <x:c r="K31" s="12" t="str">
        <x:v>PASS</x:v>
      </x:c>
      <x:c r="L31" s="12" t="str">
        <x:v>PASS</x:v>
      </x:c>
      <x:c r="M31" s="12" t="str">
        <x:v>NO</x:v>
      </x:c>
      <x:c r="N31" s="12" t="str">
        <x:v>PASS</x:v>
      </x:c>
      <x:c r="O31" s="12" t="str">
        <x:v>CONTEMPORANEOUS_ATTRIBUTION</x:v>
      </x:c>
      <x:c r="P31" s="12" t="str">
        <x:v>PASS</x:v>
      </x:c>
      <x:c r="Q31" s="12" t="str">
        <x:v>Verified against PANW/Palo Alto Networks, exact event/catalyst, displayed date, timing window and source-origin restrictions.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2016-05-26</x:v>
      </x:c>
      <x:c r="B2" t="str">
        <x:v>PANW</x:v>
      </x:c>
      <x:c r="C2" s="20" t="n">
        <x:v>1.72</x:v>
      </x:c>
      <x:c r="D2" s="20" t="n">
        <x:v>-12.8</x:v>
      </x:c>
      <x:c r="E2" t="str">
        <x:v>ret_1daypost_pct</x:v>
      </x:c>
      <x:c r="F2" t="str">
        <x:f>IF(E2="ret_1day_pct",IF(C2&gt;0.1,"UP",IF(C2&lt;-0.1,"DOWN","FLAT")),IF(D2&gt;0.1,"UP",IF(D2&lt;-0.1,"DOWN","FLAT")))</x:f>
        <x:v>DOWN</x:v>
      </x:c>
      <x:c r="G2" t="str">
        <x:v>DOWN</x:v>
      </x:c>
      <x:c r="H2" t="str">
        <x:f>IF(F2=G2,"PASS","FAIL")</x:f>
        <x:v>PASS</x:v>
      </x:c>
      <x:c r="I2" t="n">
        <x:v>2</x:v>
      </x:c>
      <x:c r="J2" t="n">
        <x:f>COUNTIFS('Source Audit'!$A:$A,A2,'Source Audit'!$P:$P,"PASS")</x:f>
        <x:v>2</x:v>
      </x:c>
      <x:c r="K2" t="str">
        <x:f>IF(AND(H2="PASS",J2=I2),"PASS","FAIL")</x:f>
        <x:v>PASS</x:v>
      </x:c>
    </x:row>
    <x:row r="3">
      <x:c r="A3" t="str">
        <x:v>2016-08-30</x:v>
      </x:c>
      <x:c r="B3" t="str">
        <x:v>PANW</x:v>
      </x:c>
      <x:c r="C3" s="20" t="n">
        <x:v>1.54</x:v>
      </x:c>
      <x:c r="D3" s="20" t="n">
        <x:v>-6.91</x:v>
      </x:c>
      <x:c r="E3" t="str">
        <x:v>ret_1daypost_pct</x:v>
      </x:c>
      <x:c r="F3" t="str">
        <x:f>IF(E3="ret_1day_pct",IF(C3&gt;0.1,"UP",IF(C3&lt;-0.1,"DOWN","FLAT")),IF(D3&gt;0.1,"UP",IF(D3&lt;-0.1,"DOWN","FLAT")))</x:f>
        <x:v>DOWN</x:v>
      </x:c>
      <x:c r="G3" t="str">
        <x:v>DOWN</x:v>
      </x:c>
      <x:c r="H3" t="str">
        <x:f>IF(F3=G3,"PASS","FAIL")</x:f>
        <x:v>PASS</x:v>
      </x:c>
      <x:c r="I3" t="n">
        <x:v>3</x:v>
      </x:c>
      <x:c r="J3" t="n">
        <x:f>COUNTIFS('Source Audit'!$A:$A,A3,'Source Audit'!$P:$P,"PASS")</x:f>
        <x:v>3</x:v>
      </x:c>
      <x:c r="K3" t="str">
        <x:f>IF(AND(H3="PASS",J3=I3),"PASS","FAIL")</x:f>
        <x:v>PASS</x:v>
      </x:c>
    </x:row>
    <x:row r="4">
      <x:c r="A4" t="str">
        <x:v>2016-11-21</x:v>
      </x:c>
      <x:c r="B4" t="str">
        <x:v>PANW</x:v>
      </x:c>
      <x:c r="C4" s="20" t="n">
        <x:v>-0.96</x:v>
      </x:c>
      <x:c r="D4" s="20" t="n">
        <x:v>-13.55</x:v>
      </x:c>
      <x:c r="E4" t="str">
        <x:v>ret_1daypost_pct</x:v>
      </x:c>
      <x:c r="F4" t="str">
        <x:f>IF(E4="ret_1day_pct",IF(C4&gt;0.1,"UP",IF(C4&lt;-0.1,"DOWN","FLAT")),IF(D4&gt;0.1,"UP",IF(D4&lt;-0.1,"DOWN","FLAT")))</x:f>
        <x:v>DOWN</x:v>
      </x:c>
      <x:c r="G4" t="str">
        <x:v>DOWN</x:v>
      </x:c>
      <x:c r="H4" t="str">
        <x:f>IF(F4=G4,"PASS","FAIL")</x:f>
        <x:v>PASS</x:v>
      </x:c>
      <x:c r="I4" t="n">
        <x:v>3</x:v>
      </x:c>
      <x:c r="J4" t="n">
        <x:f>COUNTIFS('Source Audit'!$A:$A,A4,'Source Audit'!$P:$P,"PASS")</x:f>
        <x:v>3</x:v>
      </x:c>
      <x:c r="K4" t="str">
        <x:f>IF(AND(H4="PASS",J4=I4),"PASS","FAIL")</x:f>
        <x:v>PASS</x:v>
      </x:c>
    </x:row>
    <x:row r="5">
      <x:c r="A5" t="str">
        <x:v>2017-02-28</x:v>
      </x:c>
      <x:c r="B5" t="str">
        <x:v>PANW</x:v>
      </x:c>
      <x:c r="C5" s="20" t="n">
        <x:v>-0.87</x:v>
      </x:c>
      <x:c r="D5" s="20" t="n">
        <x:v>-25.49</x:v>
      </x:c>
      <x:c r="E5" t="str">
        <x:v>ret_1daypost_pct</x:v>
      </x:c>
      <x:c r="F5" t="str">
        <x:f>IF(E5="ret_1day_pct",IF(C5&gt;0.1,"UP",IF(C5&lt;-0.1,"DOWN","FLAT")),IF(D5&gt;0.1,"UP",IF(D5&lt;-0.1,"DOWN","FLAT")))</x:f>
        <x:v>DOWN</x:v>
      </x:c>
      <x:c r="G5" t="str">
        <x:v>DOWN</x:v>
      </x:c>
      <x:c r="H5" t="str">
        <x:f>IF(F5=G5,"PASS","FAIL")</x:f>
        <x:v>PASS</x:v>
      </x:c>
      <x:c r="I5" t="n">
        <x:v>3</x:v>
      </x:c>
      <x:c r="J5" t="n">
        <x:f>COUNTIFS('Source Audit'!$A:$A,A5,'Source Audit'!$P:$P,"PASS")</x:f>
        <x:v>3</x:v>
      </x:c>
      <x:c r="K5" t="str">
        <x:f>IF(AND(H5="PASS",J5=I5),"PASS","FAIL")</x:f>
        <x:v>PASS</x:v>
      </x:c>
    </x:row>
    <x:row r="6">
      <x:c r="A6" t="str">
        <x:v>2017-05-31</x:v>
      </x:c>
      <x:c r="B6" t="str">
        <x:v>PANW</x:v>
      </x:c>
      <x:c r="C6" s="20" t="n">
        <x:v>1.39</x:v>
      </x:c>
      <x:c r="D6" s="20" t="n">
        <x:v>16.3</x:v>
      </x:c>
      <x:c r="E6" t="str">
        <x:v>ret_1daypost_pct</x:v>
      </x:c>
      <x:c r="F6" t="str">
        <x:f>IF(E6="ret_1day_pct",IF(C6&gt;0.1,"UP",IF(C6&lt;-0.1,"DOWN","FLAT")),IF(D6&gt;0.1,"UP",IF(D6&lt;-0.1,"DOWN","FLAT")))</x:f>
        <x:v>UP</x:v>
      </x:c>
      <x:c r="G6" t="str">
        <x:v>UP</x:v>
      </x:c>
      <x:c r="H6" t="str">
        <x:f>IF(F6=G6,"PASS","FAIL")</x:f>
        <x:v>PASS</x:v>
      </x:c>
      <x:c r="I6" t="n">
        <x:v>3</x:v>
      </x:c>
      <x:c r="J6" t="n">
        <x:f>COUNTIFS('Source Audit'!$A:$A,A6,'Source Audit'!$P:$P,"PASS")</x:f>
        <x:v>3</x:v>
      </x:c>
      <x:c r="K6" t="str">
        <x:f>IF(AND(H6="PASS",J6=I6),"PASS","FAIL")</x:f>
        <x:v>PASS</x:v>
      </x:c>
    </x:row>
    <x:row r="7">
      <x:c r="A7" t="str">
        <x:v>2017-08-31</x:v>
      </x:c>
      <x:c r="B7" t="str">
        <x:v>PANW</x:v>
      </x:c>
      <x:c r="C7" s="20" t="n">
        <x:v>-0.77</x:v>
      </x:c>
      <x:c r="D7" s="20" t="n">
        <x:v>10.25</x:v>
      </x:c>
      <x:c r="E7" t="str">
        <x:v>ret_1daypost_pct</x:v>
      </x:c>
      <x:c r="F7" t="str">
        <x:f>IF(E7="ret_1day_pct",IF(C7&gt;0.1,"UP",IF(C7&lt;-0.1,"DOWN","FLAT")),IF(D7&gt;0.1,"UP",IF(D7&lt;-0.1,"DOWN","FLAT")))</x:f>
        <x:v>UP</x:v>
      </x:c>
      <x:c r="G7" t="str">
        <x:v>UP</x:v>
      </x:c>
      <x:c r="H7" t="str">
        <x:f>IF(F7=G7,"PASS","FAIL")</x:f>
        <x:v>PASS</x:v>
      </x:c>
      <x:c r="I7" t="n">
        <x:v>3</x:v>
      </x:c>
      <x:c r="J7" t="n">
        <x:f>COUNTIFS('Source Audit'!$A:$A,A7,'Source Audit'!$P:$P,"PASS")</x:f>
        <x:v>3</x:v>
      </x:c>
      <x:c r="K7" t="str">
        <x:f>IF(AND(H7="PASS",J7=I7),"PASS","FAIL")</x:f>
        <x:v>PASS</x:v>
      </x:c>
    </x:row>
    <x:row r="8">
      <x:c r="A8" t="str">
        <x:v>2017-11-20</x:v>
      </x:c>
      <x:c r="B8" t="str">
        <x:v>PANW</x:v>
      </x:c>
      <x:c r="C8" s="20" t="n">
        <x:v>-0.31</x:v>
      </x:c>
      <x:c r="D8" s="20" t="n">
        <x:v>4.17</x:v>
      </x:c>
      <x:c r="E8" t="str">
        <x:v>ret_1daypost_pct</x:v>
      </x:c>
      <x:c r="F8" t="str">
        <x:f>IF(E8="ret_1day_pct",IF(C8&gt;0.1,"UP",IF(C8&lt;-0.1,"DOWN","FLAT")),IF(D8&gt;0.1,"UP",IF(D8&lt;-0.1,"DOWN","FLAT")))</x:f>
        <x:v>UP</x:v>
      </x:c>
      <x:c r="G8" t="str">
        <x:v>UP</x:v>
      </x:c>
      <x:c r="H8" t="str">
        <x:f>IF(F8=G8,"PASS","FAIL")</x:f>
        <x:v>PASS</x:v>
      </x:c>
      <x:c r="I8" t="n">
        <x:v>3</x:v>
      </x:c>
      <x:c r="J8" t="n">
        <x:f>COUNTIFS('Source Audit'!$A:$A,A8,'Source Audit'!$P:$P,"PASS")</x:f>
        <x:v>3</x:v>
      </x:c>
      <x:c r="K8" t="str">
        <x:f>IF(AND(H8="PASS",J8=I8),"PASS","FAIL")</x:f>
        <x:v>PASS</x:v>
      </x:c>
    </x:row>
    <x:row r="9">
      <x:c r="A9" t="str">
        <x:v>2018-02-26</x:v>
      </x:c>
      <x:c r="B9" t="str">
        <x:v>PANW</x:v>
      </x:c>
      <x:c r="C9" s="20" t="n">
        <x:v>1.28</x:v>
      </x:c>
      <x:c r="D9" s="20" t="n">
        <x:v>3.57</x:v>
      </x:c>
      <x:c r="E9" t="str">
        <x:v>ret_1daypost_pct</x:v>
      </x:c>
      <x:c r="F9" t="str">
        <x:f>IF(E9="ret_1day_pct",IF(C9&gt;0.1,"UP",IF(C9&lt;-0.1,"DOWN","FLAT")),IF(D9&gt;0.1,"UP",IF(D9&lt;-0.1,"DOWN","FLAT")))</x:f>
        <x:v>UP</x:v>
      </x:c>
      <x:c r="G9" t="str">
        <x:v>UP</x:v>
      </x:c>
      <x:c r="H9" t="str">
        <x:f>IF(F9=G9,"PASS","FAIL")</x:f>
        <x:v>PASS</x:v>
      </x:c>
      <x:c r="I9" t="n">
        <x:v>3</x:v>
      </x:c>
      <x:c r="J9" t="n">
        <x:f>COUNTIFS('Source Audit'!$A:$A,A9,'Source Audit'!$P:$P,"PASS")</x:f>
        <x:v>3</x:v>
      </x:c>
      <x:c r="K9" t="str">
        <x:f>IF(AND(H9="PASS",J9=I9),"PASS","FAIL")</x:f>
        <x:v>PASS</x:v>
      </x:c>
    </x:row>
    <x:row r="10">
      <x:c r="A10" t="str">
        <x:v>2018-06-04</x:v>
      </x:c>
      <x:c r="B10" t="str">
        <x:v>PANW</x:v>
      </x:c>
      <x:c r="C10" s="20" t="n">
        <x:v>-0.98</x:v>
      </x:c>
      <x:c r="D10" s="20" t="n">
        <x:v>-2.18</x:v>
      </x:c>
      <x:c r="E10" t="str">
        <x:v>ret_1day_pct</x:v>
      </x:c>
      <x:c r="F10" t="str">
        <x:f>IF(E10="ret_1day_pct",IF(C10&gt;0.1,"UP",IF(C10&lt;-0.1,"DOWN","FLAT")),IF(D10&gt;0.1,"UP",IF(D10&lt;-0.1,"DOWN","FLAT")))</x:f>
        <x:v>DOWN</x:v>
      </x:c>
      <x:c r="G10" t="str">
        <x:v>DOWN</x:v>
      </x:c>
      <x:c r="H10" t="str">
        <x:f>IF(F10=G10,"PASS","FAIL")</x:f>
        <x:v>PASS</x:v>
      </x:c>
      <x:c r="I10" t="n">
        <x:v>4</x:v>
      </x:c>
      <x:c r="J10" t="n">
        <x:f>COUNTIFS('Source Audit'!$A:$A,A10,'Source Audit'!$P:$P,"PASS")</x:f>
        <x:v>4</x:v>
      </x:c>
      <x:c r="K10" t="str">
        <x:f>IF(AND(H10="PASS",J10=I10),"PASS","FAIL")</x:f>
        <x:v>PASS</x:v>
      </x:c>
    </x:row>
    <x:row r="11">
      <x:c r="A11" t="str">
        <x:v>2018-09-06</x:v>
      </x:c>
      <x:c r="B11" t="str">
        <x:v>PANW</x:v>
      </x:c>
      <x:c r="C11" s="20" t="n">
        <x:v>-0.44</x:v>
      </x:c>
      <x:c r="D11" s="20" t="n">
        <x:v>3.52</x:v>
      </x:c>
      <x:c r="E11" t="str">
        <x:v>ret_1daypost_pct</x:v>
      </x:c>
      <x:c r="F11" t="str">
        <x:f>IF(E11="ret_1day_pct",IF(C11&gt;0.1,"UP",IF(C11&lt;-0.1,"DOWN","FLAT")),IF(D11&gt;0.1,"UP",IF(D11&lt;-0.1,"DOWN","FLAT")))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PANW rebuilt from scratch under the corrected verification protocol.</x:v>
      </x:c>
    </x:row>
    <x:row r="3">
      <x:c r="A3" s="12" t="str">
        <x:v>Identity source</x:v>
      </x:c>
      <x:c r="B3" s="12" t="str">
        <x:v>Ticker/company, exact earnings dates and return fields come from group_observations.csv.</x:v>
      </x:c>
    </x:row>
    <x:row r="4">
      <x:c r="A4" s="12" t="str">
        <x:v>Reaction timing</x:v>
      </x:c>
      <x:c r="B4" s="12" t="str">
        <x:v>Most PANW releases were after the close, so ret_1daypost_pct is used. The June 4, 2018 observation uses ret_1day_pct because key results were preannounced June 1 and the formal call was before the June 4 market open.</x:v>
      </x:c>
    </x:row>
    <x:row r="5">
      <x:c r="A5" s="12" t="str">
        <x:v>Narrative</x:v>
      </x:c>
      <x:c r="B5" s="12" t="str">
        <x:v>Short Prior Context, detailed Current Earnings Release, and three concise event-specific Possible Drivers.</x:v>
      </x:c>
    </x:row>
    <x:row r="6">
      <x:c r="A6" s="12" t="str">
        <x:v>Sources</x:v>
      </x:c>
      <x:c r="B6" s="12" t="str">
        <x:v>Palo Alto Networks Investor Relations anchors results. Each event has one contemporaneous reaction source; the June 2018 event also includes the June 1 preannouncement/CEO-change source.</x:v>
      </x:c>
    </x:row>
    <x:row r="7">
      <x:c r="A7" s="12" t="str">
        <x:v>Timing</x:v>
      </x:c>
      <x:c r="B7" s="12" t="str">
        <x:v>Prior = -100..-1 days; release = day 0; reaction = day 0..+3.</x:v>
      </x:c>
    </x:row>
    <x:row r="8">
      <x:c r="A8" s="12" t="str">
        <x:v>Restrictions</x:v>
      </x:c>
      <x:c r="B8" s="12" t="str">
        <x:v>No WSJ, Reuters, Dow Jones or MarketWatch-syndicated article is included.</x:v>
      </x:c>
    </x:row>
    <x:row r="9">
      <x:c r="A9" s="12" t="str">
        <x:v>QA</x:v>
      </x:c>
      <x:c r="B9" s="12" t="str">
        <x:v>Event QA recomputes direction from the event-specific reaction basis and checks exact PASS source counts.</x:v>
      </x:c>
    </x:row>
  </x:sheetData>
  <x:pageMargins left="0.7" right="0.7" top="0.75" bottom="0.75" header="0.3" footer="0.3"/>
</x:worksheet>
</file>