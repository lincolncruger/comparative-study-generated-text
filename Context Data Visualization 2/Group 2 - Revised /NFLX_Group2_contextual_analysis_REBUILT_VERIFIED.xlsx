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e3f8d72cc84e41" /></Relationships>
</file>

<file path=xl/workbook.xml><?xml version="1.0" encoding="utf-8"?>
<x:workbook xmlns:x="http://schemas.openxmlformats.org/spreadsheetml/2006/main">
  <x:sheets>
    <x:sheet xmlns:r="http://schemas.openxmlformats.org/officeDocument/2006/relationships" name="NFLX" sheetId="1" r:id="R770f17d42c264559"/>
    <x:sheet xmlns:r="http://schemas.openxmlformats.org/officeDocument/2006/relationships" name="Source Audit" sheetId="2" r:id="Rf2b8789cc242483b"/>
    <x:sheet xmlns:r="http://schemas.openxmlformats.org/officeDocument/2006/relationships" name="Event QA" sheetId="3" r:id="R08029c1210604bc3"/>
    <x:sheet xmlns:r="http://schemas.openxmlformats.org/officeDocument/2006/relationships" name="Methodology" sheetId="4" r:id="R2b3974331cda476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c9ff4d6ad34318" /><Relationship Type="http://schemas.openxmlformats.org/officeDocument/2006/relationships/theme" Target="/xl/theme/theme1.xml" Id="R27b92319da6744f5" /><Relationship Type="http://schemas.openxmlformats.org/officeDocument/2006/relationships/sharedStrings" Target="/xl/sharedStrings.xml" Id="Ra6b42f2def4248db" /><Relationship Type="http://schemas.openxmlformats.org/officeDocument/2006/relationships/worksheet" Target="/xl/worksheets/sheet1.xml" Id="R770f17d42c264559" /><Relationship Type="http://schemas.openxmlformats.org/officeDocument/2006/relationships/worksheet" Target="/xl/worksheets/sheet2.xml" Id="Rf2b8789cc242483b" /><Relationship Type="http://schemas.openxmlformats.org/officeDocument/2006/relationships/worksheet" Target="/xl/worksheets/sheet3.xml" Id="R08029c1210604bc3" /><Relationship Type="http://schemas.openxmlformats.org/officeDocument/2006/relationships/worksheet" Target="/xl/worksheets/sheet4.xml" Id="R2b3974331cda47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2" hidden="0" customWidth="1"/>
    <x:col min="15" max="15" width="62" hidden="0" customWidth="1"/>
    <x:col min="16" max="16" width="62" hidden="0" customWidth="1"/>
    <x:col min="17" max="17" width="76"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NFLX</x:v>
      </x:c>
      <x:c r="C2" s="15" t="str">
        <x:v>Netflix</x:v>
      </x:c>
      <x:c r="D2" s="15" t="str">
        <x:v>2016q2</x:v>
      </x:c>
      <x:c r="E2" s="15" t="str">
        <x:v>2016-04-18</x:v>
      </x:c>
      <x:c r="F2" s="18" t="n">
        <x:v>-3.47</x:v>
      </x:c>
      <x:c r="G2" s="18" t="n">
        <x:v>-13.42</x:v>
      </x:c>
      <x:c r="H2" s="18" t="n">
        <x:v>-16.42</x:v>
      </x:c>
      <x:c r="I2" s="18" t="n">
        <x:v>-15.55</x:v>
      </x:c>
      <x:c r="J2" s="18" t="n">
        <x:v>-14.62</x:v>
      </x:c>
      <x:c r="K2" s="15" t="str">
        <x:v>ret_1daypost_pct</x:v>
      </x:c>
      <x:c r="L2" s="15" t="str">
        <x:v>DOWN</x:v>
      </x:c>
      <x:c r="M2" s="15" t="str">
        <x:v>## Prior Context
Netflix had just expanded into more than 130 additional countries, making international subscriber growth the central valuation variable. The market expected that global launch to sustain unusually high net additions.
### Verified prior source
2016-01-19 | Netflix IR | Netflix Fourth Quarter 2015 Earnings Interview | https://ir.netflix.net/investor-news-and-events/investor-events/event-details/2016/Netflix-Fourth-Quarter-2015-Earnings-Interview/default.aspx
## Current Earnings Release
Netflix ended Q1 with more than **81 million members** after adding a record **6.74 million** subscribers: about 2.23 million in the U.S. and 4.51 million internationally. Revenue was about **$1.96 billion** and EPS **$0.06**. The current quarter was therefore strong on subscriber additions.
The problem was the **Q2 forecast**. Netflix expected only **500,000 U.S.** and **2.0 million international** net additions, a sharp slowdown from Q1 and below what investors expected after the global rollout. Management also faced the end of grandfathered lower prices for many U.S. subscribers, creating churn risk. The release shifted the debate from “record global expansion” to “how quickly can growth normalize without damaging the long-term thesis?”
### Verified release source
2016-04-18 | Netflix IR | Netflix First Quarter 2016 Earnings Interview | https://ir.netflix.net/investor-news-and-events/investor-events/event-details/2016/Netflix-First-Quarter-2016-Earnings-Interview/default.aspx
## Possible Drivers
**First-order driver.** Shares fell sharply because Q2 subscriber guidance implied a much faster slowdown than investors expected.
**Second-order driver.** Price increases created concern that churn would rise as grandfathered plans expired.
**Third-order driver.** Record Q1 additions showed demand was still strong, but the stock was priced for continued acceleration.
### Verified reaction source
2016-04-19 | TheWrap | Netflix Shares Sink 10 Percent in Early Trading After Subscriber Growth Warning | https://www.thewrap.com/netflix-shares-sink-on-slowing-member-momentum-in-early-trade/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2" s="15" t="str">
        <x:v>2016-01-19 | Netflix IR | Netflix Fourth Quarter 2015 Earnings Interview | https://ir.netflix.net/investor-news-and-events/investor-events/event-details/2016/Netflix-Fourth-Quarter-2015-Earnings-Interview/default.aspx</x:v>
      </x:c>
      <x:c r="O2" s="15" t="str">
        <x:v>2016-04-18 | Netflix IR | Netflix First Quarter 2016 Earnings Interview | https://ir.netflix.net/investor-news-and-events/investor-events/event-details/2016/Netflix-First-Quarter-2016-Earnings-Interview/default.aspx</x:v>
      </x:c>
      <x:c r="P2" s="15" t="str">
        <x:v>2016-04-19 | TheWrap | Netflix Shares Sink 10 Percent in Early Trading After Subscriber Growth Warning | https://www.thewrap.com/netflix-shares-sink-on-slowing-member-momentum-in-early-trade/</x:v>
      </x:c>
      <x:c r="Q2" s="15" t="str">
        <x:v>2016-01-19 | Netflix IR | Netflix Fourth Quarter 2015 Earnings Interview | https://ir.netflix.net/investor-news-and-events/investor-events/event-details/2016/Netflix-Fourth-Quarter-2015-Earnings-Interview/default.aspx
2016-04-18 | Netflix IR | Netflix First Quarter 2016 Earnings Interview | https://ir.netflix.net/investor-news-and-events/investor-events/event-details/2016/Netflix-First-Quarter-2016-Earnings-Interview/default.aspx
2016-04-19 | TheWrap | Netflix Shares Sink 10 Percent in Early Trading After Subscriber Growth Warning | https://www.thewrap.com/netflix-shares-sink-on-slowing-member-momentum-in-early-trade/</x:v>
      </x:c>
      <x:c r="R2" s="15" t="n">
        <x:v>3</x:v>
      </x:c>
      <x:c r="S2" s="15" t="str">
        <x:v>PASS</x:v>
      </x:c>
    </x:row>
    <x:row r="3" ht="340" customHeight="1">
      <x:c r="A3" s="15" t="n">
        <x:v>1</x:v>
      </x:c>
      <x:c r="B3" s="15" t="str">
        <x:v>NFLX</x:v>
      </x:c>
      <x:c r="C3" s="15" t="str">
        <x:v>Netflix</x:v>
      </x:c>
      <x:c r="D3" s="15" t="str">
        <x:v>2016q3</x:v>
      </x:c>
      <x:c r="E3" s="15" t="str">
        <x:v>2016-07-18</x:v>
      </x:c>
      <x:c r="F3" s="18" t="n">
        <x:v>0.17</x:v>
      </x:c>
      <x:c r="G3" s="18" t="n">
        <x:v>-12.89</x:v>
      </x:c>
      <x:c r="H3" s="18" t="n">
        <x:v>-12.74</x:v>
      </x:c>
      <x:c r="I3" s="18" t="n">
        <x:v>-12.35</x:v>
      </x:c>
      <x:c r="J3" s="18" t="n">
        <x:v>-12.29</x:v>
      </x:c>
      <x:c r="K3" s="15" t="str">
        <x:v>ret_1daypost_pct</x:v>
      </x:c>
      <x:c r="L3" s="15" t="str">
        <x:v>DOWN</x:v>
      </x:c>
      <x:c r="M3" s="15" t="str">
        <x:v>## Prior Context
After April’s warning, Netflix needed to show that the subscriber slowdown was temporary. Instead, Q2 became a second consecutive test of the company’s forecasting credibility.
### Verified prior source
2016-04-18 | Netflix IR | Netflix First Quarter 2016 Earnings Interview | https://ir.netflix.net/investor-news-and-events/investor-events/event-details/2016/Netflix-First-Quarter-2016-Earnings-Interview/default.aspx
## Current Earnings Release
Q2 revenue was about **$2.11 billion** and EPS **$0.09**, but the headline financials were not the issue. Netflix added only **1.7 million** net members versus its own forecast of **2.5 million**. U.S. additions were only about **160,000**, and international additions roughly **1.52 million**.
Management said churn rose unexpectedly as press coverage around the price increase caused some members to cancel. Netflix also guided Q3 subscriber additions cautiously. The result therefore damaged confidence in both near-term growth and management’s ability to forecast subscriber behavior during the pricing transition.
### Verified release source
2016-07-18 | Netflix IR | Netflix Second Quarter 2016 Earnings Interview | https://ir.netflix.net/investor-news-and-events/investor-events/event-details/2016/Netflix-Second-Quarter-2016-Earnings-Interview/default.aspx
## Possible Drivers
**First-order driver.** The stock fell because subscriber additions missed Netflix’s own forecast by a wide margin.
**Second-order driver.** Higher churn around the price increase suggested pricing power was not frictionless.
**Third-order driver.** A second consecutive subscriber disappointment weakened confidence in management’s forecasting.
### Verified reaction source
2016-07-19 | TheStreet | Netflix Stock Is Getting Crushed, but There May Be Reasons for Optimism | https://www.thestreet.com/investing/netflix-stock-is-getting-crushed-but-there-may-be-reasons-for-optimism-13644212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3" s="15" t="str">
        <x:v>2016-04-18 | Netflix IR | Netflix First Quarter 2016 Earnings Interview | https://ir.netflix.net/investor-news-and-events/investor-events/event-details/2016/Netflix-First-Quarter-2016-Earnings-Interview/default.aspx</x:v>
      </x:c>
      <x:c r="O3" s="15" t="str">
        <x:v>2016-07-18 | Netflix IR | Netflix Second Quarter 2016 Earnings Interview | https://ir.netflix.net/investor-news-and-events/investor-events/event-details/2016/Netflix-Second-Quarter-2016-Earnings-Interview/default.aspx</x:v>
      </x:c>
      <x:c r="P3" s="15" t="str">
        <x:v>2016-07-19 | TheStreet | Netflix Stock Is Getting Crushed, but There May Be Reasons for Optimism | https://www.thestreet.com/investing/netflix-stock-is-getting-crushed-but-there-may-be-reasons-for-optimism-13644212</x:v>
      </x:c>
      <x:c r="Q3" s="15" t="str">
        <x:v>2016-04-18 | Netflix IR | Netflix First Quarter 2016 Earnings Interview | https://ir.netflix.net/investor-news-and-events/investor-events/event-details/2016/Netflix-First-Quarter-2016-Earnings-Interview/default.aspx
2016-07-18 | Netflix IR | Netflix Second Quarter 2016 Earnings Interview | https://ir.netflix.net/investor-news-and-events/investor-events/event-details/2016/Netflix-Second-Quarter-2016-Earnings-Interview/default.aspx
2016-07-19 | TheStreet | Netflix Stock Is Getting Crushed, but There May Be Reasons for Optimism | https://www.thestreet.com/investing/netflix-stock-is-getting-crushed-but-there-may-be-reasons-for-optimism-13644212</x:v>
      </x:c>
      <x:c r="R3" s="15" t="n">
        <x:v>3</x:v>
      </x:c>
      <x:c r="S3" s="15" t="str">
        <x:v>PASS</x:v>
      </x:c>
    </x:row>
    <x:row r="4" ht="340" customHeight="1">
      <x:c r="A4" s="15" t="n">
        <x:v>2</x:v>
      </x:c>
      <x:c r="B4" s="15" t="str">
        <x:v>NFLX</x:v>
      </x:c>
      <x:c r="C4" s="15" t="str">
        <x:v>Netflix</x:v>
      </x:c>
      <x:c r="D4" s="15" t="str">
        <x:v>2016q4</x:v>
      </x:c>
      <x:c r="E4" s="15" t="str">
        <x:v>2016-10-17</x:v>
      </x:c>
      <x:c r="F4" s="18" t="n">
        <x:v>-1.39</x:v>
      </x:c>
      <x:c r="G4" s="18" t="n">
        <x:v>18.37</x:v>
      </x:c>
      <x:c r="H4" s="18" t="n">
        <x:v>16.72</x:v>
      </x:c>
      <x:c r="I4" s="18" t="n">
        <x:v>18.2</x:v>
      </x:c>
      <x:c r="J4" s="18" t="n">
        <x:v>22.58</x:v>
      </x:c>
      <x:c r="K4" s="15" t="str">
        <x:v>ret_1daypost_pct</x:v>
      </x:c>
      <x:c r="L4" s="15" t="str">
        <x:v>UP</x:v>
      </x:c>
      <x:c r="M4" s="15" t="str">
        <x:v>## Prior Context
Two subscriber misses had pushed Netflix into a credibility trough. Q3 therefore had a low expectations bar, with investors looking for evidence that churn had stabilized and original content could restore acquisition.
### Verified prior source
2016-07-18 | Netflix IR | Netflix Second Quarter 2016 Earnings Interview | https://ir.netflix.net/investor-news-and-events/investor-events/event-details/2016/Netflix-Second-Quarter-2016-Earnings-Interview/default.aspx
## Current Earnings Release
Netflix reported **3.57 million net subscriber additions**, including **3.2 million internationally**, well above both its own forecast and Wall Street expectations. Global streaming revenue exceeded **$2 billion** for the first time, and total quarterly revenue was about **$2.29 billion**.
Management attributed the subscriber outperformance primarily to stronger acquisition from original programming, including *Stranger Things* and *Narcos*. Q4 subscriber guidance also remained healthy. The quarter directly reversed the narrative from the prior two reports: growth had not structurally broken, and original content was proving capable of driving international adoption.
### Verified release source
2016-10-17 | Netflix IR | Netflix Third Quarter 2016 Earnings Interview | https://ir.netflix.net/investor-news-and-events/investor-events/event-details/2016/Netflix-Third-Quarter-2016-Earnings-Interview/default.aspx
## Possible Drivers
**First-order driver.** Shares surged because subscriber additions beat expectations by a wide margin.
**Second-order driver.** Original content was explicitly credited for stronger-than-forecast acquisition.
**Third-order driver.** The international business became the clearest source of incremental subscriber growth.
### Verified reaction source
2016-10-17 | TechCrunch | Netflix adds 3.57M new subscribers, including 3.2M international, beating Wall Street expectations | https://techcrunch.com/2016/10/17/netflix-shakes-off-weak-subscriber-growth-and-its-stock-is-skyrocketing/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4" s="15" t="str">
        <x:v>2016-07-18 | Netflix IR | Netflix Second Quarter 2016 Earnings Interview | https://ir.netflix.net/investor-news-and-events/investor-events/event-details/2016/Netflix-Second-Quarter-2016-Earnings-Interview/default.aspx</x:v>
      </x:c>
      <x:c r="O4" s="15" t="str">
        <x:v>2016-10-17 | Netflix IR | Netflix Third Quarter 2016 Earnings Interview | https://ir.netflix.net/investor-news-and-events/investor-events/event-details/2016/Netflix-Third-Quarter-2016-Earnings-Interview/default.aspx</x:v>
      </x:c>
      <x:c r="P4" s="15" t="str">
        <x:v>2016-10-17 | TechCrunch | Netflix adds 3.57M new subscribers, including 3.2M international, beating Wall Street expectations | https://techcrunch.com/2016/10/17/netflix-shakes-off-weak-subscriber-growth-and-its-stock-is-skyrocketing/</x:v>
      </x:c>
      <x:c r="Q4" s="15" t="str">
        <x:v>2016-07-18 | Netflix IR | Netflix Second Quarter 2016 Earnings Interview | https://ir.netflix.net/investor-news-and-events/investor-events/event-details/2016/Netflix-Second-Quarter-2016-Earnings-Interview/default.aspx
2016-10-17 | Netflix IR | Netflix Third Quarter 2016 Earnings Interview | https://ir.netflix.net/investor-news-and-events/investor-events/event-details/2016/Netflix-Third-Quarter-2016-Earnings-Interview/default.aspx
2016-10-17 | TechCrunch | Netflix adds 3.57M new subscribers, including 3.2M international, beating Wall Street expectations | https://techcrunch.com/2016/10/17/netflix-shakes-off-weak-subscriber-growth-and-its-stock-is-skyrocketing/</x:v>
      </x:c>
      <x:c r="R4" s="15" t="n">
        <x:v>3</x:v>
      </x:c>
      <x:c r="S4" s="15" t="str">
        <x:v>PASS</x:v>
      </x:c>
    </x:row>
    <x:row r="5" ht="340" customHeight="1">
      <x:c r="A5" s="15" t="n">
        <x:v>3</x:v>
      </x:c>
      <x:c r="B5" s="15" t="str">
        <x:v>NFLX</x:v>
      </x:c>
      <x:c r="C5" s="15" t="str">
        <x:v>Netflix</x:v>
      </x:c>
      <x:c r="D5" s="15" t="str">
        <x:v>2017q1</x:v>
      </x:c>
      <x:c r="E5" s="15" t="str">
        <x:v>2017-01-18</x:v>
      </x:c>
      <x:c r="F5" s="18" t="n">
        <x:v>0.14</x:v>
      </x:c>
      <x:c r="G5" s="18" t="n">
        <x:v>4.25</x:v>
      </x:c>
      <x:c r="H5" s="18" t="n">
        <x:v>4.4</x:v>
      </x:c>
      <x:c r="I5" s="18" t="n">
        <x:v>4.15</x:v>
      </x:c>
      <x:c r="J5" s="18" t="n">
        <x:v>3.21</x:v>
      </x:c>
      <x:c r="K5" s="15" t="str">
        <x:v>ret_1daypost_pct</x:v>
      </x:c>
      <x:c r="L5" s="15" t="str">
        <x:v>UP</x:v>
      </x:c>
      <x:c r="M5" s="15" t="str">
        <x:v>## Prior Context
After the October recovery, expectations had improved but Netflix still needed to prove that strong international growth could continue through the holiday quarter.
### Verified prior source
2016-10-17 | Netflix IR | Netflix Third Quarter 2016 Earnings Interview | https://ir.netflix.net/investor-news-and-events/investor-events/event-details/2016/Netflix-Third-Quarter-2016-Earnings-Interview/default.aspx
## Current Earnings Release
Netflix added about **7.05 million** net subscribers in Q4: roughly **1.93 million U.S.** and **5.12 million international** additions. Both were far above expectations. Global streaming revenue reached about **$2.35 billion**, and the company ended 2016 with **93.8 million members**.
The composition of growth mattered. International additions were accelerating even while Netflix continued investing aggressively in original content. Q1 2017 guidance also pointed to continued growth. The report strengthened the argument that Netflix’s addressable market was global rather than primarily U.S.-centric.
### Verified release source
2017-01-18 | Netflix IR | Netflix Fourth Quarter 2016 Earnings Interview | https://ir.netflix.net/investor-news-and-events/investor-events/event-details/2017/Netflix-Fourth-Quarter-2016-Earnings-Interview/default.aspx
## Possible Drivers
**First-order driver.** The stock rose because subscriber growth substantially exceeded both company and Wall Street expectations.
**Second-order driver.** International additions became the dominant growth engine.
**Third-order driver.** Strong results validated aggressive original-content spending despite continued cash burn.
### Verified reaction source
2017-01-18 | TechCrunch | Netflix’s international growth is exploding as it looks beyond the U.S. | https://techcrunch.com/2017/01/18/netflix-blows-out-the-fourth-quarter-after-setting-itself-up-for-a-huge-end-of-the-year/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5" s="15" t="str">
        <x:v>2016-10-17 | Netflix IR | Netflix Third Quarter 2016 Earnings Interview | https://ir.netflix.net/investor-news-and-events/investor-events/event-details/2016/Netflix-Third-Quarter-2016-Earnings-Interview/default.aspx</x:v>
      </x:c>
      <x:c r="O5" s="15" t="str">
        <x:v>2017-01-18 | Netflix IR | Netflix Fourth Quarter 2016 Earnings Interview | https://ir.netflix.net/investor-news-and-events/investor-events/event-details/2017/Netflix-Fourth-Quarter-2016-Earnings-Interview/default.aspx</x:v>
      </x:c>
      <x:c r="P5" s="15" t="str">
        <x:v>2017-01-18 | TechCrunch | Netflix’s international growth is exploding as it looks beyond the U.S. | https://techcrunch.com/2017/01/18/netflix-blows-out-the-fourth-quarter-after-setting-itself-up-for-a-huge-end-of-the-year/</x:v>
      </x:c>
      <x:c r="Q5" s="15" t="str">
        <x:v>2016-10-17 | Netflix IR | Netflix Third Quarter 2016 Earnings Interview | https://ir.netflix.net/investor-news-and-events/investor-events/event-details/2016/Netflix-Third-Quarter-2016-Earnings-Interview/default.aspx
2017-01-18 | Netflix IR | Netflix Fourth Quarter 2016 Earnings Interview | https://ir.netflix.net/investor-news-and-events/investor-events/event-details/2017/Netflix-Fourth-Quarter-2016-Earnings-Interview/default.aspx
2017-01-18 | TechCrunch | Netflix’s international growth is exploding as it looks beyond the U.S. | https://techcrunch.com/2017/01/18/netflix-blows-out-the-fourth-quarter-after-setting-itself-up-for-a-huge-end-of-the-year/</x:v>
      </x:c>
      <x:c r="R5" s="15" t="n">
        <x:v>3</x:v>
      </x:c>
      <x:c r="S5" s="15" t="str">
        <x:v>PASS</x:v>
      </x:c>
    </x:row>
    <x:row r="6" ht="340" customHeight="1">
      <x:c r="A6" s="15" t="n">
        <x:v>4</x:v>
      </x:c>
      <x:c r="B6" s="15" t="str">
        <x:v>NFLX</x:v>
      </x:c>
      <x:c r="C6" s="15" t="str">
        <x:v>Netflix</x:v>
      </x:c>
      <x:c r="D6" s="15" t="str">
        <x:v>2017q2</x:v>
      </x:c>
      <x:c r="E6" s="15" t="str">
        <x:v>2017-04-17</x:v>
      </x:c>
      <x:c r="F6" s="18" t="n">
        <x:v>2.16</x:v>
      </x:c>
      <x:c r="G6" s="18" t="n">
        <x:v>-2.39</x:v>
      </x:c>
      <x:c r="H6" s="18" t="n">
        <x:v>-0.28</x:v>
      </x:c>
      <x:c r="I6" s="18" t="n">
        <x:v>-0.19</x:v>
      </x:c>
      <x:c r="J6" s="18" t="n">
        <x:v>-2.32</x:v>
      </x:c>
      <x:c r="K6" s="15" t="str">
        <x:v>ret_1daypost_pct</x:v>
      </x:c>
      <x:c r="L6" s="15" t="str">
        <x:v>DOWN</x:v>
      </x:c>
      <x:c r="M6" s="15" t="str">
        <x:v>## Prior Context
Netflix entered Q1 near record highs, with investors expecting another strong subscriber quarter after the Q4 blowout. That made even a modest subscriber miss important.
### Verified prior source
2017-01-18 | Netflix IR | Netflix Fourth Quarter 2016 Earnings Interview | https://ir.netflix.net/investor-news-and-events/investor-events/event-details/2017/Netflix-Fourth-Quarter-2016-Earnings-Interview/default.aspx
## Current Earnings Release
Q1 revenue rose to about **$2.64 billion** and EPS reached **$0.40**, above consensus. However, Netflix added approximately **4.95 million** net subscribers versus its own expectation of roughly **5.2 million** and Wall Street expectations near **5.3 million**.
Management argued that the shortfall mainly reflected content timing, with several major releases shifted into Q2, and guided to a strong **3.2 million** Q2 net additions. But Q2 EPS guidance of about **$0.15** was also below consensus. The report therefore combined good current profitability with weaker-than-expected subscriber acquisition and lower near-term earnings.
### Verified release source
2017-04-17 | Netflix IR | Netflix First Quarter 2017 Earnings Interview | https://ir.netflix.net/investor-news-and-events/investor-events/event-details/2017/Netflix-First-Quarter-2017-Earnings-Interview/default.aspx
## Possible Drivers
**First-order driver.** Shares fell because subscriber additions missed expectations.
**Second-order driver.** Weak Q2 EPS guidance reinforced the disappointment.
**Third-order driver.** Strong Q2 subscriber guidance limited the downside by framing the miss as content timing rather than structural demand weakness.
### Verified reaction source
2017-04-18 | TheStreet | Netflix Shares Fall on Weak Subscriber Growth: What Wall Street's Saying | https://www.thestreet.com/investing/stocks/netflix-shares-fall-on-weak-subscriber-growth-what-wall-street-s-saying-14090657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6" s="15" t="str">
        <x:v>2017-01-18 | Netflix IR | Netflix Fourth Quarter 2016 Earnings Interview | https://ir.netflix.net/investor-news-and-events/investor-events/event-details/2017/Netflix-Fourth-Quarter-2016-Earnings-Interview/default.aspx</x:v>
      </x:c>
      <x:c r="O6" s="15" t="str">
        <x:v>2017-04-17 | Netflix IR | Netflix First Quarter 2017 Earnings Interview | https://ir.netflix.net/investor-news-and-events/investor-events/event-details/2017/Netflix-First-Quarter-2017-Earnings-Interview/default.aspx</x:v>
      </x:c>
      <x:c r="P6" s="15" t="str">
        <x:v>2017-04-18 | TheStreet | Netflix Shares Fall on Weak Subscriber Growth: What Wall Street's Saying | https://www.thestreet.com/investing/stocks/netflix-shares-fall-on-weak-subscriber-growth-what-wall-street-s-saying-14090657</x:v>
      </x:c>
      <x:c r="Q6" s="15" t="str">
        <x:v>2017-01-18 | Netflix IR | Netflix Fourth Quarter 2016 Earnings Interview | https://ir.netflix.net/investor-news-and-events/investor-events/event-details/2017/Netflix-Fourth-Quarter-2016-Earnings-Interview/default.aspx
2017-04-17 | Netflix IR | Netflix First Quarter 2017 Earnings Interview | https://ir.netflix.net/investor-news-and-events/investor-events/event-details/2017/Netflix-First-Quarter-2017-Earnings-Interview/default.aspx
2017-04-18 | TheStreet | Netflix Shares Fall on Weak Subscriber Growth: What Wall Street's Saying | https://www.thestreet.com/investing/stocks/netflix-shares-fall-on-weak-subscriber-growth-what-wall-street-s-saying-14090657</x:v>
      </x:c>
      <x:c r="R6" s="15" t="n">
        <x:v>3</x:v>
      </x:c>
      <x:c r="S6" s="15" t="str">
        <x:v>PASS</x:v>
      </x:c>
    </x:row>
    <x:row r="7" ht="340" customHeight="1">
      <x:c r="A7" s="15" t="n">
        <x:v>5</x:v>
      </x:c>
      <x:c r="B7" s="15" t="str">
        <x:v>NFLX</x:v>
      </x:c>
      <x:c r="C7" s="15" t="str">
        <x:v>Netflix</x:v>
      </x:c>
      <x:c r="D7" s="15" t="str">
        <x:v>2017q3</x:v>
      </x:c>
      <x:c r="E7" s="15" t="str">
        <x:v>2017-07-17</x:v>
      </x:c>
      <x:c r="F7" s="18" t="n">
        <x:v>0.36</x:v>
      </x:c>
      <x:c r="G7" s="18" t="n">
        <x:v>13.5</x:v>
      </x:c>
      <x:c r="H7" s="18" t="n">
        <x:v>13.9</x:v>
      </x:c>
      <x:c r="I7" s="18" t="n">
        <x:v>15.45</x:v>
      </x:c>
      <x:c r="J7" s="18" t="n">
        <x:v>14.76</x:v>
      </x:c>
      <x:c r="K7" s="15" t="str">
        <x:v>ret_1daypost_pct</x:v>
      </x:c>
      <x:c r="L7" s="15" t="str">
        <x:v>UP</x:v>
      </x:c>
      <x:c r="M7" s="15" t="str">
        <x:v>## Prior Context
The April subscriber miss had been explained as content timing. Q2 therefore became a direct test of whether delayed programming would actually produce the promised rebound.
### Verified prior source
2017-04-17 | Netflix IR | Netflix First Quarter 2017 Earnings Interview | https://ir.netflix.net/investor-news-and-events/investor-events/event-details/2017/Netflix-First-Quarter-2017-Earnings-Interview/default.aspx
## Current Earnings Release
Netflix added **5.2 million** subscribers in Q2, far above its own **3.2 million** forecast. More than **4 million** of those additions were international. Revenue was about **$2.79 billion**, while EPS of **$0.15** was roughly in line with expectations.
The subscriber result was the central signal. Netflix crossed 100 million total members and demonstrated that original content could drive large acquisition bursts globally. The international business was also moving closer to sustained profitability even while content spending remained very high.
### Verified release source
2017-07-17 | Netflix IR | Netflix Second Quarter 2017 Earnings Interview | https://ir.netflix.net/investor-news-and-events/investor-events/event-details/2017/Netflix-Second-Quarter-2017-Earnings-Interview/default.aspx
## Possible Drivers
**First-order driver.** Shares jumped because subscriber growth exceeded guidance by roughly 2 million users.
**Second-order driver.** International additions accounted for most of the upside.
**Third-order driver.** The result validated management’s claim that Q1 weakness was largely a timing issue.
### Verified reaction source
2017-07-17 | TechCrunch | Netflix’s subscribers are surging as it blows away Wall Street’s expectations | https://techcrunch.com/2017/07/17/netflixs-subscribers-are-surging-again-as-it-blows-away-wall-streets-expectations/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7" s="15" t="str">
        <x:v>2017-04-17 | Netflix IR | Netflix First Quarter 2017 Earnings Interview | https://ir.netflix.net/investor-news-and-events/investor-events/event-details/2017/Netflix-First-Quarter-2017-Earnings-Interview/default.aspx</x:v>
      </x:c>
      <x:c r="O7" s="15" t="str">
        <x:v>2017-07-17 | Netflix IR | Netflix Second Quarter 2017 Earnings Interview | https://ir.netflix.net/investor-news-and-events/investor-events/event-details/2017/Netflix-Second-Quarter-2017-Earnings-Interview/default.aspx</x:v>
      </x:c>
      <x:c r="P7" s="15" t="str">
        <x:v>2017-07-17 | TechCrunch | Netflix’s subscribers are surging as it blows away Wall Street’s expectations | https://techcrunch.com/2017/07/17/netflixs-subscribers-are-surging-again-as-it-blows-away-wall-streets-expectations/</x:v>
      </x:c>
      <x:c r="Q7" s="15" t="str">
        <x:v>2017-04-17 | Netflix IR | Netflix First Quarter 2017 Earnings Interview | https://ir.netflix.net/investor-news-and-events/investor-events/event-details/2017/Netflix-First-Quarter-2017-Earnings-Interview/default.aspx
2017-07-17 | Netflix IR | Netflix Second Quarter 2017 Earnings Interview | https://ir.netflix.net/investor-news-and-events/investor-events/event-details/2017/Netflix-Second-Quarter-2017-Earnings-Interview/default.aspx
2017-07-17 | TechCrunch | Netflix’s subscribers are surging as it blows away Wall Street’s expectations | https://techcrunch.com/2017/07/17/netflixs-subscribers-are-surging-again-as-it-blows-away-wall-streets-expectations/</x:v>
      </x:c>
      <x:c r="R7" s="15" t="n">
        <x:v>3</x:v>
      </x:c>
      <x:c r="S7" s="15" t="str">
        <x:v>PASS</x:v>
      </x:c>
    </x:row>
    <x:row r="8" ht="340" customHeight="1">
      <x:c r="A8" s="15" t="n">
        <x:v>6</x:v>
      </x:c>
      <x:c r="B8" s="15" t="str">
        <x:v>NFLX</x:v>
      </x:c>
      <x:c r="C8" s="15" t="str">
        <x:v>Netflix</x:v>
      </x:c>
      <x:c r="D8" s="15" t="str">
        <x:v>2017q4</x:v>
      </x:c>
      <x:c r="E8" s="15" t="str">
        <x:v>2017-10-16</x:v>
      </x:c>
      <x:c r="F8" s="18" t="n">
        <x:v>1.5</x:v>
      </x:c>
      <x:c r="G8" s="18" t="n">
        <x:v>-1.56</x:v>
      </x:c>
      <x:c r="H8" s="18" t="n">
        <x:v>-0.09</x:v>
      </x:c>
      <x:c r="I8" s="18" t="n">
        <x:v>1.68</x:v>
      </x:c>
      <x:c r="J8" s="18" t="n">
        <x:v>-0.63</x:v>
      </x:c>
      <x:c r="K8" s="15" t="str">
        <x:v>ret_1daypost_pct</x:v>
      </x:c>
      <x:c r="L8" s="15" t="str">
        <x:v>DOWN</x:v>
      </x:c>
      <x:c r="M8" s="15" t="str">
        <x:v>## Prior Context
Netflix had rallied strongly after the July subscriber beat and then announced price increases in the U.S. and Europe. Investors were testing whether pricing would slow acquisition as the company increased content spending.
### Verified prior source
2017-07-17 | Netflix IR | Netflix Second Quarter 2017 Earnings Interview | https://ir.netflix.net/investor-news-and-events/investor-events/event-details/2017/Netflix-Second-Quarter-2017-Earnings-Interview/default.aspx
## Current Earnings Release
Q3 revenue was about **$2.99 billion** and EPS **$0.29**. Netflix added **5.3 million** subscribers versus guidance of **4.4 million**, with 850,000 U.S. and 4.45 million international additions. Revenue, subscriber growth and international performance all exceeded expectations.
Netflix also raised its planned 2018 content spending to **$7–$8 billion** and forecast another **6.3 million** subscriber additions in Q4. The report was fundamentally strong, and shares initially moved higher. However, the stock had already risen more than 60% during 2017 and closed at a record before earnings; the next full session finished modestly lower as the initial rally faded.
### Verified release source
2017-10-16 | Netflix IR | Netflix Third Quarter 2017 Earnings Interview | https://ir.netflix.net/investor-news-and-events/investor-events/event-details/2017/Netflix-Third-Quarter-2017-Earnings-Interview/default.aspx
## Possible Drivers
**First-order driver.** The slight decline was a valuation/profit-taking reversal after a strong report rather than an operating disappointment.
**Second-order driver.** Subscriber growth clearly exceeded expectations and supported the long-term thesis.
**Third-order driver.** Rising content spending increased the cash-burn burden even as it supported acquisition.
### Verified reaction source
2017-10-17 | TheStreet | How Netflix's Hot Stock Could Fall 50% to $93 | https://www.thestreet.com/investing/stocks/netflix-stock-could-fall-to-93-wedbush-analyst-14345196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**SUPPORTED_INFERENCE**.
</x:v>
      </x:c>
      <x:c r="N8" s="15" t="str">
        <x:v>2017-07-17 | Netflix IR | Netflix Second Quarter 2017 Earnings Interview | https://ir.netflix.net/investor-news-and-events/investor-events/event-details/2017/Netflix-Second-Quarter-2017-Earnings-Interview/default.aspx</x:v>
      </x:c>
      <x:c r="O8" s="15" t="str">
        <x:v>2017-10-16 | Netflix IR | Netflix Third Quarter 2017 Earnings Interview | https://ir.netflix.net/investor-news-and-events/investor-events/event-details/2017/Netflix-Third-Quarter-2017-Earnings-Interview/default.aspx</x:v>
      </x:c>
      <x:c r="P8" s="15" t="str">
        <x:v>2017-10-17 | TheStreet | How Netflix's Hot Stock Could Fall 50% to $93 | https://www.thestreet.com/investing/stocks/netflix-stock-could-fall-to-93-wedbush-analyst-14345196</x:v>
      </x:c>
      <x:c r="Q8" s="15" t="str">
        <x:v>2017-07-17 | Netflix IR | Netflix Second Quarter 2017 Earnings Interview | https://ir.netflix.net/investor-news-and-events/investor-events/event-details/2017/Netflix-Second-Quarter-2017-Earnings-Interview/default.aspx
2017-10-16 | Netflix IR | Netflix Third Quarter 2017 Earnings Interview | https://ir.netflix.net/investor-news-and-events/investor-events/event-details/2017/Netflix-Third-Quarter-2017-Earnings-Interview/default.aspx
2017-10-17 | TheStreet | How Netflix's Hot Stock Could Fall 50% to $93 | https://www.thestreet.com/investing/stocks/netflix-stock-could-fall-to-93-wedbush-analyst-14345196</x:v>
      </x:c>
      <x:c r="R8" s="15" t="n">
        <x:v>3</x:v>
      </x:c>
      <x:c r="S8" s="15" t="str">
        <x:v>PASS</x:v>
      </x:c>
    </x:row>
    <x:row r="9" ht="340" customHeight="1">
      <x:c r="A9" s="15" t="n">
        <x:v>7</x:v>
      </x:c>
      <x:c r="B9" s="15" t="str">
        <x:v>NFLX</x:v>
      </x:c>
      <x:c r="C9" s="15" t="str">
        <x:v>Netflix</x:v>
      </x:c>
      <x:c r="D9" s="15" t="str">
        <x:v>2018q1</x:v>
      </x:c>
      <x:c r="E9" s="15" t="str">
        <x:v>2018-01-22</x:v>
      </x:c>
      <x:c r="F9" s="18" t="n">
        <x:v>2.47</x:v>
      </x:c>
      <x:c r="G9" s="18" t="n">
        <x:v>9.72</x:v>
      </x:c>
      <x:c r="H9" s="18" t="n">
        <x:v>12.43</x:v>
      </x:c>
      <x:c r="I9" s="18" t="n">
        <x:v>11.88</x:v>
      </x:c>
      <x:c r="J9" s="18" t="n">
        <x:v>20.66</x:v>
      </x:c>
      <x:c r="K9" s="15" t="str">
        <x:v>ret_1daypost_pct</x:v>
      </x:c>
      <x:c r="L9" s="15" t="str">
        <x:v>UP</x:v>
      </x:c>
      <x:c r="M9" s="15" t="str">
        <x:v>## Prior Context
Netflix entered Q4 after raising subscription prices, creating concern that churn could increase. At the same time, the company was spending aggressively on originals to sustain global growth.
### Verified prior source
2017-10-16 | Netflix IR | Netflix Third Quarter 2017 Earnings Interview | https://ir.netflix.net/investor-news-and-events/investor-events/event-details/2017/Netflix-Third-Quarter-2017-Earnings-Interview/default.aspx
## Current Earnings Release
Netflix added a record **8.3 million** net subscribers, more than **30% above** its own target of 6.3 million. Revenue increased about **33% to $3.3 billion**, and EPS was **$0.41**. The subscriber result was substantially stronger than either management or Wall Street expected.
The report also demonstrated pricing power: Netflix achieved record acquisition despite recent price increases. Management planned to increase 2018 free-cash-flow burn to roughly **$3–$4 billion** as content investment accelerated, but investors treated that spending as growth capital because acquisition remained exceptional.
### Verified release source
2018-01-22 | Netflix IR | Netflix Fourth Quarter 2017 Earnings Interview | https://ir.netflix.net/investor-news-and-events/investor-events/event-details/2018/Netflix-Fourth-Quarter-2017-Earnings-Interview/default.aspx
## Possible Drivers
**First-order driver.** Shares surged because subscriber additions massively exceeded expectations.
**Second-order driver.** Strong growth despite price increases demonstrated substantial pricing power.
**Third-order driver.** Higher cash burn was accepted because original-content investment was still producing accelerating membership growth.
### Verified reaction source
2018-01-23 | The Motley Fool | Why Netflix, Inc. Stock Jumped 13% This Morning | https://www.fool.com/investing/2018/01/23/why-netflix-inc-stock-jumped-13-this-morning.aspx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9" s="15" t="str">
        <x:v>2017-10-16 | Netflix IR | Netflix Third Quarter 2017 Earnings Interview | https://ir.netflix.net/investor-news-and-events/investor-events/event-details/2017/Netflix-Third-Quarter-2017-Earnings-Interview/default.aspx</x:v>
      </x:c>
      <x:c r="O9" s="15" t="str">
        <x:v>2018-01-22 | Netflix IR | Netflix Fourth Quarter 2017 Earnings Interview | https://ir.netflix.net/investor-news-and-events/investor-events/event-details/2018/Netflix-Fourth-Quarter-2017-Earnings-Interview/default.aspx</x:v>
      </x:c>
      <x:c r="P9" s="15" t="str">
        <x:v>2018-01-23 | The Motley Fool | Why Netflix, Inc. Stock Jumped 13% This Morning | https://www.fool.com/investing/2018/01/23/why-netflix-inc-stock-jumped-13-this-morning.aspx</x:v>
      </x:c>
      <x:c r="Q9" s="15" t="str">
        <x:v>2017-10-16 | Netflix IR | Netflix Third Quarter 2017 Earnings Interview | https://ir.netflix.net/investor-news-and-events/investor-events/event-details/2017/Netflix-Third-Quarter-2017-Earnings-Interview/default.aspx
2018-01-22 | Netflix IR | Netflix Fourth Quarter 2017 Earnings Interview | https://ir.netflix.net/investor-news-and-events/investor-events/event-details/2018/Netflix-Fourth-Quarter-2017-Earnings-Interview/default.aspx
2018-01-23 | The Motley Fool | Why Netflix, Inc. Stock Jumped 13% This Morning | https://www.fool.com/investing/2018/01/23/why-netflix-inc-stock-jumped-13-this-morning.aspx</x:v>
      </x:c>
      <x:c r="R9" s="15" t="n">
        <x:v>3</x:v>
      </x:c>
      <x:c r="S9" s="15" t="str">
        <x:v>PASS</x:v>
      </x:c>
    </x:row>
    <x:row r="10" ht="340" customHeight="1">
      <x:c r="A10" s="15" t="n">
        <x:v>8</x:v>
      </x:c>
      <x:c r="B10" s="15" t="str">
        <x:v>NFLX</x:v>
      </x:c>
      <x:c r="C10" s="15" t="str">
        <x:v>Netflix</x:v>
      </x:c>
      <x:c r="D10" s="15" t="str">
        <x:v>2018q2</x:v>
      </x:c>
      <x:c r="E10" s="15" t="str">
        <x:v>2018-04-16</x:v>
      </x:c>
      <x:c r="F10" s="18" t="n">
        <x:v>-2.04</x:v>
      </x:c>
      <x:c r="G10" s="18" t="n">
        <x:v>8.16</x:v>
      </x:c>
      <x:c r="H10" s="18" t="n">
        <x:v>5.95</x:v>
      </x:c>
      <x:c r="I10" s="18" t="n">
        <x:v>7.1</x:v>
      </x:c>
      <x:c r="J10" s="18" t="n">
        <x:v>6.43</x:v>
      </x:c>
      <x:c r="K10" s="15" t="str">
        <x:v>ret_1daypost_pct</x:v>
      </x:c>
      <x:c r="L10" s="15" t="str">
        <x:v>UP</x:v>
      </x:c>
      <x:c r="M10" s="15" t="str">
        <x:v>## Prior Context
After the record Q4, Netflix faced an exceptionally high expectations bar. The company needed another subscriber beat to justify the stock’s rapid appreciation.
### Verified prior source
2018-01-22 | Netflix IR | Netflix Fourth Quarter 2017 Earnings Interview | https://ir.netflix.net/investor-news-and-events/investor-events/event-details/2018/Netflix-Fourth-Quarter-2017-Earnings-Interview/default.aspx
## Current Earnings Release
Q1 revenue rose to roughly **$3.70 billion** and EPS to **$0.64**. Netflix added approximately **7.4 million** subscribers, above its guidance and among the strongest quarters in company history. U.S. additions were about 1.96 million and international additions about 5.46 million.
Netflix also guided Q2 to another strong subscriber quarter and continued expanding operating margin despite heavy content spending. The report reinforced the idea that Netflix had achieved global scale without yet exhausting its subscriber runway.
### Verified release source
2018-04-16 | Netflix IR | Netflix First Quarter 2018 Earnings Interview | https://ir.netflix.net/investor-news-and-events/investor-events/event-details/2018/Netflix-First-Quarter-2018-Earnings-Interview/default.aspx
## Possible Drivers
**First-order driver.** The stock rose because subscriber additions again exceeded expectations.
**Second-order driver.** International growth remained the dominant source of upside.
**Third-order driver.** Better operating margins showed that scale was beginning to improve profitability even while content investment remained high.
### Verified reaction source
2018-04-17 | TheWrap | Netflix Shares Jump 8 Percent to All-Time High on Subscriber Surge | https://www.thewrap.com/netflix-shares-race-8-percent-to-all-time-high-behind-strong-subscriber-growth/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10" s="15" t="str">
        <x:v>2018-01-22 | Netflix IR | Netflix Fourth Quarter 2017 Earnings Interview | https://ir.netflix.net/investor-news-and-events/investor-events/event-details/2018/Netflix-Fourth-Quarter-2017-Earnings-Interview/default.aspx</x:v>
      </x:c>
      <x:c r="O10" s="15" t="str">
        <x:v>2018-04-16 | Netflix IR | Netflix First Quarter 2018 Earnings Interview | https://ir.netflix.net/investor-news-and-events/investor-events/event-details/2018/Netflix-First-Quarter-2018-Earnings-Interview/default.aspx</x:v>
      </x:c>
      <x:c r="P10" s="15" t="str">
        <x:v>2018-04-17 | TheWrap | Netflix Shares Jump 8 Percent to All-Time High on Subscriber Surge | https://www.thewrap.com/netflix-shares-race-8-percent-to-all-time-high-behind-strong-subscriber-growth/</x:v>
      </x:c>
      <x:c r="Q10" s="15" t="str">
        <x:v>2018-01-22 | Netflix IR | Netflix Fourth Quarter 2017 Earnings Interview | https://ir.netflix.net/investor-news-and-events/investor-events/event-details/2018/Netflix-Fourth-Quarter-2017-Earnings-Interview/default.aspx
2018-04-16 | Netflix IR | Netflix First Quarter 2018 Earnings Interview | https://ir.netflix.net/investor-news-and-events/investor-events/event-details/2018/Netflix-First-Quarter-2018-Earnings-Interview/default.aspx
2018-04-17 | TheWrap | Netflix Shares Jump 8 Percent to All-Time High on Subscriber Surge | https://www.thewrap.com/netflix-shares-race-8-percent-to-all-time-high-behind-strong-subscriber-growth/</x:v>
      </x:c>
      <x:c r="R10" s="15" t="n">
        <x:v>3</x:v>
      </x:c>
      <x:c r="S10" s="15" t="str">
        <x:v>PASS</x:v>
      </x:c>
    </x:row>
    <x:row r="11" ht="340" customHeight="1">
      <x:c r="A11" s="15" t="n">
        <x:v>9</x:v>
      </x:c>
      <x:c r="B11" s="15" t="str">
        <x:v>NFLX</x:v>
      </x:c>
      <x:c r="C11" s="15" t="str">
        <x:v>Netflix</x:v>
      </x:c>
      <x:c r="D11" s="15" t="str">
        <x:v>2018q3</x:v>
      </x:c>
      <x:c r="E11" s="15" t="str">
        <x:v>2018-07-16</x:v>
      </x:c>
      <x:c r="F11" s="18" t="n">
        <x:v>1.37</x:v>
      </x:c>
      <x:c r="G11" s="18" t="n">
        <x:v>-5.63</x:v>
      </x:c>
      <x:c r="H11" s="18" t="n">
        <x:v>-4.34</x:v>
      </x:c>
      <x:c r="I11" s="18" t="n">
        <x:v>-8.51</x:v>
      </x:c>
      <x:c r="J11" s="18" t="n">
        <x:v>-12.18</x:v>
      </x:c>
      <x:c r="K11" s="15" t="str">
        <x:v>ret_1daypost_pct</x:v>
      </x:c>
      <x:c r="L11" s="15" t="str">
        <x:v>DOWN</x:v>
      </x:c>
      <x:c r="M11" s="15" t="str">
        <x:v>## Prior Context
Netflix shares had nearly doubled during 2018, leaving the stock dependent on continued subscriber beats. Q2 therefore carried one of the highest expectations bars in the sample.
### Verified prior source
2018-04-16 | Netflix IR | Netflix First Quarter 2018 Earnings Interview | https://ir.netflix.net/investor-news-and-events/investor-events/event-details/2018/Netflix-First-Quarter-2018-Earnings-Interview/default.aspx
## Current Earnings Release
Q2 revenue increased about **40% to $3.91 billion** and EPS reached **$0.85**, above earnings expectations. But Netflix added only about **5.15 million** subscribers versus its own forecast of **6.2 million**. U.S. additions were roughly 670,000 versus a 1.2 million target, while international additions were about 4.47 million versus roughly 5.0 million expected.
Management called the quarter “strong but not stellar” and acknowledged that it had over-forecast subscriber additions. Q3 subscriber guidance also failed to erase the concern. Because Netflix’s valuation depended heavily on sustained membership acceleration, the subscriber miss outweighed otherwise strong revenue and earnings growth.
### Verified release source
2018-07-16 | Netflix IR | Netflix Second Quarter 2018 Earnings Interview | https://ir.netflix.net/investor-news-and-events/investor-events/event-details/2018/Netflix-Second-Quarter-2018-Earnings-Interview/default.aspx
## Possible Drivers
**First-order driver.** Shares fell because subscriber growth missed company and market expectations by roughly 1 million users.
**Second-order driver.** Both U.S. and international net additions fell short, making the miss broad-based.
**Third-order driver.** A very high valuation made subscriber forecasting errors especially costly to the stock.
### Verified reaction source
2018-07-17 | CBS News | Netflix shares slip further amid growth concerns | https://www.cbsnews.com/news/netflix-shares-slip-further-amid-growth-concerns/
## Verification Status
All included pages were checked for Netflix/NFLX identity, the correct earnings event, publication date, timing window and source origin. Netflix Investor Relations is the factual anchor. No WSJ, Reuters, Dow Jones or MarketWatch-syndicated article is included. Attribution strength: **EXPLICIT**.
</x:v>
      </x:c>
      <x:c r="N11" s="15" t="str">
        <x:v>2018-04-16 | Netflix IR | Netflix First Quarter 2018 Earnings Interview | https://ir.netflix.net/investor-news-and-events/investor-events/event-details/2018/Netflix-First-Quarter-2018-Earnings-Interview/default.aspx</x:v>
      </x:c>
      <x:c r="O11" s="15" t="str">
        <x:v>2018-07-16 | Netflix IR | Netflix Second Quarter 2018 Earnings Interview | https://ir.netflix.net/investor-news-and-events/investor-events/event-details/2018/Netflix-Second-Quarter-2018-Earnings-Interview/default.aspx</x:v>
      </x:c>
      <x:c r="P11" s="15" t="str">
        <x:v>2018-07-17 | CBS News | Netflix shares slip further amid growth concerns | https://www.cbsnews.com/news/netflix-shares-slip-further-amid-growth-concerns/</x:v>
      </x:c>
      <x:c r="Q11" s="15" t="str">
        <x:v>2018-04-16 | Netflix IR | Netflix First Quarter 2018 Earnings Interview | https://ir.netflix.net/investor-news-and-events/investor-events/event-details/2018/Netflix-First-Quarter-2018-Earnings-Interview/default.aspx
2018-07-16 | Netflix IR | Netflix Second Quarter 2018 Earnings Interview | https://ir.netflix.net/investor-news-and-events/investor-events/event-details/2018/Netflix-Second-Quarter-2018-Earnings-Interview/default.aspx
2018-07-17 | CBS News | Netflix shares slip further amid growth concerns | https://www.cbsnews.com/news/netflix-shares-slip-further-amid-growth-concerns/</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0" hidden="0" customWidth="1"/>
    <x:col min="8" max="8" width="90"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4" hidden="0" customWidth="1"/>
    <x:col min="16" max="16" width="14" hidden="0" customWidth="1"/>
    <x:col min="17" max="17" width="72"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2016-04-18</x:v>
      </x:c>
      <x:c r="B2" s="12" t="str">
        <x:v>NFLX</x:v>
      </x:c>
      <x:c r="C2" s="12" t="str">
        <x:v>prior</x:v>
      </x:c>
      <x:c r="D2" s="12" t="str">
        <x:v>2016-01-19</x:v>
      </x:c>
      <x:c r="E2" s="12" t="n">
        <x:v>-90</x:v>
      </x:c>
      <x:c r="F2" s="12" t="str">
        <x:v>Netflix IR</x:v>
      </x:c>
      <x:c r="G2" s="12" t="str">
        <x:v>Netflix Fourth Quarter 2015 Earnings Interview</x:v>
      </x:c>
      <x:c r="H2" s="12" t="str">
        <x:v>https://ir.netflix.net/investor-news-and-events/investor-events/event-details/2016/Netflix-Fourth-Quarter-2015-Earnings-Interview/default.aspx</x:v>
      </x:c>
      <x:c r="I2" s="12" t="str">
        <x:v>OPENED_OK</x:v>
      </x:c>
      <x:c r="J2" s="12" t="str">
        <x:v>PASS</x:v>
      </x:c>
      <x:c r="K2" s="12" t="str">
        <x:v>PASS</x:v>
      </x:c>
      <x:c r="L2" s="12" t="str">
        <x:v>PASS</x:v>
      </x:c>
      <x:c r="M2" s="12" t="str">
        <x:v>NO</x:v>
      </x:c>
      <x:c r="N2" s="12" t="str">
        <x:v>PASS</x:v>
      </x:c>
      <x:c r="O2" s="12" t="str">
        <x:v>FACTUAL</x:v>
      </x:c>
      <x:c r="P2" s="12" t="str">
        <x:v>PASS</x:v>
      </x:c>
      <x:c r="Q2" s="12" t="str">
        <x:v>Checked for Netflix/NFLX identity, exact earnings event, displayed publication date, timing window and source-origin restriction.</x:v>
      </x:c>
    </x:row>
    <x:row r="3">
      <x:c r="A3" s="12" t="str">
        <x:v>2016-04-18</x:v>
      </x:c>
      <x:c r="B3" s="12" t="str">
        <x:v>NFLX</x:v>
      </x:c>
      <x:c r="C3" s="12" t="str">
        <x:v>release</x:v>
      </x:c>
      <x:c r="D3" s="12" t="str">
        <x:v>2016-04-18</x:v>
      </x:c>
      <x:c r="E3" s="12" t="n">
        <x:v>0</x:v>
      </x:c>
      <x:c r="F3" s="12" t="str">
        <x:v>Netflix IR</x:v>
      </x:c>
      <x:c r="G3" s="12" t="str">
        <x:v>Netflix First Quarter 2016 Earnings Interview</x:v>
      </x:c>
      <x:c r="H3" s="12" t="str">
        <x:v>https://ir.netflix.net/investor-news-and-events/investor-events/event-details/2016/Netflix-First-Quarter-2016-Earnings-Interview/default.aspx</x:v>
      </x:c>
      <x:c r="I3" s="12" t="str">
        <x:v>OPENED_OK</x:v>
      </x:c>
      <x:c r="J3" s="12" t="str">
        <x:v>PASS</x:v>
      </x:c>
      <x:c r="K3" s="12" t="str">
        <x:v>PASS</x:v>
      </x:c>
      <x:c r="L3" s="12" t="str">
        <x:v>PASS</x:v>
      </x:c>
      <x:c r="M3" s="12" t="str">
        <x:v>NO</x:v>
      </x:c>
      <x:c r="N3" s="12" t="str">
        <x:v>PASS</x:v>
      </x:c>
      <x:c r="O3" s="12" t="str">
        <x:v>FACTUAL</x:v>
      </x:c>
      <x:c r="P3" s="12" t="str">
        <x:v>PASS</x:v>
      </x:c>
      <x:c r="Q3" s="12" t="str">
        <x:v>Checked for Netflix/NFLX identity, exact earnings event, displayed publication date, timing window and source-origin restriction.</x:v>
      </x:c>
    </x:row>
    <x:row r="4">
      <x:c r="A4" s="12" t="str">
        <x:v>2016-04-18</x:v>
      </x:c>
      <x:c r="B4" s="12" t="str">
        <x:v>NFLX</x:v>
      </x:c>
      <x:c r="C4" s="12" t="str">
        <x:v>reaction</x:v>
      </x:c>
      <x:c r="D4" s="12" t="str">
        <x:v>2016-04-19</x:v>
      </x:c>
      <x:c r="E4" s="12" t="n">
        <x:v>1</x:v>
      </x:c>
      <x:c r="F4" s="12" t="str">
        <x:v>TheWrap</x:v>
      </x:c>
      <x:c r="G4" s="12" t="str">
        <x:v>Netflix Shares Sink 10 Percent in Early Trading After Subscriber Growth Warning</x:v>
      </x:c>
      <x:c r="H4" s="12" t="str">
        <x:v>https://www.thewrap.com/netflix-shares-sink-on-slowing-member-momentum-in-early-trade/</x:v>
      </x:c>
      <x:c r="I4" s="12" t="str">
        <x:v>OPENED_OK</x:v>
      </x:c>
      <x:c r="J4" s="12" t="str">
        <x:v>PASS</x:v>
      </x:c>
      <x:c r="K4" s="12" t="str">
        <x:v>PASS</x:v>
      </x:c>
      <x:c r="L4" s="12" t="str">
        <x:v>PASS</x:v>
      </x:c>
      <x:c r="M4" s="12" t="str">
        <x:v>NO</x:v>
      </x:c>
      <x:c r="N4" s="12" t="str">
        <x:v>PASS</x:v>
      </x:c>
      <x:c r="O4" s="12" t="str">
        <x:v>EXPLICIT</x:v>
      </x:c>
      <x:c r="P4" s="12" t="str">
        <x:v>PASS</x:v>
      </x:c>
      <x:c r="Q4" s="12" t="str">
        <x:v>Checked for Netflix/NFLX identity, exact earnings event, displayed publication date, timing window and source-origin restriction.</x:v>
      </x:c>
    </x:row>
    <x:row r="5">
      <x:c r="A5" s="12" t="str">
        <x:v>2016-07-18</x:v>
      </x:c>
      <x:c r="B5" s="12" t="str">
        <x:v>NFLX</x:v>
      </x:c>
      <x:c r="C5" s="12" t="str">
        <x:v>prior</x:v>
      </x:c>
      <x:c r="D5" s="12" t="str">
        <x:v>2016-04-18</x:v>
      </x:c>
      <x:c r="E5" s="12" t="n">
        <x:v>-91</x:v>
      </x:c>
      <x:c r="F5" s="12" t="str">
        <x:v>Netflix IR</x:v>
      </x:c>
      <x:c r="G5" s="12" t="str">
        <x:v>Netflix First Quarter 2016 Earnings Interview</x:v>
      </x:c>
      <x:c r="H5" s="12" t="str">
        <x:v>https://ir.netflix.net/investor-news-and-events/investor-events/event-details/2016/Netflix-First-Quarter-2016-Earnings-Interview/default.aspx</x:v>
      </x:c>
      <x:c r="I5" s="12" t="str">
        <x:v>OPENED_OK</x:v>
      </x:c>
      <x:c r="J5" s="12" t="str">
        <x:v>PASS</x:v>
      </x:c>
      <x:c r="K5" s="12" t="str">
        <x:v>PASS</x:v>
      </x:c>
      <x:c r="L5" s="12" t="str">
        <x:v>PASS</x:v>
      </x:c>
      <x:c r="M5" s="12" t="str">
        <x:v>NO</x:v>
      </x:c>
      <x:c r="N5" s="12" t="str">
        <x:v>PASS</x:v>
      </x:c>
      <x:c r="O5" s="12" t="str">
        <x:v>FACTUAL</x:v>
      </x:c>
      <x:c r="P5" s="12" t="str">
        <x:v>PASS</x:v>
      </x:c>
      <x:c r="Q5" s="12" t="str">
        <x:v>Checked for Netflix/NFLX identity, exact earnings event, displayed publication date, timing window and source-origin restriction.</x:v>
      </x:c>
    </x:row>
    <x:row r="6">
      <x:c r="A6" s="12" t="str">
        <x:v>2016-07-18</x:v>
      </x:c>
      <x:c r="B6" s="12" t="str">
        <x:v>NFLX</x:v>
      </x:c>
      <x:c r="C6" s="12" t="str">
        <x:v>release</x:v>
      </x:c>
      <x:c r="D6" s="12" t="str">
        <x:v>2016-07-18</x:v>
      </x:c>
      <x:c r="E6" s="12" t="n">
        <x:v>0</x:v>
      </x:c>
      <x:c r="F6" s="12" t="str">
        <x:v>Netflix IR</x:v>
      </x:c>
      <x:c r="G6" s="12" t="str">
        <x:v>Netflix Second Quarter 2016 Earnings Interview</x:v>
      </x:c>
      <x:c r="H6" s="12" t="str">
        <x:v>https://ir.netflix.net/investor-news-and-events/investor-events/event-details/2016/Netflix-Second-Quarter-2016-Earnings-Interview/default.aspx</x:v>
      </x:c>
      <x:c r="I6" s="12" t="str">
        <x:v>OPENED_OK</x:v>
      </x:c>
      <x:c r="J6" s="12" t="str">
        <x:v>PASS</x:v>
      </x:c>
      <x:c r="K6" s="12" t="str">
        <x:v>PASS</x:v>
      </x:c>
      <x:c r="L6" s="12" t="str">
        <x:v>PASS</x:v>
      </x:c>
      <x:c r="M6" s="12" t="str">
        <x:v>NO</x:v>
      </x:c>
      <x:c r="N6" s="12" t="str">
        <x:v>PASS</x:v>
      </x:c>
      <x:c r="O6" s="12" t="str">
        <x:v>FACTUAL</x:v>
      </x:c>
      <x:c r="P6" s="12" t="str">
        <x:v>PASS</x:v>
      </x:c>
      <x:c r="Q6" s="12" t="str">
        <x:v>Checked for Netflix/NFLX identity, exact earnings event, displayed publication date, timing window and source-origin restriction.</x:v>
      </x:c>
    </x:row>
    <x:row r="7">
      <x:c r="A7" s="12" t="str">
        <x:v>2016-07-18</x:v>
      </x:c>
      <x:c r="B7" s="12" t="str">
        <x:v>NFLX</x:v>
      </x:c>
      <x:c r="C7" s="12" t="str">
        <x:v>reaction</x:v>
      </x:c>
      <x:c r="D7" s="12" t="str">
        <x:v>2016-07-19</x:v>
      </x:c>
      <x:c r="E7" s="12" t="n">
        <x:v>1</x:v>
      </x:c>
      <x:c r="F7" s="12" t="str">
        <x:v>TheStreet</x:v>
      </x:c>
      <x:c r="G7" s="12" t="str">
        <x:v>Netflix Stock Is Getting Crushed, but There May Be Reasons for Optimism</x:v>
      </x:c>
      <x:c r="H7" s="12" t="str">
        <x:v>https://www.thestreet.com/investing/netflix-stock-is-getting-crushed-but-there-may-be-reasons-for-optimism-13644212</x:v>
      </x:c>
      <x:c r="I7" s="12" t="str">
        <x:v>OPENED_OK</x:v>
      </x:c>
      <x:c r="J7" s="12" t="str">
        <x:v>PASS</x:v>
      </x:c>
      <x:c r="K7" s="12" t="str">
        <x:v>PASS</x:v>
      </x:c>
      <x:c r="L7" s="12" t="str">
        <x:v>PASS</x:v>
      </x:c>
      <x:c r="M7" s="12" t="str">
        <x:v>NO</x:v>
      </x:c>
      <x:c r="N7" s="12" t="str">
        <x:v>PASS</x:v>
      </x:c>
      <x:c r="O7" s="12" t="str">
        <x:v>EXPLICIT</x:v>
      </x:c>
      <x:c r="P7" s="12" t="str">
        <x:v>PASS</x:v>
      </x:c>
      <x:c r="Q7" s="12" t="str">
        <x:v>Checked for Netflix/NFLX identity, exact earnings event, displayed publication date, timing window and source-origin restriction.</x:v>
      </x:c>
    </x:row>
    <x:row r="8">
      <x:c r="A8" s="12" t="str">
        <x:v>2016-10-17</x:v>
      </x:c>
      <x:c r="B8" s="12" t="str">
        <x:v>NFLX</x:v>
      </x:c>
      <x:c r="C8" s="12" t="str">
        <x:v>prior</x:v>
      </x:c>
      <x:c r="D8" s="12" t="str">
        <x:v>2016-07-18</x:v>
      </x:c>
      <x:c r="E8" s="12" t="n">
        <x:v>-91</x:v>
      </x:c>
      <x:c r="F8" s="12" t="str">
        <x:v>Netflix IR</x:v>
      </x:c>
      <x:c r="G8" s="12" t="str">
        <x:v>Netflix Second Quarter 2016 Earnings Interview</x:v>
      </x:c>
      <x:c r="H8" s="12" t="str">
        <x:v>https://ir.netflix.net/investor-news-and-events/investor-events/event-details/2016/Netflix-Second-Quarter-2016-Earnings-Interview/default.aspx</x:v>
      </x:c>
      <x:c r="I8" s="12" t="str">
        <x:v>OPENED_OK</x:v>
      </x:c>
      <x:c r="J8" s="12" t="str">
        <x:v>PASS</x:v>
      </x:c>
      <x:c r="K8" s="12" t="str">
        <x:v>PASS</x:v>
      </x:c>
      <x:c r="L8" s="12" t="str">
        <x:v>PASS</x:v>
      </x:c>
      <x:c r="M8" s="12" t="str">
        <x:v>NO</x:v>
      </x:c>
      <x:c r="N8" s="12" t="str">
        <x:v>PASS</x:v>
      </x:c>
      <x:c r="O8" s="12" t="str">
        <x:v>FACTUAL</x:v>
      </x:c>
      <x:c r="P8" s="12" t="str">
        <x:v>PASS</x:v>
      </x:c>
      <x:c r="Q8" s="12" t="str">
        <x:v>Checked for Netflix/NFLX identity, exact earnings event, displayed publication date, timing window and source-origin restriction.</x:v>
      </x:c>
    </x:row>
    <x:row r="9">
      <x:c r="A9" s="12" t="str">
        <x:v>2016-10-17</x:v>
      </x:c>
      <x:c r="B9" s="12" t="str">
        <x:v>NFLX</x:v>
      </x:c>
      <x:c r="C9" s="12" t="str">
        <x:v>release</x:v>
      </x:c>
      <x:c r="D9" s="12" t="str">
        <x:v>2016-10-17</x:v>
      </x:c>
      <x:c r="E9" s="12" t="n">
        <x:v>0</x:v>
      </x:c>
      <x:c r="F9" s="12" t="str">
        <x:v>Netflix IR</x:v>
      </x:c>
      <x:c r="G9" s="12" t="str">
        <x:v>Netflix Third Quarter 2016 Earnings Interview</x:v>
      </x:c>
      <x:c r="H9" s="12" t="str">
        <x:v>https://ir.netflix.net/investor-news-and-events/investor-events/event-details/2016/Netflix-Third-Quarter-2016-Earnings-Interview/default.aspx</x:v>
      </x:c>
      <x:c r="I9" s="12" t="str">
        <x:v>OPENED_OK</x:v>
      </x:c>
      <x:c r="J9" s="12" t="str">
        <x:v>PASS</x:v>
      </x:c>
      <x:c r="K9" s="12" t="str">
        <x:v>PASS</x:v>
      </x:c>
      <x:c r="L9" s="12" t="str">
        <x:v>PASS</x:v>
      </x:c>
      <x:c r="M9" s="12" t="str">
        <x:v>NO</x:v>
      </x:c>
      <x:c r="N9" s="12" t="str">
        <x:v>PASS</x:v>
      </x:c>
      <x:c r="O9" s="12" t="str">
        <x:v>FACTUAL</x:v>
      </x:c>
      <x:c r="P9" s="12" t="str">
        <x:v>PASS</x:v>
      </x:c>
      <x:c r="Q9" s="12" t="str">
        <x:v>Checked for Netflix/NFLX identity, exact earnings event, displayed publication date, timing window and source-origin restriction.</x:v>
      </x:c>
    </x:row>
    <x:row r="10">
      <x:c r="A10" s="12" t="str">
        <x:v>2016-10-17</x:v>
      </x:c>
      <x:c r="B10" s="12" t="str">
        <x:v>NFLX</x:v>
      </x:c>
      <x:c r="C10" s="12" t="str">
        <x:v>reaction</x:v>
      </x:c>
      <x:c r="D10" s="12" t="str">
        <x:v>2016-10-17</x:v>
      </x:c>
      <x:c r="E10" s="12" t="n">
        <x:v>0</x:v>
      </x:c>
      <x:c r="F10" s="12" t="str">
        <x:v>TechCrunch</x:v>
      </x:c>
      <x:c r="G10" s="12" t="str">
        <x:v>Netflix adds 3.57M new subscribers, including 3.2M international, beating Wall Street expectations</x:v>
      </x:c>
      <x:c r="H10" s="12" t="str">
        <x:v>https://techcrunch.com/2016/10/17/netflix-shakes-off-weak-subscriber-growth-and-its-stock-is-skyrocketing/</x:v>
      </x:c>
      <x:c r="I10" s="12" t="str">
        <x:v>OPENED_OK</x:v>
      </x:c>
      <x:c r="J10" s="12" t="str">
        <x:v>PASS</x:v>
      </x:c>
      <x:c r="K10" s="12" t="str">
        <x:v>PASS</x:v>
      </x:c>
      <x:c r="L10" s="12" t="str">
        <x:v>PASS</x:v>
      </x:c>
      <x:c r="M10" s="12" t="str">
        <x:v>NO</x:v>
      </x:c>
      <x:c r="N10" s="12" t="str">
        <x:v>PASS</x:v>
      </x:c>
      <x:c r="O10" s="12" t="str">
        <x:v>EXPLICIT</x:v>
      </x:c>
      <x:c r="P10" s="12" t="str">
        <x:v>PASS</x:v>
      </x:c>
      <x:c r="Q10" s="12" t="str">
        <x:v>Checked for Netflix/NFLX identity, exact earnings event, displayed publication date, timing window and source-origin restriction.</x:v>
      </x:c>
    </x:row>
    <x:row r="11">
      <x:c r="A11" s="12" t="str">
        <x:v>2017-01-18</x:v>
      </x:c>
      <x:c r="B11" s="12" t="str">
        <x:v>NFLX</x:v>
      </x:c>
      <x:c r="C11" s="12" t="str">
        <x:v>prior</x:v>
      </x:c>
      <x:c r="D11" s="12" t="str">
        <x:v>2016-10-17</x:v>
      </x:c>
      <x:c r="E11" s="12" t="n">
        <x:v>-93</x:v>
      </x:c>
      <x:c r="F11" s="12" t="str">
        <x:v>Netflix IR</x:v>
      </x:c>
      <x:c r="G11" s="12" t="str">
        <x:v>Netflix Third Quarter 2016 Earnings Interview</x:v>
      </x:c>
      <x:c r="H11" s="12" t="str">
        <x:v>https://ir.netflix.net/investor-news-and-events/investor-events/event-details/2016/Netflix-Third-Quarter-2016-Earnings-Interview/default.aspx</x:v>
      </x:c>
      <x:c r="I11" s="12" t="str">
        <x:v>OPENED_OK</x:v>
      </x:c>
      <x:c r="J11" s="12" t="str">
        <x:v>PASS</x:v>
      </x:c>
      <x:c r="K11" s="12" t="str">
        <x:v>PASS</x:v>
      </x:c>
      <x:c r="L11" s="12" t="str">
        <x:v>PASS</x:v>
      </x:c>
      <x:c r="M11" s="12" t="str">
        <x:v>NO</x:v>
      </x:c>
      <x:c r="N11" s="12" t="str">
        <x:v>PASS</x:v>
      </x:c>
      <x:c r="O11" s="12" t="str">
        <x:v>FACTUAL</x:v>
      </x:c>
      <x:c r="P11" s="12" t="str">
        <x:v>PASS</x:v>
      </x:c>
      <x:c r="Q11" s="12" t="str">
        <x:v>Checked for Netflix/NFLX identity, exact earnings event, displayed publication date, timing window and source-origin restriction.</x:v>
      </x:c>
    </x:row>
    <x:row r="12">
      <x:c r="A12" s="12" t="str">
        <x:v>2017-01-18</x:v>
      </x:c>
      <x:c r="B12" s="12" t="str">
        <x:v>NFLX</x:v>
      </x:c>
      <x:c r="C12" s="12" t="str">
        <x:v>release</x:v>
      </x:c>
      <x:c r="D12" s="12" t="str">
        <x:v>2017-01-18</x:v>
      </x:c>
      <x:c r="E12" s="12" t="n">
        <x:v>0</x:v>
      </x:c>
      <x:c r="F12" s="12" t="str">
        <x:v>Netflix IR</x:v>
      </x:c>
      <x:c r="G12" s="12" t="str">
        <x:v>Netflix Fourth Quarter 2016 Earnings Interview</x:v>
      </x:c>
      <x:c r="H12" s="12" t="str">
        <x:v>https://ir.netflix.net/investor-news-and-events/investor-events/event-details/2017/Netflix-Fourth-Quarter-2016-Earnings-Interview/default.aspx</x:v>
      </x:c>
      <x:c r="I12" s="12" t="str">
        <x:v>OPENED_OK</x:v>
      </x:c>
      <x:c r="J12" s="12" t="str">
        <x:v>PASS</x:v>
      </x:c>
      <x:c r="K12" s="12" t="str">
        <x:v>PASS</x:v>
      </x:c>
      <x:c r="L12" s="12" t="str">
        <x:v>PASS</x:v>
      </x:c>
      <x:c r="M12" s="12" t="str">
        <x:v>NO</x:v>
      </x:c>
      <x:c r="N12" s="12" t="str">
        <x:v>PASS</x:v>
      </x:c>
      <x:c r="O12" s="12" t="str">
        <x:v>FACTUAL</x:v>
      </x:c>
      <x:c r="P12" s="12" t="str">
        <x:v>PASS</x:v>
      </x:c>
      <x:c r="Q12" s="12" t="str">
        <x:v>Checked for Netflix/NFLX identity, exact earnings event, displayed publication date, timing window and source-origin restriction.</x:v>
      </x:c>
    </x:row>
    <x:row r="13">
      <x:c r="A13" s="12" t="str">
        <x:v>2017-01-18</x:v>
      </x:c>
      <x:c r="B13" s="12" t="str">
        <x:v>NFLX</x:v>
      </x:c>
      <x:c r="C13" s="12" t="str">
        <x:v>reaction</x:v>
      </x:c>
      <x:c r="D13" s="12" t="str">
        <x:v>2017-01-18</x:v>
      </x:c>
      <x:c r="E13" s="12" t="n">
        <x:v>0</x:v>
      </x:c>
      <x:c r="F13" s="12" t="str">
        <x:v>TechCrunch</x:v>
      </x:c>
      <x:c r="G13" s="12" t="str">
        <x:v>Netflix’s international growth is exploding as it looks beyond the U.S.</x:v>
      </x:c>
      <x:c r="H13" s="12" t="str">
        <x:v>https://techcrunch.com/2017/01/18/netflix-blows-out-the-fourth-quarter-after-setting-itself-up-for-a-huge-end-of-the-year/</x:v>
      </x:c>
      <x:c r="I13" s="12" t="str">
        <x:v>OPENED_OK</x:v>
      </x:c>
      <x:c r="J13" s="12" t="str">
        <x:v>PASS</x:v>
      </x:c>
      <x:c r="K13" s="12" t="str">
        <x:v>PASS</x:v>
      </x:c>
      <x:c r="L13" s="12" t="str">
        <x:v>PASS</x:v>
      </x:c>
      <x:c r="M13" s="12" t="str">
        <x:v>NO</x:v>
      </x:c>
      <x:c r="N13" s="12" t="str">
        <x:v>PASS</x:v>
      </x:c>
      <x:c r="O13" s="12" t="str">
        <x:v>EXPLICIT</x:v>
      </x:c>
      <x:c r="P13" s="12" t="str">
        <x:v>PASS</x:v>
      </x:c>
      <x:c r="Q13" s="12" t="str">
        <x:v>Checked for Netflix/NFLX identity, exact earnings event, displayed publication date, timing window and source-origin restriction.</x:v>
      </x:c>
    </x:row>
    <x:row r="14">
      <x:c r="A14" s="12" t="str">
        <x:v>2017-04-17</x:v>
      </x:c>
      <x:c r="B14" s="12" t="str">
        <x:v>NFLX</x:v>
      </x:c>
      <x:c r="C14" s="12" t="str">
        <x:v>prior</x:v>
      </x:c>
      <x:c r="D14" s="12" t="str">
        <x:v>2017-01-18</x:v>
      </x:c>
      <x:c r="E14" s="12" t="n">
        <x:v>-89</x:v>
      </x:c>
      <x:c r="F14" s="12" t="str">
        <x:v>Netflix IR</x:v>
      </x:c>
      <x:c r="G14" s="12" t="str">
        <x:v>Netflix Fourth Quarter 2016 Earnings Interview</x:v>
      </x:c>
      <x:c r="H14" s="12" t="str">
        <x:v>https://ir.netflix.net/investor-news-and-events/investor-events/event-details/2017/Netflix-Fourth-Quarter-2016-Earnings-Interview/default.aspx</x:v>
      </x:c>
      <x:c r="I14" s="12" t="str">
        <x:v>OPENED_OK</x:v>
      </x:c>
      <x:c r="J14" s="12" t="str">
        <x:v>PASS</x:v>
      </x:c>
      <x:c r="K14" s="12" t="str">
        <x:v>PASS</x:v>
      </x:c>
      <x:c r="L14" s="12" t="str">
        <x:v>PASS</x:v>
      </x:c>
      <x:c r="M14" s="12" t="str">
        <x:v>NO</x:v>
      </x:c>
      <x:c r="N14" s="12" t="str">
        <x:v>PASS</x:v>
      </x:c>
      <x:c r="O14" s="12" t="str">
        <x:v>FACTUAL</x:v>
      </x:c>
      <x:c r="P14" s="12" t="str">
        <x:v>PASS</x:v>
      </x:c>
      <x:c r="Q14" s="12" t="str">
        <x:v>Checked for Netflix/NFLX identity, exact earnings event, displayed publication date, timing window and source-origin restriction.</x:v>
      </x:c>
    </x:row>
    <x:row r="15">
      <x:c r="A15" s="12" t="str">
        <x:v>2017-04-17</x:v>
      </x:c>
      <x:c r="B15" s="12" t="str">
        <x:v>NFLX</x:v>
      </x:c>
      <x:c r="C15" s="12" t="str">
        <x:v>release</x:v>
      </x:c>
      <x:c r="D15" s="12" t="str">
        <x:v>2017-04-17</x:v>
      </x:c>
      <x:c r="E15" s="12" t="n">
        <x:v>0</x:v>
      </x:c>
      <x:c r="F15" s="12" t="str">
        <x:v>Netflix IR</x:v>
      </x:c>
      <x:c r="G15" s="12" t="str">
        <x:v>Netflix First Quarter 2017 Earnings Interview</x:v>
      </x:c>
      <x:c r="H15" s="12" t="str">
        <x:v>https://ir.netflix.net/investor-news-and-events/investor-events/event-details/2017/Netflix-First-Quarter-2017-Earnings-Interview/default.aspx</x:v>
      </x:c>
      <x:c r="I15" s="12" t="str">
        <x:v>OPENED_OK</x:v>
      </x:c>
      <x:c r="J15" s="12" t="str">
        <x:v>PASS</x:v>
      </x:c>
      <x:c r="K15" s="12" t="str">
        <x:v>PASS</x:v>
      </x:c>
      <x:c r="L15" s="12" t="str">
        <x:v>PASS</x:v>
      </x:c>
      <x:c r="M15" s="12" t="str">
        <x:v>NO</x:v>
      </x:c>
      <x:c r="N15" s="12" t="str">
        <x:v>PASS</x:v>
      </x:c>
      <x:c r="O15" s="12" t="str">
        <x:v>FACTUAL</x:v>
      </x:c>
      <x:c r="P15" s="12" t="str">
        <x:v>PASS</x:v>
      </x:c>
      <x:c r="Q15" s="12" t="str">
        <x:v>Checked for Netflix/NFLX identity, exact earnings event, displayed publication date, timing window and source-origin restriction.</x:v>
      </x:c>
    </x:row>
    <x:row r="16">
      <x:c r="A16" s="12" t="str">
        <x:v>2017-04-17</x:v>
      </x:c>
      <x:c r="B16" s="12" t="str">
        <x:v>NFLX</x:v>
      </x:c>
      <x:c r="C16" s="12" t="str">
        <x:v>reaction</x:v>
      </x:c>
      <x:c r="D16" s="12" t="str">
        <x:v>2017-04-18</x:v>
      </x:c>
      <x:c r="E16" s="12" t="n">
        <x:v>1</x:v>
      </x:c>
      <x:c r="F16" s="12" t="str">
        <x:v>TheStreet</x:v>
      </x:c>
      <x:c r="G16" s="12" t="str">
        <x:v>Netflix Shares Fall on Weak Subscriber Growth: What Wall Street's Saying</x:v>
      </x:c>
      <x:c r="H16" s="12" t="str">
        <x:v>https://www.thestreet.com/investing/stocks/netflix-shares-fall-on-weak-subscriber-growth-what-wall-street-s-saying-14090657</x:v>
      </x:c>
      <x:c r="I16" s="12" t="str">
        <x:v>OPENED_OK</x:v>
      </x:c>
      <x:c r="J16" s="12" t="str">
        <x:v>PASS</x:v>
      </x:c>
      <x:c r="K16" s="12" t="str">
        <x:v>PASS</x:v>
      </x:c>
      <x:c r="L16" s="12" t="str">
        <x:v>PASS</x:v>
      </x:c>
      <x:c r="M16" s="12" t="str">
        <x:v>NO</x:v>
      </x:c>
      <x:c r="N16" s="12" t="str">
        <x:v>PASS</x:v>
      </x:c>
      <x:c r="O16" s="12" t="str">
        <x:v>EXPLICIT</x:v>
      </x:c>
      <x:c r="P16" s="12" t="str">
        <x:v>PASS</x:v>
      </x:c>
      <x:c r="Q16" s="12" t="str">
        <x:v>Checked for Netflix/NFLX identity, exact earnings event, displayed publication date, timing window and source-origin restriction.</x:v>
      </x:c>
    </x:row>
    <x:row r="17">
      <x:c r="A17" s="12" t="str">
        <x:v>2017-07-17</x:v>
      </x:c>
      <x:c r="B17" s="12" t="str">
        <x:v>NFLX</x:v>
      </x:c>
      <x:c r="C17" s="12" t="str">
        <x:v>prior</x:v>
      </x:c>
      <x:c r="D17" s="12" t="str">
        <x:v>2017-04-17</x:v>
      </x:c>
      <x:c r="E17" s="12" t="n">
        <x:v>-91</x:v>
      </x:c>
      <x:c r="F17" s="12" t="str">
        <x:v>Netflix IR</x:v>
      </x:c>
      <x:c r="G17" s="12" t="str">
        <x:v>Netflix First Quarter 2017 Earnings Interview</x:v>
      </x:c>
      <x:c r="H17" s="12" t="str">
        <x:v>https://ir.netflix.net/investor-news-and-events/investor-events/event-details/2017/Netflix-First-Quarter-2017-Earnings-Interview/default.aspx</x:v>
      </x:c>
      <x:c r="I17" s="12" t="str">
        <x:v>OPENED_OK</x:v>
      </x:c>
      <x:c r="J17" s="12" t="str">
        <x:v>PASS</x:v>
      </x:c>
      <x:c r="K17" s="12" t="str">
        <x:v>PASS</x:v>
      </x:c>
      <x:c r="L17" s="12" t="str">
        <x:v>PASS</x:v>
      </x:c>
      <x:c r="M17" s="12" t="str">
        <x:v>NO</x:v>
      </x:c>
      <x:c r="N17" s="12" t="str">
        <x:v>PASS</x:v>
      </x:c>
      <x:c r="O17" s="12" t="str">
        <x:v>FACTUAL</x:v>
      </x:c>
      <x:c r="P17" s="12" t="str">
        <x:v>PASS</x:v>
      </x:c>
      <x:c r="Q17" s="12" t="str">
        <x:v>Checked for Netflix/NFLX identity, exact earnings event, displayed publication date, timing window and source-origin restriction.</x:v>
      </x:c>
    </x:row>
    <x:row r="18">
      <x:c r="A18" s="12" t="str">
        <x:v>2017-07-17</x:v>
      </x:c>
      <x:c r="B18" s="12" t="str">
        <x:v>NFLX</x:v>
      </x:c>
      <x:c r="C18" s="12" t="str">
        <x:v>release</x:v>
      </x:c>
      <x:c r="D18" s="12" t="str">
        <x:v>2017-07-17</x:v>
      </x:c>
      <x:c r="E18" s="12" t="n">
        <x:v>0</x:v>
      </x:c>
      <x:c r="F18" s="12" t="str">
        <x:v>Netflix IR</x:v>
      </x:c>
      <x:c r="G18" s="12" t="str">
        <x:v>Netflix Second Quarter 2017 Earnings Interview</x:v>
      </x:c>
      <x:c r="H18" s="12" t="str">
        <x:v>https://ir.netflix.net/investor-news-and-events/investor-events/event-details/2017/Netflix-Second-Quarter-2017-Earnings-Interview/default.aspx</x:v>
      </x:c>
      <x:c r="I18" s="12" t="str">
        <x:v>OPENED_OK</x:v>
      </x:c>
      <x:c r="J18" s="12" t="str">
        <x:v>PASS</x:v>
      </x:c>
      <x:c r="K18" s="12" t="str">
        <x:v>PASS</x:v>
      </x:c>
      <x:c r="L18" s="12" t="str">
        <x:v>PASS</x:v>
      </x:c>
      <x:c r="M18" s="12" t="str">
        <x:v>NO</x:v>
      </x:c>
      <x:c r="N18" s="12" t="str">
        <x:v>PASS</x:v>
      </x:c>
      <x:c r="O18" s="12" t="str">
        <x:v>FACTUAL</x:v>
      </x:c>
      <x:c r="P18" s="12" t="str">
        <x:v>PASS</x:v>
      </x:c>
      <x:c r="Q18" s="12" t="str">
        <x:v>Checked for Netflix/NFLX identity, exact earnings event, displayed publication date, timing window and source-origin restriction.</x:v>
      </x:c>
    </x:row>
    <x:row r="19">
      <x:c r="A19" s="12" t="str">
        <x:v>2017-07-17</x:v>
      </x:c>
      <x:c r="B19" s="12" t="str">
        <x:v>NFLX</x:v>
      </x:c>
      <x:c r="C19" s="12" t="str">
        <x:v>reaction</x:v>
      </x:c>
      <x:c r="D19" s="12" t="str">
        <x:v>2017-07-17</x:v>
      </x:c>
      <x:c r="E19" s="12" t="n">
        <x:v>0</x:v>
      </x:c>
      <x:c r="F19" s="12" t="str">
        <x:v>TechCrunch</x:v>
      </x:c>
      <x:c r="G19" s="12" t="str">
        <x:v>Netflix’s subscribers are surging as it blows away Wall Street’s expectations</x:v>
      </x:c>
      <x:c r="H19" s="12" t="str">
        <x:v>https://techcrunch.com/2017/07/17/netflixs-subscribers-are-surging-again-as-it-blows-away-wall-streets-expectations/</x:v>
      </x:c>
      <x:c r="I19" s="12" t="str">
        <x:v>OPENED_OK</x:v>
      </x:c>
      <x:c r="J19" s="12" t="str">
        <x:v>PASS</x:v>
      </x:c>
      <x:c r="K19" s="12" t="str">
        <x:v>PASS</x:v>
      </x:c>
      <x:c r="L19" s="12" t="str">
        <x:v>PASS</x:v>
      </x:c>
      <x:c r="M19" s="12" t="str">
        <x:v>NO</x:v>
      </x:c>
      <x:c r="N19" s="12" t="str">
        <x:v>PASS</x:v>
      </x:c>
      <x:c r="O19" s="12" t="str">
        <x:v>EXPLICIT</x:v>
      </x:c>
      <x:c r="P19" s="12" t="str">
        <x:v>PASS</x:v>
      </x:c>
      <x:c r="Q19" s="12" t="str">
        <x:v>Checked for Netflix/NFLX identity, exact earnings event, displayed publication date, timing window and source-origin restriction.</x:v>
      </x:c>
    </x:row>
    <x:row r="20">
      <x:c r="A20" s="12" t="str">
        <x:v>2017-10-16</x:v>
      </x:c>
      <x:c r="B20" s="12" t="str">
        <x:v>NFLX</x:v>
      </x:c>
      <x:c r="C20" s="12" t="str">
        <x:v>prior</x:v>
      </x:c>
      <x:c r="D20" s="12" t="str">
        <x:v>2017-07-17</x:v>
      </x:c>
      <x:c r="E20" s="12" t="n">
        <x:v>-91</x:v>
      </x:c>
      <x:c r="F20" s="12" t="str">
        <x:v>Netflix IR</x:v>
      </x:c>
      <x:c r="G20" s="12" t="str">
        <x:v>Netflix Second Quarter 2017 Earnings Interview</x:v>
      </x:c>
      <x:c r="H20" s="12" t="str">
        <x:v>https://ir.netflix.net/investor-news-and-events/investor-events/event-details/2017/Netflix-Second-Quarter-2017-Earnings-Interview/default.aspx</x:v>
      </x:c>
      <x:c r="I20" s="12" t="str">
        <x:v>OPENED_OK</x:v>
      </x:c>
      <x:c r="J20" s="12" t="str">
        <x:v>PASS</x:v>
      </x:c>
      <x:c r="K20" s="12" t="str">
        <x:v>PASS</x:v>
      </x:c>
      <x:c r="L20" s="12" t="str">
        <x:v>PASS</x:v>
      </x:c>
      <x:c r="M20" s="12" t="str">
        <x:v>NO</x:v>
      </x:c>
      <x:c r="N20" s="12" t="str">
        <x:v>PASS</x:v>
      </x:c>
      <x:c r="O20" s="12" t="str">
        <x:v>FACTUAL</x:v>
      </x:c>
      <x:c r="P20" s="12" t="str">
        <x:v>PASS</x:v>
      </x:c>
      <x:c r="Q20" s="12" t="str">
        <x:v>Checked for Netflix/NFLX identity, exact earnings event, displayed publication date, timing window and source-origin restriction.</x:v>
      </x:c>
    </x:row>
    <x:row r="21">
      <x:c r="A21" s="12" t="str">
        <x:v>2017-10-16</x:v>
      </x:c>
      <x:c r="B21" s="12" t="str">
        <x:v>NFLX</x:v>
      </x:c>
      <x:c r="C21" s="12" t="str">
        <x:v>release</x:v>
      </x:c>
      <x:c r="D21" s="12" t="str">
        <x:v>2017-10-16</x:v>
      </x:c>
      <x:c r="E21" s="12" t="n">
        <x:v>0</x:v>
      </x:c>
      <x:c r="F21" s="12" t="str">
        <x:v>Netflix IR</x:v>
      </x:c>
      <x:c r="G21" s="12" t="str">
        <x:v>Netflix Third Quarter 2017 Earnings Interview</x:v>
      </x:c>
      <x:c r="H21" s="12" t="str">
        <x:v>https://ir.netflix.net/investor-news-and-events/investor-events/event-details/2017/Netflix-Third-Quarter-2017-Earnings-Interview/default.aspx</x:v>
      </x:c>
      <x:c r="I21" s="12" t="str">
        <x:v>OPENED_OK</x:v>
      </x:c>
      <x:c r="J21" s="12" t="str">
        <x:v>PASS</x:v>
      </x:c>
      <x:c r="K21" s="12" t="str">
        <x:v>PASS</x:v>
      </x:c>
      <x:c r="L21" s="12" t="str">
        <x:v>PASS</x:v>
      </x:c>
      <x:c r="M21" s="12" t="str">
        <x:v>NO</x:v>
      </x:c>
      <x:c r="N21" s="12" t="str">
        <x:v>PASS</x:v>
      </x:c>
      <x:c r="O21" s="12" t="str">
        <x:v>FACTUAL</x:v>
      </x:c>
      <x:c r="P21" s="12" t="str">
        <x:v>PASS</x:v>
      </x:c>
      <x:c r="Q21" s="12" t="str">
        <x:v>Checked for Netflix/NFLX identity, exact earnings event, displayed publication date, timing window and source-origin restriction.</x:v>
      </x:c>
    </x:row>
    <x:row r="22">
      <x:c r="A22" s="12" t="str">
        <x:v>2017-10-16</x:v>
      </x:c>
      <x:c r="B22" s="12" t="str">
        <x:v>NFLX</x:v>
      </x:c>
      <x:c r="C22" s="12" t="str">
        <x:v>reaction</x:v>
      </x:c>
      <x:c r="D22" s="12" t="str">
        <x:v>2017-10-17</x:v>
      </x:c>
      <x:c r="E22" s="12" t="n">
        <x:v>1</x:v>
      </x:c>
      <x:c r="F22" s="12" t="str">
        <x:v>TheStreet</x:v>
      </x:c>
      <x:c r="G22" s="12" t="str">
        <x:v>How Netflix's Hot Stock Could Fall 50% to $93</x:v>
      </x:c>
      <x:c r="H22" s="12" t="str">
        <x:v>https://www.thestreet.com/investing/stocks/netflix-stock-could-fall-to-93-wedbush-analyst-14345196</x:v>
      </x:c>
      <x:c r="I22" s="12" t="str">
        <x:v>OPENED_OK</x:v>
      </x:c>
      <x:c r="J22" s="12" t="str">
        <x:v>PASS</x:v>
      </x:c>
      <x:c r="K22" s="12" t="str">
        <x:v>PASS</x:v>
      </x:c>
      <x:c r="L22" s="12" t="str">
        <x:v>PASS</x:v>
      </x:c>
      <x:c r="M22" s="12" t="str">
        <x:v>NO</x:v>
      </x:c>
      <x:c r="N22" s="12" t="str">
        <x:v>PASS</x:v>
      </x:c>
      <x:c r="O22" s="12" t="str">
        <x:v>SUPPORTED_INFERENCE</x:v>
      </x:c>
      <x:c r="P22" s="12" t="str">
        <x:v>PASS</x:v>
      </x:c>
      <x:c r="Q22" s="12" t="str">
        <x:v>Checked for Netflix/NFLX identity, exact earnings event, displayed publication date, timing window and source-origin restriction.</x:v>
      </x:c>
    </x:row>
    <x:row r="23">
      <x:c r="A23" s="12" t="str">
        <x:v>2018-01-22</x:v>
      </x:c>
      <x:c r="B23" s="12" t="str">
        <x:v>NFLX</x:v>
      </x:c>
      <x:c r="C23" s="12" t="str">
        <x:v>prior</x:v>
      </x:c>
      <x:c r="D23" s="12" t="str">
        <x:v>2017-10-16</x:v>
      </x:c>
      <x:c r="E23" s="12" t="n">
        <x:v>-98</x:v>
      </x:c>
      <x:c r="F23" s="12" t="str">
        <x:v>Netflix IR</x:v>
      </x:c>
      <x:c r="G23" s="12" t="str">
        <x:v>Netflix Third Quarter 2017 Earnings Interview</x:v>
      </x:c>
      <x:c r="H23" s="12" t="str">
        <x:v>https://ir.netflix.net/investor-news-and-events/investor-events/event-details/2017/Netflix-Third-Quarter-2017-Earnings-Interview/default.aspx</x:v>
      </x:c>
      <x:c r="I23" s="12" t="str">
        <x:v>OPENED_OK</x:v>
      </x:c>
      <x:c r="J23" s="12" t="str">
        <x:v>PASS</x:v>
      </x:c>
      <x:c r="K23" s="12" t="str">
        <x:v>PASS</x:v>
      </x:c>
      <x:c r="L23" s="12" t="str">
        <x:v>PASS</x:v>
      </x:c>
      <x:c r="M23" s="12" t="str">
        <x:v>NO</x:v>
      </x:c>
      <x:c r="N23" s="12" t="str">
        <x:v>PASS</x:v>
      </x:c>
      <x:c r="O23" s="12" t="str">
        <x:v>FACTUAL</x:v>
      </x:c>
      <x:c r="P23" s="12" t="str">
        <x:v>PASS</x:v>
      </x:c>
      <x:c r="Q23" s="12" t="str">
        <x:v>Checked for Netflix/NFLX identity, exact earnings event, displayed publication date, timing window and source-origin restriction.</x:v>
      </x:c>
    </x:row>
    <x:row r="24">
      <x:c r="A24" s="12" t="str">
        <x:v>2018-01-22</x:v>
      </x:c>
      <x:c r="B24" s="12" t="str">
        <x:v>NFLX</x:v>
      </x:c>
      <x:c r="C24" s="12" t="str">
        <x:v>release</x:v>
      </x:c>
      <x:c r="D24" s="12" t="str">
        <x:v>2018-01-22</x:v>
      </x:c>
      <x:c r="E24" s="12" t="n">
        <x:v>0</x:v>
      </x:c>
      <x:c r="F24" s="12" t="str">
        <x:v>Netflix IR</x:v>
      </x:c>
      <x:c r="G24" s="12" t="str">
        <x:v>Netflix Fourth Quarter 2017 Earnings Interview</x:v>
      </x:c>
      <x:c r="H24" s="12" t="str">
        <x:v>https://ir.netflix.net/investor-news-and-events/investor-events/event-details/2018/Netflix-Fourth-Quarter-2017-Earnings-Interview/default.aspx</x:v>
      </x:c>
      <x:c r="I24" s="12" t="str">
        <x:v>OPENED_OK</x:v>
      </x:c>
      <x:c r="J24" s="12" t="str">
        <x:v>PASS</x:v>
      </x:c>
      <x:c r="K24" s="12" t="str">
        <x:v>PASS</x:v>
      </x:c>
      <x:c r="L24" s="12" t="str">
        <x:v>PASS</x:v>
      </x:c>
      <x:c r="M24" s="12" t="str">
        <x:v>NO</x:v>
      </x:c>
      <x:c r="N24" s="12" t="str">
        <x:v>PASS</x:v>
      </x:c>
      <x:c r="O24" s="12" t="str">
        <x:v>FACTUAL</x:v>
      </x:c>
      <x:c r="P24" s="12" t="str">
        <x:v>PASS</x:v>
      </x:c>
      <x:c r="Q24" s="12" t="str">
        <x:v>Checked for Netflix/NFLX identity, exact earnings event, displayed publication date, timing window and source-origin restriction.</x:v>
      </x:c>
    </x:row>
    <x:row r="25">
      <x:c r="A25" s="12" t="str">
        <x:v>2018-01-22</x:v>
      </x:c>
      <x:c r="B25" s="12" t="str">
        <x:v>NFLX</x:v>
      </x:c>
      <x:c r="C25" s="12" t="str">
        <x:v>reaction</x:v>
      </x:c>
      <x:c r="D25" s="12" t="str">
        <x:v>2018-01-23</x:v>
      </x:c>
      <x:c r="E25" s="12" t="n">
        <x:v>1</x:v>
      </x:c>
      <x:c r="F25" s="12" t="str">
        <x:v>The Motley Fool</x:v>
      </x:c>
      <x:c r="G25" s="12" t="str">
        <x:v>Why Netflix, Inc. Stock Jumped 13% This Morning</x:v>
      </x:c>
      <x:c r="H25" s="12" t="str">
        <x:v>https://www.fool.com/investing/2018/01/23/why-netflix-inc-stock-jumped-13-this-morning.aspx</x:v>
      </x:c>
      <x:c r="I25" s="12" t="str">
        <x:v>OPENED_OK</x:v>
      </x:c>
      <x:c r="J25" s="12" t="str">
        <x:v>PASS</x:v>
      </x:c>
      <x:c r="K25" s="12" t="str">
        <x:v>PASS</x:v>
      </x:c>
      <x:c r="L25" s="12" t="str">
        <x:v>PASS</x:v>
      </x:c>
      <x:c r="M25" s="12" t="str">
        <x:v>NO</x:v>
      </x:c>
      <x:c r="N25" s="12" t="str">
        <x:v>PASS</x:v>
      </x:c>
      <x:c r="O25" s="12" t="str">
        <x:v>EXPLICIT</x:v>
      </x:c>
      <x:c r="P25" s="12" t="str">
        <x:v>PASS</x:v>
      </x:c>
      <x:c r="Q25" s="12" t="str">
        <x:v>Checked for Netflix/NFLX identity, exact earnings event, displayed publication date, timing window and source-origin restriction.</x:v>
      </x:c>
    </x:row>
    <x:row r="26">
      <x:c r="A26" s="12" t="str">
        <x:v>2018-04-16</x:v>
      </x:c>
      <x:c r="B26" s="12" t="str">
        <x:v>NFLX</x:v>
      </x:c>
      <x:c r="C26" s="12" t="str">
        <x:v>prior</x:v>
      </x:c>
      <x:c r="D26" s="12" t="str">
        <x:v>2018-01-22</x:v>
      </x:c>
      <x:c r="E26" s="12" t="n">
        <x:v>-84</x:v>
      </x:c>
      <x:c r="F26" s="12" t="str">
        <x:v>Netflix IR</x:v>
      </x:c>
      <x:c r="G26" s="12" t="str">
        <x:v>Netflix Fourth Quarter 2017 Earnings Interview</x:v>
      </x:c>
      <x:c r="H26" s="12" t="str">
        <x:v>https://ir.netflix.net/investor-news-and-events/investor-events/event-details/2018/Netflix-Fourth-Quarter-2017-Earnings-Interview/default.aspx</x:v>
      </x:c>
      <x:c r="I26" s="12" t="str">
        <x:v>OPENED_OK</x:v>
      </x:c>
      <x:c r="J26" s="12" t="str">
        <x:v>PASS</x:v>
      </x:c>
      <x:c r="K26" s="12" t="str">
        <x:v>PASS</x:v>
      </x:c>
      <x:c r="L26" s="12" t="str">
        <x:v>PASS</x:v>
      </x:c>
      <x:c r="M26" s="12" t="str">
        <x:v>NO</x:v>
      </x:c>
      <x:c r="N26" s="12" t="str">
        <x:v>PASS</x:v>
      </x:c>
      <x:c r="O26" s="12" t="str">
        <x:v>FACTUAL</x:v>
      </x:c>
      <x:c r="P26" s="12" t="str">
        <x:v>PASS</x:v>
      </x:c>
      <x:c r="Q26" s="12" t="str">
        <x:v>Checked for Netflix/NFLX identity, exact earnings event, displayed publication date, timing window and source-origin restriction.</x:v>
      </x:c>
    </x:row>
    <x:row r="27">
      <x:c r="A27" s="12" t="str">
        <x:v>2018-04-16</x:v>
      </x:c>
      <x:c r="B27" s="12" t="str">
        <x:v>NFLX</x:v>
      </x:c>
      <x:c r="C27" s="12" t="str">
        <x:v>release</x:v>
      </x:c>
      <x:c r="D27" s="12" t="str">
        <x:v>2018-04-16</x:v>
      </x:c>
      <x:c r="E27" s="12" t="n">
        <x:v>0</x:v>
      </x:c>
      <x:c r="F27" s="12" t="str">
        <x:v>Netflix IR</x:v>
      </x:c>
      <x:c r="G27" s="12" t="str">
        <x:v>Netflix First Quarter 2018 Earnings Interview</x:v>
      </x:c>
      <x:c r="H27" s="12" t="str">
        <x:v>https://ir.netflix.net/investor-news-and-events/investor-events/event-details/2018/Netflix-First-Quarter-2018-Earnings-Interview/default.aspx</x:v>
      </x:c>
      <x:c r="I27" s="12" t="str">
        <x:v>OPENED_OK</x:v>
      </x:c>
      <x:c r="J27" s="12" t="str">
        <x:v>PASS</x:v>
      </x:c>
      <x:c r="K27" s="12" t="str">
        <x:v>PASS</x:v>
      </x:c>
      <x:c r="L27" s="12" t="str">
        <x:v>PASS</x:v>
      </x:c>
      <x:c r="M27" s="12" t="str">
        <x:v>NO</x:v>
      </x:c>
      <x:c r="N27" s="12" t="str">
        <x:v>PASS</x:v>
      </x:c>
      <x:c r="O27" s="12" t="str">
        <x:v>FACTUAL</x:v>
      </x:c>
      <x:c r="P27" s="12" t="str">
        <x:v>PASS</x:v>
      </x:c>
      <x:c r="Q27" s="12" t="str">
        <x:v>Checked for Netflix/NFLX identity, exact earnings event, displayed publication date, timing window and source-origin restriction.</x:v>
      </x:c>
    </x:row>
    <x:row r="28">
      <x:c r="A28" s="12" t="str">
        <x:v>2018-04-16</x:v>
      </x:c>
      <x:c r="B28" s="12" t="str">
        <x:v>NFLX</x:v>
      </x:c>
      <x:c r="C28" s="12" t="str">
        <x:v>reaction</x:v>
      </x:c>
      <x:c r="D28" s="12" t="str">
        <x:v>2018-04-17</x:v>
      </x:c>
      <x:c r="E28" s="12" t="n">
        <x:v>1</x:v>
      </x:c>
      <x:c r="F28" s="12" t="str">
        <x:v>TheWrap</x:v>
      </x:c>
      <x:c r="G28" s="12" t="str">
        <x:v>Netflix Shares Jump 8 Percent to All-Time High on Subscriber Surge</x:v>
      </x:c>
      <x:c r="H28" s="12" t="str">
        <x:v>https://www.thewrap.com/netflix-shares-race-8-percent-to-all-time-high-behind-strong-subscriber-growth/</x:v>
      </x:c>
      <x:c r="I28" s="12" t="str">
        <x:v>OPENED_OK</x:v>
      </x:c>
      <x:c r="J28" s="12" t="str">
        <x:v>PASS</x:v>
      </x:c>
      <x:c r="K28" s="12" t="str">
        <x:v>PASS</x:v>
      </x:c>
      <x:c r="L28" s="12" t="str">
        <x:v>PASS</x:v>
      </x:c>
      <x:c r="M28" s="12" t="str">
        <x:v>NO</x:v>
      </x:c>
      <x:c r="N28" s="12" t="str">
        <x:v>PASS</x:v>
      </x:c>
      <x:c r="O28" s="12" t="str">
        <x:v>EXPLICIT</x:v>
      </x:c>
      <x:c r="P28" s="12" t="str">
        <x:v>PASS</x:v>
      </x:c>
      <x:c r="Q28" s="12" t="str">
        <x:v>Checked for Netflix/NFLX identity, exact earnings event, displayed publication date, timing window and source-origin restriction.</x:v>
      </x:c>
    </x:row>
    <x:row r="29">
      <x:c r="A29" s="12" t="str">
        <x:v>2018-07-16</x:v>
      </x:c>
      <x:c r="B29" s="12" t="str">
        <x:v>NFLX</x:v>
      </x:c>
      <x:c r="C29" s="12" t="str">
        <x:v>prior</x:v>
      </x:c>
      <x:c r="D29" s="12" t="str">
        <x:v>2018-04-16</x:v>
      </x:c>
      <x:c r="E29" s="12" t="n">
        <x:v>-91</x:v>
      </x:c>
      <x:c r="F29" s="12" t="str">
        <x:v>Netflix IR</x:v>
      </x:c>
      <x:c r="G29" s="12" t="str">
        <x:v>Netflix First Quarter 2018 Earnings Interview</x:v>
      </x:c>
      <x:c r="H29" s="12" t="str">
        <x:v>https://ir.netflix.net/investor-news-and-events/investor-events/event-details/2018/Netflix-First-Quarter-2018-Earnings-Interview/default.aspx</x:v>
      </x:c>
      <x:c r="I29" s="12" t="str">
        <x:v>OPENED_OK</x:v>
      </x:c>
      <x:c r="J29" s="12" t="str">
        <x:v>PASS</x:v>
      </x:c>
      <x:c r="K29" s="12" t="str">
        <x:v>PASS</x:v>
      </x:c>
      <x:c r="L29" s="12" t="str">
        <x:v>PASS</x:v>
      </x:c>
      <x:c r="M29" s="12" t="str">
        <x:v>NO</x:v>
      </x:c>
      <x:c r="N29" s="12" t="str">
        <x:v>PASS</x:v>
      </x:c>
      <x:c r="O29" s="12" t="str">
        <x:v>FACTUAL</x:v>
      </x:c>
      <x:c r="P29" s="12" t="str">
        <x:v>PASS</x:v>
      </x:c>
      <x:c r="Q29" s="12" t="str">
        <x:v>Checked for Netflix/NFLX identity, exact earnings event, displayed publication date, timing window and source-origin restriction.</x:v>
      </x:c>
    </x:row>
    <x:row r="30">
      <x:c r="A30" s="12" t="str">
        <x:v>2018-07-16</x:v>
      </x:c>
      <x:c r="B30" s="12" t="str">
        <x:v>NFLX</x:v>
      </x:c>
      <x:c r="C30" s="12" t="str">
        <x:v>release</x:v>
      </x:c>
      <x:c r="D30" s="12" t="str">
        <x:v>2018-07-16</x:v>
      </x:c>
      <x:c r="E30" s="12" t="n">
        <x:v>0</x:v>
      </x:c>
      <x:c r="F30" s="12" t="str">
        <x:v>Netflix IR</x:v>
      </x:c>
      <x:c r="G30" s="12" t="str">
        <x:v>Netflix Second Quarter 2018 Earnings Interview</x:v>
      </x:c>
      <x:c r="H30" s="12" t="str">
        <x:v>https://ir.netflix.net/investor-news-and-events/investor-events/event-details/2018/Netflix-Second-Quarter-2018-Earnings-Interview/default.aspx</x:v>
      </x:c>
      <x:c r="I30" s="12" t="str">
        <x:v>OPENED_OK</x:v>
      </x:c>
      <x:c r="J30" s="12" t="str">
        <x:v>PASS</x:v>
      </x:c>
      <x:c r="K30" s="12" t="str">
        <x:v>PASS</x:v>
      </x:c>
      <x:c r="L30" s="12" t="str">
        <x:v>PASS</x:v>
      </x:c>
      <x:c r="M30" s="12" t="str">
        <x:v>NO</x:v>
      </x:c>
      <x:c r="N30" s="12" t="str">
        <x:v>PASS</x:v>
      </x:c>
      <x:c r="O30" s="12" t="str">
        <x:v>FACTUAL</x:v>
      </x:c>
      <x:c r="P30" s="12" t="str">
        <x:v>PASS</x:v>
      </x:c>
      <x:c r="Q30" s="12" t="str">
        <x:v>Checked for Netflix/NFLX identity, exact earnings event, displayed publication date, timing window and source-origin restriction.</x:v>
      </x:c>
    </x:row>
    <x:row r="31">
      <x:c r="A31" s="12" t="str">
        <x:v>2018-07-16</x:v>
      </x:c>
      <x:c r="B31" s="12" t="str">
        <x:v>NFLX</x:v>
      </x:c>
      <x:c r="C31" s="12" t="str">
        <x:v>reaction</x:v>
      </x:c>
      <x:c r="D31" s="12" t="str">
        <x:v>2018-07-17</x:v>
      </x:c>
      <x:c r="E31" s="12" t="n">
        <x:v>1</x:v>
      </x:c>
      <x:c r="F31" s="12" t="str">
        <x:v>CBS News</x:v>
      </x:c>
      <x:c r="G31" s="12" t="str">
        <x:v>Netflix shares slip further amid growth concerns</x:v>
      </x:c>
      <x:c r="H31" s="12" t="str">
        <x:v>https://www.cbsnews.com/news/netflix-shares-slip-further-amid-growth-concerns/</x:v>
      </x:c>
      <x:c r="I31" s="12" t="str">
        <x:v>OPENED_OK</x:v>
      </x:c>
      <x:c r="J31" s="12" t="str">
        <x:v>PASS</x:v>
      </x:c>
      <x:c r="K31" s="12" t="str">
        <x:v>PASS</x:v>
      </x:c>
      <x:c r="L31" s="12" t="str">
        <x:v>PASS</x:v>
      </x:c>
      <x:c r="M31" s="12" t="str">
        <x:v>NO</x:v>
      </x:c>
      <x:c r="N31" s="12" t="str">
        <x:v>PASS</x:v>
      </x:c>
      <x:c r="O31" s="12" t="str">
        <x:v>EXPLICIT</x:v>
      </x:c>
      <x:c r="P31" s="12" t="str">
        <x:v>PASS</x:v>
      </x:c>
      <x:c r="Q31" s="12" t="str">
        <x:v>Checked for Netflix/NFLX identity, exact earnings event, displayed publication date, timing window and source-origin restriction.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2016-04-18</x:v>
      </x:c>
      <x:c r="B2" t="str">
        <x:v>NFLX</x:v>
      </x:c>
      <x:c r="C2" s="20" t="n">
        <x:v>-3.47</x:v>
      </x:c>
      <x:c r="D2" s="20" t="n">
        <x:v>-13.42</x:v>
      </x:c>
      <x:c r="E2" t="str">
        <x:v>ret_1daypost_pct</x:v>
      </x:c>
      <x:c r="F2" t="str">
        <x:f>IF(D2&gt;0.1,"UP",IF(D2&lt;-0.1,"DOWN","FLAT"))</x:f>
        <x:v>DOWN</x:v>
      </x:c>
      <x:c r="G2" t="str">
        <x:v>DOWN</x:v>
      </x:c>
      <x:c r="H2" t="str">
        <x:f>IF(F2=G2,"PASS","FAIL")</x:f>
        <x:v>PASS</x:v>
      </x:c>
      <x:c r="I2" t="n">
        <x:v>3</x:v>
      </x:c>
      <x:c r="J2" t="n">
        <x:f>COUNTIFS('Source Audit'!$A:$A,A2,'Source Audit'!$P:$P,"PASS")</x:f>
        <x:v>3</x:v>
      </x:c>
      <x:c r="K2" t="str">
        <x:f>IF(AND(H2="PASS",J2=I2),"PASS","FAIL")</x:f>
        <x:v>PASS</x:v>
      </x:c>
    </x:row>
    <x:row r="3">
      <x:c r="A3" t="str">
        <x:v>2016-07-18</x:v>
      </x:c>
      <x:c r="B3" t="str">
        <x:v>NFLX</x:v>
      </x:c>
      <x:c r="C3" s="20" t="n">
        <x:v>0.17</x:v>
      </x:c>
      <x:c r="D3" s="20" t="n">
        <x:v>-12.89</x:v>
      </x:c>
      <x:c r="E3" t="str">
        <x:v>ret_1daypost_pct</x:v>
      </x:c>
      <x:c r="F3" t="str">
        <x:f>IF(D3&gt;0.1,"UP",IF(D3&lt;-0.1,"DOWN","FLAT"))</x:f>
        <x:v>DOWN</x:v>
      </x:c>
      <x:c r="G3" t="str">
        <x:v>DOWN</x:v>
      </x:c>
      <x:c r="H3" t="str">
        <x:f>IF(F3=G3,"PASS","FAIL")</x:f>
        <x:v>PASS</x:v>
      </x:c>
      <x:c r="I3" t="n">
        <x:v>3</x:v>
      </x:c>
      <x:c r="J3" t="n">
        <x:f>COUNTIFS('Source Audit'!$A:$A,A3,'Source Audit'!$P:$P,"PASS")</x:f>
        <x:v>3</x:v>
      </x:c>
      <x:c r="K3" t="str">
        <x:f>IF(AND(H3="PASS",J3=I3),"PASS","FAIL")</x:f>
        <x:v>PASS</x:v>
      </x:c>
    </x:row>
    <x:row r="4">
      <x:c r="A4" t="str">
        <x:v>2016-10-17</x:v>
      </x:c>
      <x:c r="B4" t="str">
        <x:v>NFLX</x:v>
      </x:c>
      <x:c r="C4" s="20" t="n">
        <x:v>-1.39</x:v>
      </x:c>
      <x:c r="D4" s="20" t="n">
        <x:v>18.37</x:v>
      </x:c>
      <x:c r="E4" t="str">
        <x:v>ret_1daypost_pct</x:v>
      </x:c>
      <x:c r="F4" t="str">
        <x:f>IF(D4&gt;0.1,"UP",IF(D4&lt;-0.1,"DOWN","FLAT"))</x:f>
        <x:v>UP</x:v>
      </x:c>
      <x:c r="G4" t="str">
        <x:v>UP</x:v>
      </x:c>
      <x:c r="H4" t="str">
        <x:f>IF(F4=G4,"PASS","FAIL")</x:f>
        <x:v>PASS</x:v>
      </x:c>
      <x:c r="I4" t="n">
        <x:v>3</x:v>
      </x:c>
      <x:c r="J4" t="n">
        <x:f>COUNTIFS('Source Audit'!$A:$A,A4,'Source Audit'!$P:$P,"PASS")</x:f>
        <x:v>3</x:v>
      </x:c>
      <x:c r="K4" t="str">
        <x:f>IF(AND(H4="PASS",J4=I4),"PASS","FAIL")</x:f>
        <x:v>PASS</x:v>
      </x:c>
    </x:row>
    <x:row r="5">
      <x:c r="A5" t="str">
        <x:v>2017-01-18</x:v>
      </x:c>
      <x:c r="B5" t="str">
        <x:v>NFLX</x:v>
      </x:c>
      <x:c r="C5" s="20" t="n">
        <x:v>0.14</x:v>
      </x:c>
      <x:c r="D5" s="20" t="n">
        <x:v>4.25</x:v>
      </x:c>
      <x:c r="E5" t="str">
        <x:v>ret_1daypost_pct</x:v>
      </x:c>
      <x:c r="F5" t="str">
        <x:f>IF(D5&gt;0.1,"UP",IF(D5&lt;-0.1,"DOWN","FLAT"))</x:f>
        <x:v>UP</x:v>
      </x:c>
      <x:c r="G5" t="str">
        <x:v>UP</x:v>
      </x:c>
      <x:c r="H5" t="str">
        <x:f>IF(F5=G5,"PASS","FAIL")</x:f>
        <x:v>PASS</x:v>
      </x:c>
      <x:c r="I5" t="n">
        <x:v>3</x:v>
      </x:c>
      <x:c r="J5" t="n">
        <x:f>COUNTIFS('Source Audit'!$A:$A,A5,'Source Audit'!$P:$P,"PASS")</x:f>
        <x:v>3</x:v>
      </x:c>
      <x:c r="K5" t="str">
        <x:f>IF(AND(H5="PASS",J5=I5),"PASS","FAIL")</x:f>
        <x:v>PASS</x:v>
      </x:c>
    </x:row>
    <x:row r="6">
      <x:c r="A6" t="str">
        <x:v>2017-04-17</x:v>
      </x:c>
      <x:c r="B6" t="str">
        <x:v>NFLX</x:v>
      </x:c>
      <x:c r="C6" s="20" t="n">
        <x:v>2.16</x:v>
      </x:c>
      <x:c r="D6" s="20" t="n">
        <x:v>-2.39</x:v>
      </x:c>
      <x:c r="E6" t="str">
        <x:v>ret_1daypost_pct</x:v>
      </x:c>
      <x:c r="F6" t="str">
        <x:f>IF(D6&gt;0.1,"UP",IF(D6&lt;-0.1,"DOWN","FLAT"))</x:f>
        <x:v>DOWN</x:v>
      </x:c>
      <x:c r="G6" t="str">
        <x:v>DOWN</x:v>
      </x:c>
      <x:c r="H6" t="str">
        <x:f>IF(F6=G6,"PASS","FAIL")</x:f>
        <x:v>PASS</x:v>
      </x:c>
      <x:c r="I6" t="n">
        <x:v>3</x:v>
      </x:c>
      <x:c r="J6" t="n">
        <x:f>COUNTIFS('Source Audit'!$A:$A,A6,'Source Audit'!$P:$P,"PASS")</x:f>
        <x:v>3</x:v>
      </x:c>
      <x:c r="K6" t="str">
        <x:f>IF(AND(H6="PASS",J6=I6),"PASS","FAIL")</x:f>
        <x:v>PASS</x:v>
      </x:c>
    </x:row>
    <x:row r="7">
      <x:c r="A7" t="str">
        <x:v>2017-07-17</x:v>
      </x:c>
      <x:c r="B7" t="str">
        <x:v>NFLX</x:v>
      </x:c>
      <x:c r="C7" s="20" t="n">
        <x:v>0.36</x:v>
      </x:c>
      <x:c r="D7" s="20" t="n">
        <x:v>13.5</x:v>
      </x:c>
      <x:c r="E7" t="str">
        <x:v>ret_1daypost_pct</x:v>
      </x:c>
      <x:c r="F7" t="str">
        <x:f>IF(D7&gt;0.1,"UP",IF(D7&lt;-0.1,"DOWN","FLAT"))</x:f>
        <x:v>UP</x:v>
      </x:c>
      <x:c r="G7" t="str">
        <x:v>UP</x:v>
      </x:c>
      <x:c r="H7" t="str">
        <x:f>IF(F7=G7,"PASS","FAIL")</x:f>
        <x:v>PASS</x:v>
      </x:c>
      <x:c r="I7" t="n">
        <x:v>3</x:v>
      </x:c>
      <x:c r="J7" t="n">
        <x:f>COUNTIFS('Source Audit'!$A:$A,A7,'Source Audit'!$P:$P,"PASS")</x:f>
        <x:v>3</x:v>
      </x:c>
      <x:c r="K7" t="str">
        <x:f>IF(AND(H7="PASS",J7=I7),"PASS","FAIL")</x:f>
        <x:v>PASS</x:v>
      </x:c>
    </x:row>
    <x:row r="8">
      <x:c r="A8" t="str">
        <x:v>2017-10-16</x:v>
      </x:c>
      <x:c r="B8" t="str">
        <x:v>NFLX</x:v>
      </x:c>
      <x:c r="C8" s="20" t="n">
        <x:v>1.5</x:v>
      </x:c>
      <x:c r="D8" s="20" t="n">
        <x:v>-1.56</x:v>
      </x:c>
      <x:c r="E8" t="str">
        <x:v>ret_1daypost_pct</x:v>
      </x:c>
      <x:c r="F8" t="str">
        <x:f>IF(D8&gt;0.1,"UP",IF(D8&lt;-0.1,"DOWN","FLAT"))</x:f>
        <x:v>DOWN</x:v>
      </x:c>
      <x:c r="G8" t="str">
        <x:v>DOWN</x:v>
      </x:c>
      <x:c r="H8" t="str">
        <x:f>IF(F8=G8,"PASS","FAIL")</x:f>
        <x:v>PASS</x:v>
      </x:c>
      <x:c r="I8" t="n">
        <x:v>3</x:v>
      </x:c>
      <x:c r="J8" t="n">
        <x:f>COUNTIFS('Source Audit'!$A:$A,A8,'Source Audit'!$P:$P,"PASS")</x:f>
        <x:v>3</x:v>
      </x:c>
      <x:c r="K8" t="str">
        <x:f>IF(AND(H8="PASS",J8=I8),"PASS","FAIL")</x:f>
        <x:v>PASS</x:v>
      </x:c>
    </x:row>
    <x:row r="9">
      <x:c r="A9" t="str">
        <x:v>2018-01-22</x:v>
      </x:c>
      <x:c r="B9" t="str">
        <x:v>NFLX</x:v>
      </x:c>
      <x:c r="C9" s="20" t="n">
        <x:v>2.47</x:v>
      </x:c>
      <x:c r="D9" s="20" t="n">
        <x:v>9.72</x:v>
      </x:c>
      <x:c r="E9" t="str">
        <x:v>ret_1daypost_pct</x:v>
      </x:c>
      <x:c r="F9" t="str">
        <x:f>IF(D9&gt;0.1,"UP",IF(D9&lt;-0.1,"DOWN","FLAT"))</x:f>
        <x:v>UP</x:v>
      </x:c>
      <x:c r="G9" t="str">
        <x:v>UP</x:v>
      </x:c>
      <x:c r="H9" t="str">
        <x:f>IF(F9=G9,"PASS","FAIL")</x:f>
        <x:v>PASS</x:v>
      </x:c>
      <x:c r="I9" t="n">
        <x:v>3</x:v>
      </x:c>
      <x:c r="J9" t="n">
        <x:f>COUNTIFS('Source Audit'!$A:$A,A9,'Source Audit'!$P:$P,"PASS")</x:f>
        <x:v>3</x:v>
      </x:c>
      <x:c r="K9" t="str">
        <x:f>IF(AND(H9="PASS",J9=I9),"PASS","FAIL")</x:f>
        <x:v>PASS</x:v>
      </x:c>
    </x:row>
    <x:row r="10">
      <x:c r="A10" t="str">
        <x:v>2018-04-16</x:v>
      </x:c>
      <x:c r="B10" t="str">
        <x:v>NFLX</x:v>
      </x:c>
      <x:c r="C10" s="20" t="n">
        <x:v>-2.04</x:v>
      </x:c>
      <x:c r="D10" s="20" t="n">
        <x:v>8.16</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2018-07-16</x:v>
      </x:c>
      <x:c r="B11" t="str">
        <x:v>NFLX</x:v>
      </x:c>
      <x:c r="C11" s="20" t="n">
        <x:v>1.37</x:v>
      </x:c>
      <x:c r="D11" s="20" t="n">
        <x:v>-5.63</x:v>
      </x:c>
      <x:c r="E11" t="str">
        <x:v>ret_1daypost_pct</x:v>
      </x:c>
      <x:c r="F11" t="str">
        <x:f>IF(D11&gt;0.1,"UP",IF(D11&lt;-0.1,"DOWN","FLAT"))</x:f>
        <x:v>DOWN</x:v>
      </x:c>
      <x:c r="G11" t="str">
        <x:v>DOWN</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NFLX rebuilt from scratch under the corrected verification protocol.</x:v>
      </x:c>
    </x:row>
    <x:row r="3">
      <x:c r="A3" s="12" t="str">
        <x:v>Identity source</x:v>
      </x:c>
      <x:c r="B3" s="12" t="str">
        <x:v>Ticker/company, exact earnings dates and return fields come from group_observations.csv.</x:v>
      </x:c>
    </x:row>
    <x:row r="4">
      <x:c r="A4" s="12" t="str">
        <x:v>Reaction basis</x:v>
      </x:c>
      <x:c r="B4" s="12" t="str">
        <x:v>Netflix reported these results after the U.S. market close; ret_1daypost_pct is the primary full-session earnings reaction.</x:v>
      </x:c>
    </x:row>
    <x:row r="5">
      <x:c r="A5" s="12" t="str">
        <x:v>Narrative</x:v>
      </x:c>
      <x:c r="B5" s="12" t="str">
        <x:v>Short Prior Context, detailed Current Earnings Release, three concise event-specific Possible Drivers.</x:v>
      </x:c>
    </x:row>
    <x:row r="6">
      <x:c r="A6" s="12" t="str">
        <x:v>Dominant variable</x:v>
      </x:c>
      <x:c r="B6" s="12" t="str">
        <x:v>Subscriber additions and subscriber guidance are treated as the first-order signal when contemporaneous coverage shows they dominated the stock reaction.</x:v>
      </x:c>
    </x:row>
    <x:row r="7">
      <x:c r="A7" s="12" t="str">
        <x:v>Sources</x:v>
      </x:c>
      <x:c r="B7" s="12" t="str">
        <x:v>Netflix IR is the factual anchor; each event has one date-matched contemporaneous reaction source.</x:v>
      </x:c>
    </x:row>
    <x:row r="8">
      <x:c r="A8" s="12" t="str">
        <x:v>Timing</x:v>
      </x:c>
      <x:c r="B8" s="12" t="str">
        <x:v>Prior = -100..-1; release = 0; reaction = 0..+3.</x:v>
      </x:c>
    </x:row>
    <x:row r="9">
      <x:c r="A9" s="12" t="str">
        <x:v>Restrictions</x:v>
      </x:c>
      <x:c r="B9" s="12" t="str">
        <x:v>No WSJ, Reuters, Dow Jones or MarketWatch-syndicated article is included.</x:v>
      </x:c>
    </x:row>
    <x:row r="10">
      <x:c r="A10" s="12" t="str">
        <x:v>QA</x:v>
      </x:c>
      <x:c r="B10" s="12" t="str">
        <x:v>Event QA mechanically recomputes direction from ret_1daypost_pct and requires exactly three PASS source rows per observation.</x:v>
      </x:c>
    </x:row>
  </x:sheetData>
  <x:pageMargins left="0.7" right="0.7" top="0.75" bottom="0.75" header="0.3" footer="0.3"/>
</x:worksheet>
</file>