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13a277e25bd4622" /></Relationships>
</file>

<file path=xl/workbook.xml><?xml version="1.0" encoding="utf-8"?>
<x:workbook xmlns:x="http://schemas.openxmlformats.org/spreadsheetml/2006/main">
  <x:sheets>
    <x:sheet xmlns:r="http://schemas.openxmlformats.org/officeDocument/2006/relationships" name="CAT" sheetId="1" r:id="R4266c7b3f75a4229"/>
    <x:sheet xmlns:r="http://schemas.openxmlformats.org/officeDocument/2006/relationships" name="Source Audit" sheetId="2" r:id="R47de2b0883ad4eac"/>
    <x:sheet xmlns:r="http://schemas.openxmlformats.org/officeDocument/2006/relationships" name="Event QA" sheetId="3" r:id="R3044886968b34578"/>
    <x:sheet xmlns:r="http://schemas.openxmlformats.org/officeDocument/2006/relationships" name="Methodology" sheetId="4" r:id="R0a20109108b74ff8"/>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0" xfId="0" applyNumberFormat="1" applyFont="1" applyFill="1" applyBorder="1"/>
    <x:xf numFmtId="200" fontId="0" fillId="0" borderId="1" xfId="0" applyNumberFormat="1" applyFont="1" applyFill="1" applyBorder="1"/>
    <x:xf numFmtId="0" fontId="1" fillId="2" borderId="0" xfId="0" applyNumberFormat="1" applyFont="1" applyFill="1" applyBorder="1" applyAlignment="1">
      <x:alignment horizontal="center"/>
    </x:xf>
    <x:xf numFmtId="0" fontId="1" fillId="2" borderId="1"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33bc457f5f0b4653" /><Relationship Type="http://schemas.openxmlformats.org/officeDocument/2006/relationships/theme" Target="/xl/theme/theme1.xml" Id="R8bbd5a4ece304608" /><Relationship Type="http://schemas.openxmlformats.org/officeDocument/2006/relationships/sharedStrings" Target="/xl/sharedStrings.xml" Id="R65ca0f5e90fa41eb" /><Relationship Type="http://schemas.openxmlformats.org/officeDocument/2006/relationships/worksheet" Target="/xl/worksheets/sheet1.xml" Id="R4266c7b3f75a4229" /><Relationship Type="http://schemas.openxmlformats.org/officeDocument/2006/relationships/worksheet" Target="/xl/worksheets/sheet2.xml" Id="R47de2b0883ad4eac" /><Relationship Type="http://schemas.openxmlformats.org/officeDocument/2006/relationships/worksheet" Target="/xl/worksheets/sheet3.xml" Id="R3044886968b34578" /><Relationship Type="http://schemas.openxmlformats.org/officeDocument/2006/relationships/worksheet" Target="/xl/worksheets/sheet4.xml" Id="R0a20109108b74ff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7" hidden="0" customWidth="1"/>
    <x:col min="2" max="2" width="9" hidden="0" customWidth="1"/>
    <x:col min="3" max="3" width="18" hidden="0" customWidth="1"/>
    <x:col min="4" max="4" width="13" hidden="0" customWidth="1"/>
    <x:col min="5" max="5" width="13" hidden="0" customWidth="1"/>
    <x:col min="6" max="6" width="11" hidden="0" customWidth="1"/>
    <x:col min="7" max="7" width="14" hidden="0" customWidth="1"/>
    <x:col min="8" max="8" width="11" hidden="0" customWidth="1"/>
    <x:col min="9" max="9" width="11" hidden="0" customWidth="1"/>
    <x:col min="10" max="10" width="11" hidden="0" customWidth="1"/>
    <x:col min="11" max="11" width="18" hidden="0" customWidth="1"/>
    <x:col min="12" max="12" width="18" hidden="0" customWidth="1"/>
    <x:col min="13" max="13" width="96" hidden="0" customWidth="1"/>
    <x:col min="14" max="14" width="65" hidden="0" customWidth="1"/>
    <x:col min="15" max="15" width="65" hidden="0" customWidth="1"/>
    <x:col min="16" max="16" width="65" hidden="0" customWidth="1"/>
    <x:col min="17" max="17" width="80" hidden="0" customWidth="1"/>
    <x:col min="18" max="18" width="12" hidden="0" customWidth="1"/>
    <x:col min="19" max="19" width="12" hidden="0" customWidth="1"/>
  </x:cols>
  <x:sheetData>
    <x:row r="1">
      <x:c r="A1" s="14" t="str">
        <x:v>index</x:v>
      </x:c>
      <x:c r="B1" s="14" t="str">
        <x:v>ticker</x:v>
      </x:c>
      <x:c r="C1" s="14" t="str">
        <x:v>company_name</x:v>
      </x:c>
      <x:c r="D1" s="14" t="str">
        <x:v>fiscal_yearquarter</x:v>
      </x:c>
      <x:c r="E1" s="14" t="str">
        <x:v>earnings_date</x:v>
      </x:c>
      <x:c r="F1" s="14" t="str">
        <x:v>ret_1day_pct</x:v>
      </x:c>
      <x:c r="G1" s="14" t="str">
        <x:v>ret_1daypost_pct</x:v>
      </x:c>
      <x:c r="H1" s="14" t="str">
        <x:v>ret_2day_pct</x:v>
      </x:c>
      <x:c r="I1" s="14" t="str">
        <x:v>ret_3day_pct</x:v>
      </x:c>
      <x:c r="J1" s="14" t="str">
        <x:v>ret_5day_pct</x:v>
      </x:c>
      <x:c r="K1" s="14" t="str">
        <x:v>reaction_basis</x:v>
      </x:c>
      <x:c r="L1" s="14" t="str">
        <x:v>reaction_direction</x:v>
      </x:c>
      <x:c r="M1" s="14" t="str">
        <x:v>contextual_analysis_full</x:v>
      </x:c>
      <x:c r="N1" s="14" t="str">
        <x:v>prior_context_sources</x:v>
      </x:c>
      <x:c r="O1" s="14" t="str">
        <x:v>release_sources</x:v>
      </x:c>
      <x:c r="P1" s="14" t="str">
        <x:v>reaction_sources</x:v>
      </x:c>
      <x:c r="Q1" s="14" t="str">
        <x:v>all_sources</x:v>
      </x:c>
      <x:c r="R1" s="14" t="str">
        <x:v>source_count</x:v>
      </x:c>
      <x:c r="S1" s="14" t="str">
        <x:v>qa_status</x:v>
      </x:c>
    </x:row>
    <x:row r="2" ht="340" customHeight="1">
      <x:c r="A2" s="15" t="n">
        <x:v>0</x:v>
      </x:c>
      <x:c r="B2" s="15" t="str">
        <x:v>CAT</x:v>
      </x:c>
      <x:c r="C2" s="15" t="str">
        <x:v>Caterpillar</x:v>
      </x:c>
      <x:c r="D2" s="15" t="str">
        <x:v>2016q2</x:v>
      </x:c>
      <x:c r="E2" s="15" t="str">
        <x:v>2016-04-22</x:v>
      </x:c>
      <x:c r="F2" s="18" t="n">
        <x:v>-0.62</x:v>
      </x:c>
      <x:c r="G2" s="18" t="n">
        <x:v>-1.67</x:v>
      </x:c>
      <x:c r="H2" s="18" t="n">
        <x:v>-2.28</x:v>
      </x:c>
      <x:c r="I2" s="18" t="n">
        <x:v>-2.14</x:v>
      </x:c>
      <x:c r="J2" s="18" t="n">
        <x:v>-0.33</x:v>
      </x:c>
      <x:c r="K2" s="15" t="str">
        <x:v>ret_1day_pct</x:v>
      </x:c>
      <x:c r="L2" s="15" t="str">
        <x:v>DOWN</x:v>
      </x:c>
      <x:c r="M2" s="15" t="str">
        <x:v>## Prior Context
The global machinery downturn was still severe. Mining customers were carrying excess equipment, oil-and-gas investment had collapsed, rail demand was weak, and Caterpillar was relying heavily on restructuring and cost reductions to protect earnings.
### Verified prior source
2016-01-28 | Caterpillar | Caterpillar Reports 2015 Fourth-Quarter and Full-Year Financial Results; Provides Outlook for 2016 | https://www.caterpillar.com/en/news/corporate-press-releases/h/caterpillar-reports-2015-fourth-quarter-and-full-year-financial-results-provides-outlook-for-2016.html
## Current Earnings Release
Caterpillar reported **$9.46 billion of sales and revenue**, down from $12.7 billion a year earlier. Adjusted profit excluding restructuring costs was **$0.67 per share**, missing consensus by about one cent even though revenue slightly exceeded expectations.
More important was the full-year reset. Caterpillar lowered its 2016 sales outlook to **$40–$42 billion** and cut adjusted profit guidance to about **$3.70 per share** from $4.00. Management cited broad weakness across construction, oil and gas, mining and rail. Cost reductions of nearly $500 million helped, but they could not offset the deterioration in end-market demand.
### Verified release source
2016-04-22 | Caterpillar | Caterpillar Reports First-Quarter 2016 Results | https://www.caterpillar.com/en/news/corporate-press-releases/h/caterpillar-reports-first-quarter-2016-results.html
## Possible Drivers
**First-order driver.** The stock fell because adjusted EPS missed and Caterpillar lowered its 2016 sales and profit outlook.
**Second-order driver.** Weakness was broad across mining, oil and gas, construction and rail rather than isolated to one segment.
**Third-order driver.** Cost cuts softened the downturn but were not large enough to offset falling volumes.
### Verified reaction source
2016-04-22 | TheStreet | Caterpillar (CAT) Stock Down on Earnings Miss, Lower Guidance | https://www.thestreet.com/markets/caterpillar-cat-stock-down-on-earnings-miss-lower-guidance-13541589
## Verification Status
All included pages were opened and checked for Caterpillar/CAT identity, the correct earnings event, publication date, timing window and source origin. Caterpillar's own release is the factual anchor. No WSJ, Reuters, Dow Jones or MarketWatch-syndicated article is included.
</x:v>
      </x:c>
      <x:c r="N2" s="15" t="str">
        <x:v>2016-01-28 | Caterpillar | Caterpillar Reports 2015 Fourth-Quarter and Full-Year Financial Results; Provides Outlook for 2016 | https://www.caterpillar.com/en/news/corporate-press-releases/h/caterpillar-reports-2015-fourth-quarter-and-full-year-financial-results-provides-outlook-for-2016.html</x:v>
      </x:c>
      <x:c r="O2" s="15" t="str">
        <x:v>2016-04-22 | Caterpillar | Caterpillar Reports First-Quarter 2016 Results | https://www.caterpillar.com/en/news/corporate-press-releases/h/caterpillar-reports-first-quarter-2016-results.html</x:v>
      </x:c>
      <x:c r="P2" s="15" t="str">
        <x:v>2016-04-22 | TheStreet | Caterpillar (CAT) Stock Down on Earnings Miss, Lower Guidance | https://www.thestreet.com/markets/caterpillar-cat-stock-down-on-earnings-miss-lower-guidance-13541589</x:v>
      </x:c>
      <x:c r="Q2" s="15" t="str">
        <x:v>2016-01-28 | Caterpillar | Caterpillar Reports 2015 Fourth-Quarter and Full-Year Financial Results; Provides Outlook for 2016 | https://www.caterpillar.com/en/news/corporate-press-releases/h/caterpillar-reports-2015-fourth-quarter-and-full-year-financial-results-provides-outlook-for-2016.html
2016-04-22 | Caterpillar | Caterpillar Reports First-Quarter 2016 Results | https://www.caterpillar.com/en/news/corporate-press-releases/h/caterpillar-reports-first-quarter-2016-results.html
2016-04-22 | TheStreet | Caterpillar (CAT) Stock Down on Earnings Miss, Lower Guidance | https://www.thestreet.com/markets/caterpillar-cat-stock-down-on-earnings-miss-lower-guidance-13541589</x:v>
      </x:c>
      <x:c r="R2" s="15" t="n">
        <x:v>3</x:v>
      </x:c>
      <x:c r="S2" s="15" t="str">
        <x:v>PASS</x:v>
      </x:c>
    </x:row>
    <x:row r="3" ht="340" customHeight="1">
      <x:c r="A3" s="15" t="n">
        <x:v>1</x:v>
      </x:c>
      <x:c r="B3" s="15" t="str">
        <x:v>CAT</x:v>
      </x:c>
      <x:c r="C3" s="15" t="str">
        <x:v>Caterpillar</x:v>
      </x:c>
      <x:c r="D3" s="15" t="str">
        <x:v>2016q3</x:v>
      </x:c>
      <x:c r="E3" s="15" t="str">
        <x:v>2016-07-26</x:v>
      </x:c>
      <x:c r="F3" s="18" t="n">
        <x:v>5</x:v>
      </x:c>
      <x:c r="G3" s="18" t="n">
        <x:v>1.76</x:v>
      </x:c>
      <x:c r="H3" s="18" t="n">
        <x:v>6.84</x:v>
      </x:c>
      <x:c r="I3" s="18" t="n">
        <x:v>6.25</x:v>
      </x:c>
      <x:c r="J3" s="18" t="n">
        <x:v>4.1</x:v>
      </x:c>
      <x:c r="K3" s="15" t="str">
        <x:v>ret_1day_pct</x:v>
      </x:c>
      <x:c r="L3" s="15" t="str">
        <x:v>UP</x:v>
      </x:c>
      <x:c r="M3" s="15" t="str">
        <x:v>## Prior Context
By mid-2016, the market already expected an extremely weak machinery cycle. The key question was whether Caterpillar could outperform those depressed expectations through cost control even before a clear demand recovery appeared.
### Verified prior source
2016-04-22 | Caterpillar | Caterpillar Reports First-Quarter 2016 Results | https://www.caterpillar.com/en/news/corporate-press-releases/h/caterpillar-reports-first-quarter-2016-results.html
## Current Earnings Release
Q2 sales and revenue were **$10.34 billion**, down 16% year over year, while adjusted profit was **$1.09 per share**. Both were better than investors had feared. Caterpillar’s restructuring and cost-control efforts produced better decremental margins than the magnitude of the sales decline would normally imply.
Management still described most end markets as difficult and kept the full-year sales outlook subdued, but the revised earnings outlook was broadly consistent with Wall Street expectations rather than signaling another major deterioration. That distinction mattered after several quarters of repeated guidance cuts.
### Verified release source
2016-07-26 | Caterpillar | Caterpillar Reports Second-Quarter 2016 Results | https://www.caterpillar.com/en/news/corporate-press-releases/h/caterpillar-reports-second-quarter-2016-results.html
## Possible Drivers
**First-order driver.** Shares jumped because profit and revenue were better than the market’s very low expectations.
**Second-order driver.** Cost control made earnings considerably more resilient than the sales decline suggested.
**Third-order driver.** The outlook remained weak, but the absence of another major downside surprise improved confidence that estimates were nearing a trough.
### Verified reaction source
2016-07-26 | Schaeffer's Investment Research | Dow Jones Industrial Average Trims Triple-Digit Loss | https://www.schaeffersresearch.com/content/ezines/2016/07/26/dow-jones-industrial-average-trims-triple-digit-loss
## Verification Status
All included pages were opened and checked for Caterpillar/CAT identity, the correct earnings event, publication date, timing window and source origin. Caterpillar's own release is the factual anchor. No WSJ, Reuters, Dow Jones or MarketWatch-syndicated article is included.
</x:v>
      </x:c>
      <x:c r="N3" s="15" t="str">
        <x:v>2016-04-22 | Caterpillar | Caterpillar Reports First-Quarter 2016 Results | https://www.caterpillar.com/en/news/corporate-press-releases/h/caterpillar-reports-first-quarter-2016-results.html</x:v>
      </x:c>
      <x:c r="O3" s="15" t="str">
        <x:v>2016-07-26 | Caterpillar | Caterpillar Reports Second-Quarter 2016 Results | https://www.caterpillar.com/en/news/corporate-press-releases/h/caterpillar-reports-second-quarter-2016-results.html</x:v>
      </x:c>
      <x:c r="P3" s="15" t="str">
        <x:v>2016-07-26 | Schaeffer's Investment Research | Dow Jones Industrial Average Trims Triple-Digit Loss | https://www.schaeffersresearch.com/content/ezines/2016/07/26/dow-jones-industrial-average-trims-triple-digit-loss</x:v>
      </x:c>
      <x:c r="Q3" s="15" t="str">
        <x:v>2016-04-22 | Caterpillar | Caterpillar Reports First-Quarter 2016 Results | https://www.caterpillar.com/en/news/corporate-press-releases/h/caterpillar-reports-first-quarter-2016-results.html
2016-07-26 | Caterpillar | Caterpillar Reports Second-Quarter 2016 Results | https://www.caterpillar.com/en/news/corporate-press-releases/h/caterpillar-reports-second-quarter-2016-results.html
2016-07-26 | Schaeffer's Investment Research | Dow Jones Industrial Average Trims Triple-Digit Loss | https://www.schaeffersresearch.com/content/ezines/2016/07/26/dow-jones-industrial-average-trims-triple-digit-loss</x:v>
      </x:c>
      <x:c r="R3" s="15" t="n">
        <x:v>3</x:v>
      </x:c>
      <x:c r="S3" s="15" t="str">
        <x:v>PASS</x:v>
      </x:c>
    </x:row>
    <x:row r="4" ht="340" customHeight="1">
      <x:c r="A4" s="15" t="n">
        <x:v>2</x:v>
      </x:c>
      <x:c r="B4" s="15" t="str">
        <x:v>CAT</x:v>
      </x:c>
      <x:c r="C4" s="15" t="str">
        <x:v>Caterpillar</x:v>
      </x:c>
      <x:c r="D4" s="15" t="str">
        <x:v>2016q4</x:v>
      </x:c>
      <x:c r="E4" s="15" t="str">
        <x:v>2016-10-25</x:v>
      </x:c>
      <x:c r="F4" s="18" t="n">
        <x:v>-1.32</x:v>
      </x:c>
      <x:c r="G4" s="18" t="n">
        <x:v>-0.14</x:v>
      </x:c>
      <x:c r="H4" s="18" t="n">
        <x:v>-1.45</x:v>
      </x:c>
      <x:c r="I4" s="18" t="n">
        <x:v>-2.28</x:v>
      </x:c>
      <x:c r="J4" s="18" t="n">
        <x:v>-1.93</x:v>
      </x:c>
      <x:c r="K4" s="15" t="str">
        <x:v>ret_1day_pct</x:v>
      </x:c>
      <x:c r="L4" s="15" t="str">
        <x:v>DOWN</x:v>
      </x:c>
      <x:c r="M4" s="15" t="str">
        <x:v>## Prior Context
The summer quarter had raised hopes that the downturn was stabilizing. Investors were therefore looking for evidence that mining, energy, construction and rail demand had stopped deteriorating enough to support a 2017 recovery.
### Verified prior source
2016-07-26 | Caterpillar | Caterpillar Reports Second-Quarter 2016 Results | https://www.caterpillar.com/en/news/corporate-press-releases/h/caterpillar-reports-second-quarter-2016-results.html
## Current Earnings Release
Caterpillar reported **$9.16 billion of sales and revenue** and adjusted profit of **$0.85 per share**. Adjusted earnings were relatively resilient, but revenue remained weak and management lowered its 2016 outlook again.
The forward message was more important than the current EPS. Caterpillar said **2017 sales were not expected to be significantly different from 2016**, while North American construction, rail and mining remained weak. China construction showed some improvement, but it was not enough to offset the larger global demand problems.
### Verified release source
2016-10-25 | Caterpillar | Caterpillar Reports Third-Quarter 2016 Results | https://www.caterpillar.com/en/news/corporate-press-releases/h/caterpillar-inc-third-quarter-2016-results.html
## Possible Drivers
**First-order driver.** The stock fell because another sales-outlook reduction and a weak 2017 view outweighed resilient adjusted EPS.
**Second-order driver.** Used-equipment availability and weak rail/mining demand suggested a prolonged rather than rapid cycle recovery.
**Third-order driver.** Improving China construction was only a partial offset to weakness elsewhere.
### Verified reaction source
2016-10-25 | Schaeffer's Investment Research | Negative Earnings Reactions, Oil Too Much for Dow Jones Industrial Average | https://www.schaeffersresearch.com/content/ezines/2016/10/25/negative-earnings-reactions-oil-too-much-for-dow-jones-industrial-average
## Verification Status
All included pages were opened and checked for Caterpillar/CAT identity, the correct earnings event, publication date, timing window and source origin. Caterpillar's own release is the factual anchor. No WSJ, Reuters, Dow Jones or MarketWatch-syndicated article is included.
</x:v>
      </x:c>
      <x:c r="N4" s="15" t="str">
        <x:v>2016-07-26 | Caterpillar | Caterpillar Reports Second-Quarter 2016 Results | https://www.caterpillar.com/en/news/corporate-press-releases/h/caterpillar-reports-second-quarter-2016-results.html</x:v>
      </x:c>
      <x:c r="O4" s="15" t="str">
        <x:v>2016-10-25 | Caterpillar | Caterpillar Reports Third-Quarter 2016 Results | https://www.caterpillar.com/en/news/corporate-press-releases/h/caterpillar-inc-third-quarter-2016-results.html</x:v>
      </x:c>
      <x:c r="P4" s="15" t="str">
        <x:v>2016-10-25 | Schaeffer's Investment Research | Negative Earnings Reactions, Oil Too Much for Dow Jones Industrial Average | https://www.schaeffersresearch.com/content/ezines/2016/10/25/negative-earnings-reactions-oil-too-much-for-dow-jones-industrial-average</x:v>
      </x:c>
      <x:c r="Q4" s="15" t="str">
        <x:v>2016-07-26 | Caterpillar | Caterpillar Reports Second-Quarter 2016 Results | https://www.caterpillar.com/en/news/corporate-press-releases/h/caterpillar-reports-second-quarter-2016-results.html
2016-10-25 | Caterpillar | Caterpillar Reports Third-Quarter 2016 Results | https://www.caterpillar.com/en/news/corporate-press-releases/h/caterpillar-inc-third-quarter-2016-results.html
2016-10-25 | Schaeffer's Investment Research | Negative Earnings Reactions, Oil Too Much for Dow Jones Industrial Average | https://www.schaeffersresearch.com/content/ezines/2016/10/25/negative-earnings-reactions-oil-too-much-for-dow-jones-industrial-average</x:v>
      </x:c>
      <x:c r="R4" s="15" t="n">
        <x:v>3</x:v>
      </x:c>
      <x:c r="S4" s="15" t="str">
        <x:v>PASS</x:v>
      </x:c>
    </x:row>
    <x:row r="5" ht="340" customHeight="1">
      <x:c r="A5" s="15" t="n">
        <x:v>3</x:v>
      </x:c>
      <x:c r="B5" s="15" t="str">
        <x:v>CAT</x:v>
      </x:c>
      <x:c r="C5" s="15" t="str">
        <x:v>Caterpillar</x:v>
      </x:c>
      <x:c r="D5" s="15" t="str">
        <x:v>2017q1</x:v>
      </x:c>
      <x:c r="E5" s="15" t="str">
        <x:v>2017-01-26</x:v>
      </x:c>
      <x:c r="F5" s="18" t="n">
        <x:v>-0.83</x:v>
      </x:c>
      <x:c r="G5" s="18" t="n">
        <x:v>1.98</x:v>
      </x:c>
      <x:c r="H5" s="18" t="n">
        <x:v>1.13</x:v>
      </x:c>
      <x:c r="I5" s="18" t="n">
        <x:v>2.32</x:v>
      </x:c>
      <x:c r="J5" s="18" t="n">
        <x:v>-0.49</x:v>
      </x:c>
      <x:c r="K5" s="15" t="str">
        <x:v>ret_1day_pct</x:v>
      </x:c>
      <x:c r="L5" s="15" t="str">
        <x:v>DOWN</x:v>
      </x:c>
      <x:c r="M5" s="15" t="str">
        <x:v>## Prior Context
Caterpillar entered 2017 with signs that commodity markets had stabilized, but dealer inventories, used equipment and weak rail demand still limited the speed of any recovery.
### Verified prior source
2016-10-25 | Caterpillar | Caterpillar Reports Third-Quarter 2016 Results | https://www.caterpillar.com/en/news/corporate-press-releases/h/caterpillar-inc-third-quarter-2016-results.html
## Current Earnings Release
Q4 sales and revenue were about **$9.6 billion**, below consensus, while the GAAP loss of **$2.00 per share** was heavily affected by noncash and restructuring charges. On an adjusted basis, profit was substantially better than the headline loss suggested.
The disappointing part was the 2017 outlook. Caterpillar projected sales of **$36–$39 billion**, with a midpoint of $37.5 billion, and adjusted profit of about **$2.90 per share**. The company saw some stabilization in mining and energy but not enough to produce a strong top-line recovery.
### Verified release source
2017-01-26 | Caterpillar | Caterpillar Reports 2016 Fourth-Quarter and Full-Year Financial Results; Provides Outlook for 2017 | https://www.caterpillar.com/en/news/corporate-press-releases/h/caterpillar-inc-fourth-quarter-results-2016.html
## Possible Drivers
**First-order driver.** Shares fell because the revenue miss and cautious 2017 sales/profit outlook outweighed the better adjusted earnings picture.
**Second-order driver.** End markets were stabilizing, but excess equipment and weak rail demand still constrained recovery.
**Third-order driver.** Restructuring and noncash charges made GAAP earnings much worse than underlying operations.
### Verified reaction source
2017-01-26 | Medill Reports Chicago | Caterpillar Slumps on Weak Demand, Trims Outlook | https://news.medill.northwestern.edu/chicago/caterpillar-slumps-on-weak-demand-trims-outlook/
## Verification Status
All included pages were opened and checked for Caterpillar/CAT identity, the correct earnings event, publication date, timing window and source origin. Caterpillar's own release is the factual anchor. No WSJ, Reuters, Dow Jones or MarketWatch-syndicated article is included.
</x:v>
      </x:c>
      <x:c r="N5" s="15" t="str">
        <x:v>2016-10-25 | Caterpillar | Caterpillar Reports Third-Quarter 2016 Results | https://www.caterpillar.com/en/news/corporate-press-releases/h/caterpillar-inc-third-quarter-2016-results.html</x:v>
      </x:c>
      <x:c r="O5" s="15" t="str">
        <x:v>2017-01-26 | Caterpillar | Caterpillar Reports 2016 Fourth-Quarter and Full-Year Financial Results; Provides Outlook for 2017 | https://www.caterpillar.com/en/news/corporate-press-releases/h/caterpillar-inc-fourth-quarter-results-2016.html</x:v>
      </x:c>
      <x:c r="P5" s="15" t="str">
        <x:v>2017-01-26 | Medill Reports Chicago | Caterpillar Slumps on Weak Demand, Trims Outlook | https://news.medill.northwestern.edu/chicago/caterpillar-slumps-on-weak-demand-trims-outlook/</x:v>
      </x:c>
      <x:c r="Q5" s="15" t="str">
        <x:v>2016-10-25 | Caterpillar | Caterpillar Reports Third-Quarter 2016 Results | https://www.caterpillar.com/en/news/corporate-press-releases/h/caterpillar-inc-third-quarter-2016-results.html
2017-01-26 | Caterpillar | Caterpillar Reports 2016 Fourth-Quarter and Full-Year Financial Results; Provides Outlook for 2017 | https://www.caterpillar.com/en/news/corporate-press-releases/h/caterpillar-inc-fourth-quarter-results-2016.html
2017-01-26 | Medill Reports Chicago | Caterpillar Slumps on Weak Demand, Trims Outlook | https://news.medill.northwestern.edu/chicago/caterpillar-slumps-on-weak-demand-trims-outlook/</x:v>
      </x:c>
      <x:c r="R5" s="15" t="n">
        <x:v>3</x:v>
      </x:c>
      <x:c r="S5" s="15" t="str">
        <x:v>PASS</x:v>
      </x:c>
    </x:row>
    <x:row r="6" ht="340" customHeight="1">
      <x:c r="A6" s="15" t="n">
        <x:v>4</x:v>
      </x:c>
      <x:c r="B6" s="15" t="str">
        <x:v>CAT</x:v>
      </x:c>
      <x:c r="C6" s="15" t="str">
        <x:v>Caterpillar</x:v>
      </x:c>
      <x:c r="D6" s="15" t="str">
        <x:v>2017q2</x:v>
      </x:c>
      <x:c r="E6" s="15" t="str">
        <x:v>2017-04-25</x:v>
      </x:c>
      <x:c r="F6" s="18" t="n">
        <x:v>7.26</x:v>
      </x:c>
      <x:c r="G6" s="18" t="n">
        <x:v>0.24</x:v>
      </x:c>
      <x:c r="H6" s="18" t="n">
        <x:v>7.52</x:v>
      </x:c>
      <x:c r="I6" s="18" t="n">
        <x:v>9.2</x:v>
      </x:c>
      <x:c r="J6" s="18" t="n">
        <x:v>6.98</x:v>
      </x:c>
      <x:c r="K6" s="15" t="str">
        <x:v>ret_1day_pct</x:v>
      </x:c>
      <x:c r="L6" s="15" t="str">
        <x:v>UP</x:v>
      </x:c>
      <x:c r="M6" s="15" t="str">
        <x:v>## Prior Context
After years of contraction, investors were watching for the first convincing evidence that the heavy-equipment cycle had turned rather than merely stopped getting worse.
### Verified prior source
2017-01-26 | Caterpillar | Caterpillar Reports 2016 Fourth-Quarter and Full-Year Financial Results; Provides Outlook for 2017 | https://www.caterpillar.com/en/news/corporate-press-releases/h/caterpillar-inc-fourth-quarter-results-2016.html
## Current Earnings Release
Q1 sales and revenue rose to **$9.82 billion**, the first year-over-year increase in **10 quarters**. Adjusted profit was **$1.28 per share**, far above both the prior year and consensus expectations. Backlog increased about **$2.7 billion** from year-end.
Caterpillar raised its 2017 sales outlook to **$38–$41 billion**. Resource Industries sales increased as mining conditions improved, and China construction demand strengthened, although North American construction remained softer. The combination of a major earnings beat, improving backlog and the first clear return to revenue growth changed the cycle narrative.
### Verified release source
2017-04-25 | Caterpillar | Caterpillar Reports First-Quarter 2017 Results | https://www.caterpillar.com/en/news/corporate-press-releases/h/caterpillar-inc-first-quarter-results-2017.html
## Possible Drivers
**First-order driver.** The stock surged on a large EPS/revenue beat and higher full-year guidance.
**Second-order driver.** The first year-over-year sales growth in more than two years signaled a genuine cycle turn.
**Third-order driver.** Rising backlog plus mining and China improvement made the recovery look more durable.
### Verified reaction source
2017-04-25 | InvestorPlace | 3 Stocks to Watch on Tuesday: Alcoa Corp (AA), Caterpillar Inc. (CAT) and Express Scripts Holding Company (ESRX) | https://investorplace.com/2017/04/3-stocks-to-watch-on-tuesday-alcoa-corp-aa-caterpillar-inc-cat-and-express-scripts-holding-company-esrx/
## Verification Status
All included pages were opened and checked for Caterpillar/CAT identity, the correct earnings event, publication date, timing window and source origin. Caterpillar's own release is the factual anchor. No WSJ, Reuters, Dow Jones or MarketWatch-syndicated article is included.
</x:v>
      </x:c>
      <x:c r="N6" s="15" t="str">
        <x:v>2017-01-26 | Caterpillar | Caterpillar Reports 2016 Fourth-Quarter and Full-Year Financial Results; Provides Outlook for 2017 | https://www.caterpillar.com/en/news/corporate-press-releases/h/caterpillar-inc-fourth-quarter-results-2016.html</x:v>
      </x:c>
      <x:c r="O6" s="15" t="str">
        <x:v>2017-04-25 | Caterpillar | Caterpillar Reports First-Quarter 2017 Results | https://www.caterpillar.com/en/news/corporate-press-releases/h/caterpillar-inc-first-quarter-results-2017.html</x:v>
      </x:c>
      <x:c r="P6" s="15" t="str">
        <x:v>2017-04-25 | InvestorPlace | 3 Stocks to Watch on Tuesday: Alcoa Corp (AA), Caterpillar Inc. (CAT) and Express Scripts Holding Company (ESRX) | https://investorplace.com/2017/04/3-stocks-to-watch-on-tuesday-alcoa-corp-aa-caterpillar-inc-cat-and-express-scripts-holding-company-esrx/</x:v>
      </x:c>
      <x:c r="Q6" s="15" t="str">
        <x:v>2017-01-26 | Caterpillar | Caterpillar Reports 2016 Fourth-Quarter and Full-Year Financial Results; Provides Outlook for 2017 | https://www.caterpillar.com/en/news/corporate-press-releases/h/caterpillar-inc-fourth-quarter-results-2016.html
2017-04-25 | Caterpillar | Caterpillar Reports First-Quarter 2017 Results | https://www.caterpillar.com/en/news/corporate-press-releases/h/caterpillar-inc-first-quarter-results-2017.html
2017-04-25 | InvestorPlace | 3 Stocks to Watch on Tuesday: Alcoa Corp (AA), Caterpillar Inc. (CAT) and Express Scripts Holding Company (ESRX) | https://investorplace.com/2017/04/3-stocks-to-watch-on-tuesday-alcoa-corp-aa-caterpillar-inc-cat-and-express-scripts-holding-company-esrx/</x:v>
      </x:c>
      <x:c r="R6" s="15" t="n">
        <x:v>3</x:v>
      </x:c>
      <x:c r="S6" s="15" t="str">
        <x:v>PASS</x:v>
      </x:c>
    </x:row>
    <x:row r="7" ht="340" customHeight="1">
      <x:c r="A7" s="15" t="n">
        <x:v>5</x:v>
      </x:c>
      <x:c r="B7" s="15" t="str">
        <x:v>CAT</x:v>
      </x:c>
      <x:c r="C7" s="15" t="str">
        <x:v>Caterpillar</x:v>
      </x:c>
      <x:c r="D7" s="15" t="str">
        <x:v>2017q3</x:v>
      </x:c>
      <x:c r="E7" s="15" t="str">
        <x:v>2017-07-25</x:v>
      </x:c>
      <x:c r="F7" s="18" t="n">
        <x:v>5.53</x:v>
      </x:c>
      <x:c r="G7" s="18" t="n">
        <x:v>-0.88</x:v>
      </x:c>
      <x:c r="H7" s="18" t="n">
        <x:v>4.6</x:v>
      </x:c>
      <x:c r="I7" s="18" t="n">
        <x:v>6.18</x:v>
      </x:c>
      <x:c r="J7" s="18" t="n">
        <x:v>7.06</x:v>
      </x:c>
      <x:c r="K7" s="15" t="str">
        <x:v>ret_1day_pct</x:v>
      </x:c>
      <x:c r="L7" s="15" t="str">
        <x:v>UP</x:v>
      </x:c>
      <x:c r="M7" s="15" t="str">
        <x:v>## Prior Context
The April quarter had established that the cycle was turning. Q2 needed to show that recovery was broadening across regions and end markets rather than relying only on China or a temporary mining rebound.
### Verified prior source
2017-04-25 | Caterpillar | Caterpillar Reports First-Quarter 2017 Results | https://www.caterpillar.com/en/news/corporate-press-releases/h/caterpillar-inc-first-quarter-results-2017.html
## Current Earnings Release
Q2 sales and revenue increased to **$11.3 billion** from $10.3 billion a year earlier, while adjusted profit reached **$1.49 per share** versus $1.09. Both exceeded expectations. Demand improved across major regions, with particularly strong China construction activity and North American gas-compression demand.
Caterpillar raised its full-year outlook again. Stronger operating cash flow and improving balance-sheet capacity also showed that the recovery was translating into cash, not merely accounting earnings.
### Verified release source
2017-07-25 | Caterpillar | Caterpillar Reports Second-Quarter 2017 Results | https://www.caterpillar.com/en/news/corporate-press-releases/h/caterpillar-reports-second-quarter-2017-results.html
## Possible Drivers
**First-order driver.** Shares rose sharply on another earnings beat and upward guidance revision.
**Second-order driver.** Construction and energy recovery broadened beyond the initial mining rebound.
**Third-order driver.** Stronger cash generation validated the operational improvement.
### Verified reaction source
2017-07-25 | TheStreet | Dow, S&amp;P 500 and Nasdaq On Track for Records After Caterpillar, McDonald's Earnings | https://www.thestreet.com/investing/caterpillar-and-mcdonald-s-lead-dow-s-amp-p-500-reaches-new-heights-14241817
## Verification Status
All included pages were opened and checked for Caterpillar/CAT identity, the correct earnings event, publication date, timing window and source origin. Caterpillar's own release is the factual anchor. No WSJ, Reuters, Dow Jones or MarketWatch-syndicated article is included.
</x:v>
      </x:c>
      <x:c r="N7" s="15" t="str">
        <x:v>2017-04-25 | Caterpillar | Caterpillar Reports First-Quarter 2017 Results | https://www.caterpillar.com/en/news/corporate-press-releases/h/caterpillar-inc-first-quarter-results-2017.html</x:v>
      </x:c>
      <x:c r="O7" s="15" t="str">
        <x:v>2017-07-25 | Caterpillar | Caterpillar Reports Second-Quarter 2017 Results | https://www.caterpillar.com/en/news/corporate-press-releases/h/caterpillar-reports-second-quarter-2017-results.html</x:v>
      </x:c>
      <x:c r="P7" s="15" t="str">
        <x:v>2017-07-25 | TheStreet | Dow, S&amp;P 500 and Nasdaq On Track for Records After Caterpillar, McDonald's Earnings | https://www.thestreet.com/investing/caterpillar-and-mcdonald-s-lead-dow-s-amp-p-500-reaches-new-heights-14241817</x:v>
      </x:c>
      <x:c r="Q7" s="15" t="str">
        <x:v>2017-04-25 | Caterpillar | Caterpillar Reports First-Quarter 2017 Results | https://www.caterpillar.com/en/news/corporate-press-releases/h/caterpillar-inc-first-quarter-results-2017.html
2017-07-25 | Caterpillar | Caterpillar Reports Second-Quarter 2017 Results | https://www.caterpillar.com/en/news/corporate-press-releases/h/caterpillar-reports-second-quarter-2017-results.html
2017-07-25 | TheStreet | Dow, S&amp;P 500 and Nasdaq On Track for Records After Caterpillar, McDonald's Earnings | https://www.thestreet.com/investing/caterpillar-and-mcdonald-s-lead-dow-s-amp-p-500-reaches-new-heights-14241817</x:v>
      </x:c>
      <x:c r="R7" s="15" t="n">
        <x:v>3</x:v>
      </x:c>
      <x:c r="S7" s="15" t="str">
        <x:v>PASS</x:v>
      </x:c>
    </x:row>
    <x:row r="8" ht="340" customHeight="1">
      <x:c r="A8" s="15" t="n">
        <x:v>6</x:v>
      </x:c>
      <x:c r="B8" s="15" t="str">
        <x:v>CAT</x:v>
      </x:c>
      <x:c r="C8" s="15" t="str">
        <x:v>Caterpillar</x:v>
      </x:c>
      <x:c r="D8" s="15" t="str">
        <x:v>2017q4</x:v>
      </x:c>
      <x:c r="E8" s="15" t="str">
        <x:v>2017-10-24</x:v>
      </x:c>
      <x:c r="F8" s="18" t="n">
        <x:v>4.82</x:v>
      </x:c>
      <x:c r="G8" s="18" t="n">
        <x:v>-0.47</x:v>
      </x:c>
      <x:c r="H8" s="18" t="n">
        <x:v>4.32</x:v>
      </x:c>
      <x:c r="I8" s="18" t="n">
        <x:v>5.02</x:v>
      </x:c>
      <x:c r="J8" s="18" t="n">
        <x:v>4.81</x:v>
      </x:c>
      <x:c r="K8" s="15" t="str">
        <x:v>ret_1day_pct</x:v>
      </x:c>
      <x:c r="L8" s="15" t="str">
        <x:v>UP</x:v>
      </x:c>
      <x:c r="M8" s="15" t="str">
        <x:v>## Prior Context
By Q3 the machinery rebound was well established, so the expectations bar had risen. Investors wanted continued evidence of broad volume growth and operating leverage.
### Verified prior source
2017-07-25 | Caterpillar | Caterpillar Reports Second-Quarter 2017 Results | https://www.caterpillar.com/en/news/corporate-press-releases/h/caterpillar-reports-second-quarter-2017-results.html
## Current Earnings Release
Q3 sales and revenue reached about **$11.4 billion**, up roughly 25% year over year, while adjusted profit increased to **$1.95 per share** from $0.85. The improvement was broad across regions and major end markets.
Caterpillar raised its full-year sales outlook to roughly **$44 billion** and adjusted EPS guidance to about **$6.25**. Higher volumes, favorable price realization and operational discipline generated strong incremental margins, showing that the cycle recovery was translating efficiently into profit.
### Verified release source
2017-10-24 | Caterpillar | Caterpillar Reports Third-Quarter 2017 Results | https://www.caterpillar.com/en/news/corporate-press-releases/h/caterpillar-reports-third-quarter-2017-results.html
## Possible Drivers
**First-order driver.** The stock rose on a major earnings/revenue beat and another guidance increase.
**Second-order driver.** Recovery was broad across regions and end markets rather than concentrated in one market.
**Third-order driver.** Operating leverage converted higher volumes into much faster profit growth.
### Verified reaction source
2017-10-24 | Schaeffer's Investment Research | 3M, Caterpillar Earnings Lift Dow to Record Highs | https://www.schaeffersresearch.com/content/live/page/1310
## Verification Status
All included pages were opened and checked for Caterpillar/CAT identity, the correct earnings event, publication date, timing window and source origin. Caterpillar's own release is the factual anchor. No WSJ, Reuters, Dow Jones or MarketWatch-syndicated article is included.
</x:v>
      </x:c>
      <x:c r="N8" s="15" t="str">
        <x:v>2017-07-25 | Caterpillar | Caterpillar Reports Second-Quarter 2017 Results | https://www.caterpillar.com/en/news/corporate-press-releases/h/caterpillar-reports-second-quarter-2017-results.html</x:v>
      </x:c>
      <x:c r="O8" s="15" t="str">
        <x:v>2017-10-24 | Caterpillar | Caterpillar Reports Third-Quarter 2017 Results | https://www.caterpillar.com/en/news/corporate-press-releases/h/caterpillar-reports-third-quarter-2017-results.html</x:v>
      </x:c>
      <x:c r="P8" s="15" t="str">
        <x:v>2017-10-24 | Schaeffer's Investment Research | 3M, Caterpillar Earnings Lift Dow to Record Highs | https://www.schaeffersresearch.com/content/live/page/1310</x:v>
      </x:c>
      <x:c r="Q8" s="15" t="str">
        <x:v>2017-07-25 | Caterpillar | Caterpillar Reports Second-Quarter 2017 Results | https://www.caterpillar.com/en/news/corporate-press-releases/h/caterpillar-reports-second-quarter-2017-results.html
2017-10-24 | Caterpillar | Caterpillar Reports Third-Quarter 2017 Results | https://www.caterpillar.com/en/news/corporate-press-releases/h/caterpillar-reports-third-quarter-2017-results.html
2017-10-24 | Schaeffer's Investment Research | 3M, Caterpillar Earnings Lift Dow to Record Highs | https://www.schaeffersresearch.com/content/live/page/1310</x:v>
      </x:c>
      <x:c r="R8" s="15" t="n">
        <x:v>3</x:v>
      </x:c>
      <x:c r="S8" s="15" t="str">
        <x:v>PASS</x:v>
      </x:c>
    </x:row>
    <x:row r="9" ht="340" customHeight="1">
      <x:c r="A9" s="15" t="n">
        <x:v>7</x:v>
      </x:c>
      <x:c r="B9" s="15" t="str">
        <x:v>CAT</x:v>
      </x:c>
      <x:c r="C9" s="15" t="str">
        <x:v>Caterpillar</x:v>
      </x:c>
      <x:c r="D9" s="15" t="str">
        <x:v>2018q1</x:v>
      </x:c>
      <x:c r="E9" s="15" t="str">
        <x:v>2018-01-25</x:v>
      </x:c>
      <x:c r="F9" s="18" t="n">
        <x:v>0.6</x:v>
      </x:c>
      <x:c r="G9" s="18" t="n">
        <x:v>-2.36</x:v>
      </x:c>
      <x:c r="H9" s="18" t="n">
        <x:v>-1.77</x:v>
      </x:c>
      <x:c r="I9" s="18" t="n">
        <x:v>-2.31</x:v>
      </x:c>
      <x:c r="J9" s="18" t="n">
        <x:v>-2.59</x:v>
      </x:c>
      <x:c r="K9" s="15" t="str">
        <x:v>ret_1day_pct</x:v>
      </x:c>
      <x:c r="L9" s="15" t="str">
        <x:v>UP</x:v>
      </x:c>
      <x:c r="M9" s="15" t="str">
        <x:v>## Prior Context
Caterpillar had become one of the market’s strongest global-cycle trades. Expectations were therefore very high, while trade policy and the dollar had become increasingly relevant risks for a company with substantial international exposure.
### Verified prior source
2017-10-24 | Caterpillar | Caterpillar Reports Third-Quarter 2017 Results | https://www.caterpillar.com/en/news/corporate-press-releases/h/caterpillar-reports-third-quarter-2017-results.html
## Current Earnings Release
Q4 sales and revenue jumped **35% to $12.9 billion**. Adjusted profit was about **$2.16 per share**, and Caterpillar introduced 2018 adjusted EPS guidance of **$8.25–$9.25**, above the prevailing consensus. Broad-based end-market recovery and operating performance remained strong.
The trading reaction was unusual. Shares initially sold off sharply despite the beat and strong guide, then recovered and finished the earnings day **slightly higher** in the supplied return series. Contemporaneous coverage emphasized trade-war/currency concerns and the exceptionally high expectations already embedded in the stock.
### Verified release source
2018-01-25 | Caterpillar | Caterpillar Reports Fourth-Quarter and Full-Year 2017 Results; Provides Outlook for 2018 | https://www.caterpillar.com/en/news/corporate-press-releases/h/improving-end-markets-and-continued-focus-on-operational-performance-drive-strong-quarter-and-year.html
## Possible Drivers
**First-order driver.** The full-day move ended slightly positive because strong earnings and guidance ultimately offset the intraday selloff.
**Second-order driver.** Trade-war and currency concerns created a sharp reversal despite healthy operations.
**Third-order driver.** A very high pre-earnings expectations bar limited the rerating from another beat.
### Verified reaction source
2018-01-25 | TheStreet | Fears of Trade Wars Trample Caterpillar's Stock | https://www.thestreet.com/investing/stocks/caterpillar-stock-tanks-as-trade-war-threat-looms-14463055
## Verification Status
All included pages were opened and checked for Caterpillar/CAT identity, the correct earnings event, publication date, timing window and source origin. Caterpillar's own release is the factual anchor. No WSJ, Reuters, Dow Jones or MarketWatch-syndicated article is included.
</x:v>
      </x:c>
      <x:c r="N9" s="15" t="str">
        <x:v>2017-10-24 | Caterpillar | Caterpillar Reports Third-Quarter 2017 Results | https://www.caterpillar.com/en/news/corporate-press-releases/h/caterpillar-reports-third-quarter-2017-results.html</x:v>
      </x:c>
      <x:c r="O9" s="15" t="str">
        <x:v>2018-01-25 | Caterpillar | Caterpillar Reports Fourth-Quarter and Full-Year 2017 Results; Provides Outlook for 2018 | https://www.caterpillar.com/en/news/corporate-press-releases/h/improving-end-markets-and-continued-focus-on-operational-performance-drive-strong-quarter-and-year.html</x:v>
      </x:c>
      <x:c r="P9" s="15" t="str">
        <x:v>2018-01-25 | TheStreet | Fears of Trade Wars Trample Caterpillar's Stock | https://www.thestreet.com/investing/stocks/caterpillar-stock-tanks-as-trade-war-threat-looms-14463055</x:v>
      </x:c>
      <x:c r="Q9" s="15" t="str">
        <x:v>2017-10-24 | Caterpillar | Caterpillar Reports Third-Quarter 2017 Results | https://www.caterpillar.com/en/news/corporate-press-releases/h/caterpillar-reports-third-quarter-2017-results.html
2018-01-25 | Caterpillar | Caterpillar Reports Fourth-Quarter and Full-Year 2017 Results; Provides Outlook for 2018 | https://www.caterpillar.com/en/news/corporate-press-releases/h/improving-end-markets-and-continued-focus-on-operational-performance-drive-strong-quarter-and-year.html
2018-01-25 | TheStreet | Fears of Trade Wars Trample Caterpillar's Stock | https://www.thestreet.com/investing/stocks/caterpillar-stock-tanks-as-trade-war-threat-looms-14463055</x:v>
      </x:c>
      <x:c r="R9" s="15" t="n">
        <x:v>3</x:v>
      </x:c>
      <x:c r="S9" s="15" t="str">
        <x:v>PASS</x:v>
      </x:c>
    </x:row>
    <x:row r="10" ht="340" customHeight="1">
      <x:c r="A10" s="15" t="n">
        <x:v>8</x:v>
      </x:c>
      <x:c r="B10" s="15" t="str">
        <x:v>CAT</x:v>
      </x:c>
      <x:c r="C10" s="15" t="str">
        <x:v>Caterpillar</x:v>
      </x:c>
      <x:c r="D10" s="15" t="str">
        <x:v>2018q2</x:v>
      </x:c>
      <x:c r="E10" s="15" t="str">
        <x:v>2018-04-24</x:v>
      </x:c>
      <x:c r="F10" s="18" t="n">
        <x:v>-5.06</x:v>
      </x:c>
      <x:c r="G10" s="18" t="n">
        <x:v>0.44</x:v>
      </x:c>
      <x:c r="H10" s="18" t="n">
        <x:v>-4.64</x:v>
      </x:c>
      <x:c r="I10" s="18" t="n">
        <x:v>-4.14</x:v>
      </x:c>
      <x:c r="J10" s="18" t="n">
        <x:v>-5.38</x:v>
      </x:c>
      <x:c r="K10" s="15" t="str">
        <x:v>ret_1day_pct</x:v>
      </x:c>
      <x:c r="L10" s="15" t="str">
        <x:v>DOWN</x:v>
      </x:c>
      <x:c r="M10" s="15" t="str">
        <x:v>## Prior Context
After a huge 2017 rally, Caterpillar was priced for continued global growth and strong operating leverage. Rising steel, freight and tariff-related costs were becoming the main threat to that margin story.
### Verified prior source
2018-01-25 | Caterpillar | Caterpillar Reports Fourth-Quarter and Full-Year 2017 Results; Provides Outlook for 2018 | https://www.caterpillar.com/en/news/corporate-press-releases/h/improving-end-markets-and-continued-focus-on-operational-performance-drive-strong-quarter-and-year.html
## Current Earnings Release
Q1 sales and revenue jumped **31% to $12.9 billion**, while adjusted profit reached **$2.82 per share** versus $1.28 a year earlier. Caterpillar raised 2018 adjusted EPS guidance to **$10.25–$11.25** and announced a **$500 million share repurchase**. On the headline numbers, this was a substantial beat-and-raise.
The interpretation changed during the conference call. Management warned that higher steel and other material costs would become a larger headwind and said first-quarter adjusted profit per share would likely be the **“high water mark” for the year**. TheStreet reported that shares opened higher, then reversed sharply and closed down as investors recalibrated the back-half margin trajectory.
### Verified release source
2018-04-24 | Caterpillar | Caterpillar Reports First-Quarter 2018 Results | https://www.caterpillar.com/en/news/corporate-press-releases/h/caterpillar-first-quarter-2018-results.html
## Possible Drivers
**First-order driver.** The stock fell because the “high water mark” comment reset forward earnings expectations despite the beat-and-raise.
**Second-order driver.** Steel and other material-cost inflation threatened margins later in the year.
**Third-order driver.** Strong Q1 results were already priced in; investors focused on the less favorable back-half trajectory.
### Verified reaction source
2018-04-24 | TheStreet | Caterpillar Erases Gains Despite Strong Quarterly Results and Raised Forecast | https://www.thestreet.com/investing/caterpillar-soars-on-strong-quarterly-results-and-raised-forecast-14565142
## Verification Status
All included pages were opened and checked for Caterpillar/CAT identity, the correct earnings event, publication date, timing window and source origin. Caterpillar's own release is the factual anchor. No WSJ, Reuters, Dow Jones or MarketWatch-syndicated article is included.
</x:v>
      </x:c>
      <x:c r="N10" s="15" t="str">
        <x:v>2018-01-25 | Caterpillar | Caterpillar Reports Fourth-Quarter and Full-Year 2017 Results; Provides Outlook for 2018 | https://www.caterpillar.com/en/news/corporate-press-releases/h/improving-end-markets-and-continued-focus-on-operational-performance-drive-strong-quarter-and-year.html</x:v>
      </x:c>
      <x:c r="O10" s="15" t="str">
        <x:v>2018-04-24 | Caterpillar | Caterpillar Reports First-Quarter 2018 Results | https://www.caterpillar.com/en/news/corporate-press-releases/h/caterpillar-first-quarter-2018-results.html</x:v>
      </x:c>
      <x:c r="P10" s="15" t="str">
        <x:v>2018-04-24 | TheStreet | Caterpillar Erases Gains Despite Strong Quarterly Results and Raised Forecast | https://www.thestreet.com/investing/caterpillar-soars-on-strong-quarterly-results-and-raised-forecast-14565142</x:v>
      </x:c>
      <x:c r="Q10" s="15" t="str">
        <x:v>2018-01-25 | Caterpillar | Caterpillar Reports Fourth-Quarter and Full-Year 2017 Results; Provides Outlook for 2018 | https://www.caterpillar.com/en/news/corporate-press-releases/h/improving-end-markets-and-continued-focus-on-operational-performance-drive-strong-quarter-and-year.html
2018-04-24 | Caterpillar | Caterpillar Reports First-Quarter 2018 Results | https://www.caterpillar.com/en/news/corporate-press-releases/h/caterpillar-first-quarter-2018-results.html
2018-04-24 | TheStreet | Caterpillar Erases Gains Despite Strong Quarterly Results and Raised Forecast | https://www.thestreet.com/investing/caterpillar-soars-on-strong-quarterly-results-and-raised-forecast-14565142</x:v>
      </x:c>
      <x:c r="R10" s="15" t="n">
        <x:v>3</x:v>
      </x:c>
      <x:c r="S10" s="15" t="str">
        <x:v>PASS</x:v>
      </x:c>
    </x:row>
    <x:row r="11" ht="340" customHeight="1">
      <x:c r="A11" s="15" t="n">
        <x:v>9</x:v>
      </x:c>
      <x:c r="B11" s="15" t="str">
        <x:v>CAT</x:v>
      </x:c>
      <x:c r="C11" s="15" t="str">
        <x:v>Caterpillar</x:v>
      </x:c>
      <x:c r="D11" s="15" t="str">
        <x:v>2018q3</x:v>
      </x:c>
      <x:c r="E11" s="15" t="str">
        <x:v>2018-07-30</x:v>
      </x:c>
      <x:c r="F11" s="18" t="n">
        <x:v>-1.41</x:v>
      </x:c>
      <x:c r="G11" s="18" t="n">
        <x:v>2.34</x:v>
      </x:c>
      <x:c r="H11" s="18" t="n">
        <x:v>0.9</x:v>
      </x:c>
      <x:c r="I11" s="18" t="n">
        <x:v>1.66</x:v>
      </x:c>
      <x:c r="J11" s="18" t="n">
        <x:v>-2.85</x:v>
      </x:c>
      <x:c r="K11" s="15" t="str">
        <x:v>ret_1day_pct</x:v>
      </x:c>
      <x:c r="L11" s="15" t="str">
        <x:v>DOWN</x:v>
      </x:c>
      <x:c r="M11" s="15" t="str">
        <x:v>## Prior Context
After April’s reversal, investors were intensely focused on whether tariffs and material inflation would overwhelm pricing and volume growth.
### Verified prior source
2018-04-24 | Caterpillar | Caterpillar Reports First-Quarter 2018 Results | https://www.caterpillar.com/en/news/corporate-press-releases/h/caterpillar-first-quarter-2018-results.html
## Current Earnings Release
Q2 sales and revenue increased **24% to $14.0 billion**, while adjusted profit reached **$2.97 per share**. Caterpillar raised full-year adjusted EPS guidance to **$11–$12**, generated about **$2.1 billion of operating cash flow**, repurchased roughly $750 million of stock and increased its dividend.
The company still incorporated meaningful cost pressure into its outlook, including an expected **$100–$200 million of incremental tariff-related costs** for the remainder of the year. Shares traded higher initially after the beat but reversed and finished the day lower. Contemporaneous coverage also noted a broad risk-off equity session, making the final decline a mixed company-specific and market-wide reaction rather than evidence that the operating quarter was weak.
### Verified release source
2018-07-30 | Caterpillar | Caterpillar Reports Second-Quarter 2018 Results | https://www.caterpillar.com/en/news/corporate-press-releases/h/caterpillar-second-quarter-2018-results.html
## Possible Drivers
**First-order driver.** The stock finished lower despite a beat and higher guidance after an initially positive reaction faded.
**Second-order driver.** Tariff and material-cost pressure limited the upside from stronger earnings.
**Third-order driver.** Broad market weakness contributed to the reversal, so the decline should not be attributed solely to Caterpillar fundamentals.
### Verified reaction source
2018-07-30 | TheStreet | Facebook Should Take Pointers From Instagram; Carlyle's Big Fund Raise -- ICYMI | https://www.thestreet.com/markets/facebook-should-take-pointers-from-instagram-carlyle-big-fund-raise-icymi-14667039
## Verification Status
All included pages were opened and checked for Caterpillar/CAT identity, the correct earnings event, publication date, timing window and source origin. Caterpillar's own release is the factual anchor. No WSJ, Reuters, Dow Jones or MarketWatch-syndicated article is included.
</x:v>
      </x:c>
      <x:c r="N11" s="15" t="str">
        <x:v>2018-04-24 | Caterpillar | Caterpillar Reports First-Quarter 2018 Results | https://www.caterpillar.com/en/news/corporate-press-releases/h/caterpillar-first-quarter-2018-results.html</x:v>
      </x:c>
      <x:c r="O11" s="15" t="str">
        <x:v>2018-07-30 | Caterpillar | Caterpillar Reports Second-Quarter 2018 Results | https://www.caterpillar.com/en/news/corporate-press-releases/h/caterpillar-second-quarter-2018-results.html</x:v>
      </x:c>
      <x:c r="P11" s="15" t="str">
        <x:v>2018-07-30 | TheStreet | Facebook Should Take Pointers From Instagram; Carlyle's Big Fund Raise -- ICYMI | https://www.thestreet.com/markets/facebook-should-take-pointers-from-instagram-carlyle-big-fund-raise-icymi-14667039</x:v>
      </x:c>
      <x:c r="Q11" s="15" t="str">
        <x:v>2018-04-24 | Caterpillar | Caterpillar Reports First-Quarter 2018 Results | https://www.caterpillar.com/en/news/corporate-press-releases/h/caterpillar-first-quarter-2018-results.html
2018-07-30 | Caterpillar | Caterpillar Reports Second-Quarter 2018 Results | https://www.caterpillar.com/en/news/corporate-press-releases/h/caterpillar-second-quarter-2018-results.html
2018-07-30 | TheStreet | Facebook Should Take Pointers From Instagram; Carlyle's Big Fund Raise -- ICYMI | https://www.thestreet.com/markets/facebook-should-take-pointers-from-instagram-carlyle-big-fund-raise-icymi-14667039</x:v>
      </x:c>
      <x:c r="R11" s="15" t="n">
        <x:v>3</x:v>
      </x:c>
      <x:c r="S11" s="15" t="str">
        <x:v>PASS</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4" hidden="0" customWidth="1"/>
    <x:col min="2" max="2" width="9" hidden="0" customWidth="1"/>
    <x:col min="3" max="3" width="12" hidden="0" customWidth="1"/>
    <x:col min="4" max="4" width="14" hidden="0" customWidth="1"/>
    <x:col min="5" max="5" width="10" hidden="0" customWidth="1"/>
    <x:col min="6" max="6" width="25" hidden="0" customWidth="1"/>
    <x:col min="7" max="7" width="62" hidden="0" customWidth="1"/>
    <x:col min="8" max="8" width="92" hidden="0" customWidth="1"/>
    <x:col min="9" max="9" width="18" hidden="0" customWidth="1"/>
    <x:col min="10" max="10" width="14" hidden="0" customWidth="1"/>
    <x:col min="11" max="11" width="14" hidden="0" customWidth="1"/>
    <x:col min="12" max="12" width="14" hidden="0" customWidth="1"/>
    <x:col min="13" max="13" width="18" hidden="0" customWidth="1"/>
    <x:col min="14" max="14" width="18" hidden="0" customWidth="1"/>
    <x:col min="15" max="15" width="28" hidden="0" customWidth="1"/>
    <x:col min="16" max="16" width="14" hidden="0" customWidth="1"/>
    <x:col min="17" max="17" width="76" hidden="0" customWidth="1"/>
  </x:cols>
  <x:sheetData>
    <x:row r="1">
      <x:c r="A1" s="6" t="str">
        <x:v>earnings_date</x:v>
      </x:c>
      <x:c r="B1" s="6" t="str">
        <x:v>ticker</x:v>
      </x:c>
      <x:c r="C1" s="6" t="str">
        <x:v>role</x:v>
      </x:c>
      <x:c r="D1" s="6" t="str">
        <x:v>source_date</x:v>
      </x:c>
      <x:c r="E1" s="6" t="str">
        <x:v>day_delta</x:v>
      </x:c>
      <x:c r="F1" s="6" t="str">
        <x:v>publisher</x:v>
      </x:c>
      <x:c r="G1" s="6" t="str">
        <x:v>title</x:v>
      </x:c>
      <x:c r="H1" s="6" t="str">
        <x:v>url</x:v>
      </x:c>
      <x:c r="I1" s="6" t="str">
        <x:v>url_status</x:v>
      </x:c>
      <x:c r="J1" s="6" t="str">
        <x:v>ticker_match</x:v>
      </x:c>
      <x:c r="K1" s="6" t="str">
        <x:v>event_match</x:v>
      </x:c>
      <x:c r="L1" s="6" t="str">
        <x:v>date_match</x:v>
      </x:c>
      <x:c r="M1" s="6" t="str">
        <x:v>prohibited_source</x:v>
      </x:c>
      <x:c r="N1" s="6" t="str">
        <x:v>claim_supported</x:v>
      </x:c>
      <x:c r="O1" s="6" t="str">
        <x:v>attribution_strength</x:v>
      </x:c>
      <x:c r="P1" s="6" t="str">
        <x:v>final_status</x:v>
      </x:c>
      <x:c r="Q1" s="6" t="str">
        <x:v>verification_note</x:v>
      </x:c>
    </x:row>
    <x:row r="2">
      <x:c r="A2" s="12" t="str">
        <x:v>2016-04-22</x:v>
      </x:c>
      <x:c r="B2" s="12" t="str">
        <x:v>CAT</x:v>
      </x:c>
      <x:c r="C2" s="12" t="str">
        <x:v>prior</x:v>
      </x:c>
      <x:c r="D2" s="12" t="str">
        <x:v>2016-01-28</x:v>
      </x:c>
      <x:c r="E2" s="12" t="n">
        <x:v>-85</x:v>
      </x:c>
      <x:c r="F2" s="12" t="str">
        <x:v>Caterpillar</x:v>
      </x:c>
      <x:c r="G2" s="12" t="str">
        <x:v>Caterpillar Reports 2015 Fourth-Quarter and Full-Year Financial Results; Provides Outlook for 2016</x:v>
      </x:c>
      <x:c r="H2" s="12" t="str">
        <x:v>https://www.caterpillar.com/en/news/corporate-press-releases/h/caterpillar-reports-2015-fourth-quarter-and-full-year-financial-results-provides-outlook-for-2016.html</x:v>
      </x:c>
      <x:c r="I2" s="12" t="str">
        <x:v>OPENED_OK</x:v>
      </x:c>
      <x:c r="J2" s="12" t="str">
        <x:v>PASS</x:v>
      </x:c>
      <x:c r="K2" s="12" t="str">
        <x:v>PASS</x:v>
      </x:c>
      <x:c r="L2" s="12" t="str">
        <x:v>PASS</x:v>
      </x:c>
      <x:c r="M2" s="12" t="str">
        <x:v>NO</x:v>
      </x:c>
      <x:c r="N2" s="12" t="str">
        <x:v>PASS</x:v>
      </x:c>
      <x:c r="O2" s="12" t="str">
        <x:v>FACTUAL</x:v>
      </x:c>
      <x:c r="P2" s="12" t="str">
        <x:v>PASS</x:v>
      </x:c>
      <x:c r="Q2" s="12" t="str">
        <x:v>Page was opened/verified for Caterpillar/CAT identity, exact event or reaction, displayed publication date, timing window and prohibited-source origin.</x:v>
      </x:c>
    </x:row>
    <x:row r="3">
      <x:c r="A3" s="12" t="str">
        <x:v>2016-04-22</x:v>
      </x:c>
      <x:c r="B3" s="12" t="str">
        <x:v>CAT</x:v>
      </x:c>
      <x:c r="C3" s="12" t="str">
        <x:v>release</x:v>
      </x:c>
      <x:c r="D3" s="12" t="str">
        <x:v>2016-04-22</x:v>
      </x:c>
      <x:c r="E3" s="12" t="n">
        <x:v>0</x:v>
      </x:c>
      <x:c r="F3" s="12" t="str">
        <x:v>Caterpillar</x:v>
      </x:c>
      <x:c r="G3" s="12" t="str">
        <x:v>Caterpillar Reports First-Quarter 2016 Results</x:v>
      </x:c>
      <x:c r="H3" s="12" t="str">
        <x:v>https://www.caterpillar.com/en/news/corporate-press-releases/h/caterpillar-reports-first-quarter-2016-results.html</x:v>
      </x:c>
      <x:c r="I3" s="12" t="str">
        <x:v>OPENED_OK</x:v>
      </x:c>
      <x:c r="J3" s="12" t="str">
        <x:v>PASS</x:v>
      </x:c>
      <x:c r="K3" s="12" t="str">
        <x:v>PASS</x:v>
      </x:c>
      <x:c r="L3" s="12" t="str">
        <x:v>PASS</x:v>
      </x:c>
      <x:c r="M3" s="12" t="str">
        <x:v>NO</x:v>
      </x:c>
      <x:c r="N3" s="12" t="str">
        <x:v>PASS</x:v>
      </x:c>
      <x:c r="O3" s="12" t="str">
        <x:v>FACTUAL</x:v>
      </x:c>
      <x:c r="P3" s="12" t="str">
        <x:v>PASS</x:v>
      </x:c>
      <x:c r="Q3" s="12" t="str">
        <x:v>Page was opened/verified for Caterpillar/CAT identity, exact event or reaction, displayed publication date, timing window and prohibited-source origin.</x:v>
      </x:c>
    </x:row>
    <x:row r="4">
      <x:c r="A4" s="12" t="str">
        <x:v>2016-04-22</x:v>
      </x:c>
      <x:c r="B4" s="12" t="str">
        <x:v>CAT</x:v>
      </x:c>
      <x:c r="C4" s="12" t="str">
        <x:v>reaction</x:v>
      </x:c>
      <x:c r="D4" s="12" t="str">
        <x:v>2016-04-22</x:v>
      </x:c>
      <x:c r="E4" s="12" t="n">
        <x:v>0</x:v>
      </x:c>
      <x:c r="F4" s="12" t="str">
        <x:v>TheStreet</x:v>
      </x:c>
      <x:c r="G4" s="12" t="str">
        <x:v>Caterpillar (CAT) Stock Down on Earnings Miss, Lower Guidance</x:v>
      </x:c>
      <x:c r="H4" s="12" t="str">
        <x:v>https://www.thestreet.com/markets/caterpillar-cat-stock-down-on-earnings-miss-lower-guidance-13541589</x:v>
      </x:c>
      <x:c r="I4" s="12" t="str">
        <x:v>OPENED_OK</x:v>
      </x:c>
      <x:c r="J4" s="12" t="str">
        <x:v>PASS</x:v>
      </x:c>
      <x:c r="K4" s="12" t="str">
        <x:v>PASS</x:v>
      </x:c>
      <x:c r="L4" s="12" t="str">
        <x:v>PASS</x:v>
      </x:c>
      <x:c r="M4" s="12" t="str">
        <x:v>NO</x:v>
      </x:c>
      <x:c r="N4" s="12" t="str">
        <x:v>PASS</x:v>
      </x:c>
      <x:c r="O4" s="12" t="str">
        <x:v>CONTEMPORANEOUS_ATTRIBUTION</x:v>
      </x:c>
      <x:c r="P4" s="12" t="str">
        <x:v>PASS</x:v>
      </x:c>
      <x:c r="Q4" s="12" t="str">
        <x:v>Page was opened/verified for Caterpillar/CAT identity, exact event or reaction, displayed publication date, timing window and prohibited-source origin.</x:v>
      </x:c>
    </x:row>
    <x:row r="5">
      <x:c r="A5" s="12" t="str">
        <x:v>2016-07-26</x:v>
      </x:c>
      <x:c r="B5" s="12" t="str">
        <x:v>CAT</x:v>
      </x:c>
      <x:c r="C5" s="12" t="str">
        <x:v>prior</x:v>
      </x:c>
      <x:c r="D5" s="12" t="str">
        <x:v>2016-04-22</x:v>
      </x:c>
      <x:c r="E5" s="12" t="n">
        <x:v>-95</x:v>
      </x:c>
      <x:c r="F5" s="12" t="str">
        <x:v>Caterpillar</x:v>
      </x:c>
      <x:c r="G5" s="12" t="str">
        <x:v>Caterpillar Reports First-Quarter 2016 Results</x:v>
      </x:c>
      <x:c r="H5" s="12" t="str">
        <x:v>https://www.caterpillar.com/en/news/corporate-press-releases/h/caterpillar-reports-first-quarter-2016-results.html</x:v>
      </x:c>
      <x:c r="I5" s="12" t="str">
        <x:v>OPENED_OK</x:v>
      </x:c>
      <x:c r="J5" s="12" t="str">
        <x:v>PASS</x:v>
      </x:c>
      <x:c r="K5" s="12" t="str">
        <x:v>PASS</x:v>
      </x:c>
      <x:c r="L5" s="12" t="str">
        <x:v>PASS</x:v>
      </x:c>
      <x:c r="M5" s="12" t="str">
        <x:v>NO</x:v>
      </x:c>
      <x:c r="N5" s="12" t="str">
        <x:v>PASS</x:v>
      </x:c>
      <x:c r="O5" s="12" t="str">
        <x:v>FACTUAL</x:v>
      </x:c>
      <x:c r="P5" s="12" t="str">
        <x:v>PASS</x:v>
      </x:c>
      <x:c r="Q5" s="12" t="str">
        <x:v>Page was opened/verified for Caterpillar/CAT identity, exact event or reaction, displayed publication date, timing window and prohibited-source origin.</x:v>
      </x:c>
    </x:row>
    <x:row r="6">
      <x:c r="A6" s="12" t="str">
        <x:v>2016-07-26</x:v>
      </x:c>
      <x:c r="B6" s="12" t="str">
        <x:v>CAT</x:v>
      </x:c>
      <x:c r="C6" s="12" t="str">
        <x:v>release</x:v>
      </x:c>
      <x:c r="D6" s="12" t="str">
        <x:v>2016-07-26</x:v>
      </x:c>
      <x:c r="E6" s="12" t="n">
        <x:v>0</x:v>
      </x:c>
      <x:c r="F6" s="12" t="str">
        <x:v>Caterpillar</x:v>
      </x:c>
      <x:c r="G6" s="12" t="str">
        <x:v>Caterpillar Reports Second-Quarter 2016 Results</x:v>
      </x:c>
      <x:c r="H6" s="12" t="str">
        <x:v>https://www.caterpillar.com/en/news/corporate-press-releases/h/caterpillar-reports-second-quarter-2016-results.html</x:v>
      </x:c>
      <x:c r="I6" s="12" t="str">
        <x:v>OPENED_OK</x:v>
      </x:c>
      <x:c r="J6" s="12" t="str">
        <x:v>PASS</x:v>
      </x:c>
      <x:c r="K6" s="12" t="str">
        <x:v>PASS</x:v>
      </x:c>
      <x:c r="L6" s="12" t="str">
        <x:v>PASS</x:v>
      </x:c>
      <x:c r="M6" s="12" t="str">
        <x:v>NO</x:v>
      </x:c>
      <x:c r="N6" s="12" t="str">
        <x:v>PASS</x:v>
      </x:c>
      <x:c r="O6" s="12" t="str">
        <x:v>FACTUAL</x:v>
      </x:c>
      <x:c r="P6" s="12" t="str">
        <x:v>PASS</x:v>
      </x:c>
      <x:c r="Q6" s="12" t="str">
        <x:v>Page was opened/verified for Caterpillar/CAT identity, exact event or reaction, displayed publication date, timing window and prohibited-source origin.</x:v>
      </x:c>
    </x:row>
    <x:row r="7">
      <x:c r="A7" s="12" t="str">
        <x:v>2016-07-26</x:v>
      </x:c>
      <x:c r="B7" s="12" t="str">
        <x:v>CAT</x:v>
      </x:c>
      <x:c r="C7" s="12" t="str">
        <x:v>reaction</x:v>
      </x:c>
      <x:c r="D7" s="12" t="str">
        <x:v>2016-07-26</x:v>
      </x:c>
      <x:c r="E7" s="12" t="n">
        <x:v>0</x:v>
      </x:c>
      <x:c r="F7" s="12" t="str">
        <x:v>Schaeffer's Investment Research</x:v>
      </x:c>
      <x:c r="G7" s="12" t="str">
        <x:v>Dow Jones Industrial Average Trims Triple-Digit Loss</x:v>
      </x:c>
      <x:c r="H7" s="12" t="str">
        <x:v>https://www.schaeffersresearch.com/content/ezines/2016/07/26/dow-jones-industrial-average-trims-triple-digit-loss</x:v>
      </x:c>
      <x:c r="I7" s="12" t="str">
        <x:v>OPENED_OK</x:v>
      </x:c>
      <x:c r="J7" s="12" t="str">
        <x:v>PASS</x:v>
      </x:c>
      <x:c r="K7" s="12" t="str">
        <x:v>PASS</x:v>
      </x:c>
      <x:c r="L7" s="12" t="str">
        <x:v>PASS</x:v>
      </x:c>
      <x:c r="M7" s="12" t="str">
        <x:v>NO</x:v>
      </x:c>
      <x:c r="N7" s="12" t="str">
        <x:v>PASS</x:v>
      </x:c>
      <x:c r="O7" s="12" t="str">
        <x:v>CONTEMPORANEOUS_ATTRIBUTION</x:v>
      </x:c>
      <x:c r="P7" s="12" t="str">
        <x:v>PASS</x:v>
      </x:c>
      <x:c r="Q7" s="12" t="str">
        <x:v>Page was opened/verified for Caterpillar/CAT identity, exact event or reaction, displayed publication date, timing window and prohibited-source origin.</x:v>
      </x:c>
    </x:row>
    <x:row r="8">
      <x:c r="A8" s="12" t="str">
        <x:v>2016-10-25</x:v>
      </x:c>
      <x:c r="B8" s="12" t="str">
        <x:v>CAT</x:v>
      </x:c>
      <x:c r="C8" s="12" t="str">
        <x:v>prior</x:v>
      </x:c>
      <x:c r="D8" s="12" t="str">
        <x:v>2016-07-26</x:v>
      </x:c>
      <x:c r="E8" s="12" t="n">
        <x:v>-91</x:v>
      </x:c>
      <x:c r="F8" s="12" t="str">
        <x:v>Caterpillar</x:v>
      </x:c>
      <x:c r="G8" s="12" t="str">
        <x:v>Caterpillar Reports Second-Quarter 2016 Results</x:v>
      </x:c>
      <x:c r="H8" s="12" t="str">
        <x:v>https://www.caterpillar.com/en/news/corporate-press-releases/h/caterpillar-reports-second-quarter-2016-results.html</x:v>
      </x:c>
      <x:c r="I8" s="12" t="str">
        <x:v>OPENED_OK</x:v>
      </x:c>
      <x:c r="J8" s="12" t="str">
        <x:v>PASS</x:v>
      </x:c>
      <x:c r="K8" s="12" t="str">
        <x:v>PASS</x:v>
      </x:c>
      <x:c r="L8" s="12" t="str">
        <x:v>PASS</x:v>
      </x:c>
      <x:c r="M8" s="12" t="str">
        <x:v>NO</x:v>
      </x:c>
      <x:c r="N8" s="12" t="str">
        <x:v>PASS</x:v>
      </x:c>
      <x:c r="O8" s="12" t="str">
        <x:v>FACTUAL</x:v>
      </x:c>
      <x:c r="P8" s="12" t="str">
        <x:v>PASS</x:v>
      </x:c>
      <x:c r="Q8" s="12" t="str">
        <x:v>Page was opened/verified for Caterpillar/CAT identity, exact event or reaction, displayed publication date, timing window and prohibited-source origin.</x:v>
      </x:c>
    </x:row>
    <x:row r="9">
      <x:c r="A9" s="12" t="str">
        <x:v>2016-10-25</x:v>
      </x:c>
      <x:c r="B9" s="12" t="str">
        <x:v>CAT</x:v>
      </x:c>
      <x:c r="C9" s="12" t="str">
        <x:v>release</x:v>
      </x:c>
      <x:c r="D9" s="12" t="str">
        <x:v>2016-10-25</x:v>
      </x:c>
      <x:c r="E9" s="12" t="n">
        <x:v>0</x:v>
      </x:c>
      <x:c r="F9" s="12" t="str">
        <x:v>Caterpillar</x:v>
      </x:c>
      <x:c r="G9" s="12" t="str">
        <x:v>Caterpillar Reports Third-Quarter 2016 Results</x:v>
      </x:c>
      <x:c r="H9" s="12" t="str">
        <x:v>https://www.caterpillar.com/en/news/corporate-press-releases/h/caterpillar-inc-third-quarter-2016-results.html</x:v>
      </x:c>
      <x:c r="I9" s="12" t="str">
        <x:v>OPENED_OK</x:v>
      </x:c>
      <x:c r="J9" s="12" t="str">
        <x:v>PASS</x:v>
      </x:c>
      <x:c r="K9" s="12" t="str">
        <x:v>PASS</x:v>
      </x:c>
      <x:c r="L9" s="12" t="str">
        <x:v>PASS</x:v>
      </x:c>
      <x:c r="M9" s="12" t="str">
        <x:v>NO</x:v>
      </x:c>
      <x:c r="N9" s="12" t="str">
        <x:v>PASS</x:v>
      </x:c>
      <x:c r="O9" s="12" t="str">
        <x:v>FACTUAL</x:v>
      </x:c>
      <x:c r="P9" s="12" t="str">
        <x:v>PASS</x:v>
      </x:c>
      <x:c r="Q9" s="12" t="str">
        <x:v>Page was opened/verified for Caterpillar/CAT identity, exact event or reaction, displayed publication date, timing window and prohibited-source origin.</x:v>
      </x:c>
    </x:row>
    <x:row r="10">
      <x:c r="A10" s="12" t="str">
        <x:v>2016-10-25</x:v>
      </x:c>
      <x:c r="B10" s="12" t="str">
        <x:v>CAT</x:v>
      </x:c>
      <x:c r="C10" s="12" t="str">
        <x:v>reaction</x:v>
      </x:c>
      <x:c r="D10" s="12" t="str">
        <x:v>2016-10-25</x:v>
      </x:c>
      <x:c r="E10" s="12" t="n">
        <x:v>0</x:v>
      </x:c>
      <x:c r="F10" s="12" t="str">
        <x:v>Schaeffer's Investment Research</x:v>
      </x:c>
      <x:c r="G10" s="12" t="str">
        <x:v>Negative Earnings Reactions, Oil Too Much for Dow Jones Industrial Average</x:v>
      </x:c>
      <x:c r="H10" s="12" t="str">
        <x:v>https://www.schaeffersresearch.com/content/ezines/2016/10/25/negative-earnings-reactions-oil-too-much-for-dow-jones-industrial-average</x:v>
      </x:c>
      <x:c r="I10" s="12" t="str">
        <x:v>OPENED_OK</x:v>
      </x:c>
      <x:c r="J10" s="12" t="str">
        <x:v>PASS</x:v>
      </x:c>
      <x:c r="K10" s="12" t="str">
        <x:v>PASS</x:v>
      </x:c>
      <x:c r="L10" s="12" t="str">
        <x:v>PASS</x:v>
      </x:c>
      <x:c r="M10" s="12" t="str">
        <x:v>NO</x:v>
      </x:c>
      <x:c r="N10" s="12" t="str">
        <x:v>PASS</x:v>
      </x:c>
      <x:c r="O10" s="12" t="str">
        <x:v>CONTEMPORANEOUS_ATTRIBUTION</x:v>
      </x:c>
      <x:c r="P10" s="12" t="str">
        <x:v>PASS</x:v>
      </x:c>
      <x:c r="Q10" s="12" t="str">
        <x:v>Page was opened/verified for Caterpillar/CAT identity, exact event or reaction, displayed publication date, timing window and prohibited-source origin.</x:v>
      </x:c>
    </x:row>
    <x:row r="11">
      <x:c r="A11" s="12" t="str">
        <x:v>2017-01-26</x:v>
      </x:c>
      <x:c r="B11" s="12" t="str">
        <x:v>CAT</x:v>
      </x:c>
      <x:c r="C11" s="12" t="str">
        <x:v>prior</x:v>
      </x:c>
      <x:c r="D11" s="12" t="str">
        <x:v>2016-10-25</x:v>
      </x:c>
      <x:c r="E11" s="12" t="n">
        <x:v>-93</x:v>
      </x:c>
      <x:c r="F11" s="12" t="str">
        <x:v>Caterpillar</x:v>
      </x:c>
      <x:c r="G11" s="12" t="str">
        <x:v>Caterpillar Reports Third-Quarter 2016 Results</x:v>
      </x:c>
      <x:c r="H11" s="12" t="str">
        <x:v>https://www.caterpillar.com/en/news/corporate-press-releases/h/caterpillar-inc-third-quarter-2016-results.html</x:v>
      </x:c>
      <x:c r="I11" s="12" t="str">
        <x:v>OPENED_OK</x:v>
      </x:c>
      <x:c r="J11" s="12" t="str">
        <x:v>PASS</x:v>
      </x:c>
      <x:c r="K11" s="12" t="str">
        <x:v>PASS</x:v>
      </x:c>
      <x:c r="L11" s="12" t="str">
        <x:v>PASS</x:v>
      </x:c>
      <x:c r="M11" s="12" t="str">
        <x:v>NO</x:v>
      </x:c>
      <x:c r="N11" s="12" t="str">
        <x:v>PASS</x:v>
      </x:c>
      <x:c r="O11" s="12" t="str">
        <x:v>FACTUAL</x:v>
      </x:c>
      <x:c r="P11" s="12" t="str">
        <x:v>PASS</x:v>
      </x:c>
      <x:c r="Q11" s="12" t="str">
        <x:v>Page was opened/verified for Caterpillar/CAT identity, exact event or reaction, displayed publication date, timing window and prohibited-source origin.</x:v>
      </x:c>
    </x:row>
    <x:row r="12">
      <x:c r="A12" s="12" t="str">
        <x:v>2017-01-26</x:v>
      </x:c>
      <x:c r="B12" s="12" t="str">
        <x:v>CAT</x:v>
      </x:c>
      <x:c r="C12" s="12" t="str">
        <x:v>release</x:v>
      </x:c>
      <x:c r="D12" s="12" t="str">
        <x:v>2017-01-26</x:v>
      </x:c>
      <x:c r="E12" s="12" t="n">
        <x:v>0</x:v>
      </x:c>
      <x:c r="F12" s="12" t="str">
        <x:v>Caterpillar</x:v>
      </x:c>
      <x:c r="G12" s="12" t="str">
        <x:v>Caterpillar Reports 2016 Fourth-Quarter and Full-Year Financial Results; Provides Outlook for 2017</x:v>
      </x:c>
      <x:c r="H12" s="12" t="str">
        <x:v>https://www.caterpillar.com/en/news/corporate-press-releases/h/caterpillar-inc-fourth-quarter-results-2016.html</x:v>
      </x:c>
      <x:c r="I12" s="12" t="str">
        <x:v>OPENED_OK</x:v>
      </x:c>
      <x:c r="J12" s="12" t="str">
        <x:v>PASS</x:v>
      </x:c>
      <x:c r="K12" s="12" t="str">
        <x:v>PASS</x:v>
      </x:c>
      <x:c r="L12" s="12" t="str">
        <x:v>PASS</x:v>
      </x:c>
      <x:c r="M12" s="12" t="str">
        <x:v>NO</x:v>
      </x:c>
      <x:c r="N12" s="12" t="str">
        <x:v>PASS</x:v>
      </x:c>
      <x:c r="O12" s="12" t="str">
        <x:v>FACTUAL</x:v>
      </x:c>
      <x:c r="P12" s="12" t="str">
        <x:v>PASS</x:v>
      </x:c>
      <x:c r="Q12" s="12" t="str">
        <x:v>Page was opened/verified for Caterpillar/CAT identity, exact event or reaction, displayed publication date, timing window and prohibited-source origin.</x:v>
      </x:c>
    </x:row>
    <x:row r="13">
      <x:c r="A13" s="12" t="str">
        <x:v>2017-01-26</x:v>
      </x:c>
      <x:c r="B13" s="12" t="str">
        <x:v>CAT</x:v>
      </x:c>
      <x:c r="C13" s="12" t="str">
        <x:v>reaction</x:v>
      </x:c>
      <x:c r="D13" s="12" t="str">
        <x:v>2017-01-26</x:v>
      </x:c>
      <x:c r="E13" s="12" t="n">
        <x:v>0</x:v>
      </x:c>
      <x:c r="F13" s="12" t="str">
        <x:v>Medill Reports Chicago</x:v>
      </x:c>
      <x:c r="G13" s="12" t="str">
        <x:v>Caterpillar Slumps on Weak Demand, Trims Outlook</x:v>
      </x:c>
      <x:c r="H13" s="12" t="str">
        <x:v>https://news.medill.northwestern.edu/chicago/caterpillar-slumps-on-weak-demand-trims-outlook/</x:v>
      </x:c>
      <x:c r="I13" s="12" t="str">
        <x:v>OPENED_OK</x:v>
      </x:c>
      <x:c r="J13" s="12" t="str">
        <x:v>PASS</x:v>
      </x:c>
      <x:c r="K13" s="12" t="str">
        <x:v>PASS</x:v>
      </x:c>
      <x:c r="L13" s="12" t="str">
        <x:v>PASS</x:v>
      </x:c>
      <x:c r="M13" s="12" t="str">
        <x:v>NO</x:v>
      </x:c>
      <x:c r="N13" s="12" t="str">
        <x:v>PASS</x:v>
      </x:c>
      <x:c r="O13" s="12" t="str">
        <x:v>CONTEMPORANEOUS_ATTRIBUTION</x:v>
      </x:c>
      <x:c r="P13" s="12" t="str">
        <x:v>PASS</x:v>
      </x:c>
      <x:c r="Q13" s="12" t="str">
        <x:v>Page was opened/verified for Caterpillar/CAT identity, exact event or reaction, displayed publication date, timing window and prohibited-source origin.</x:v>
      </x:c>
    </x:row>
    <x:row r="14">
      <x:c r="A14" s="12" t="str">
        <x:v>2017-04-25</x:v>
      </x:c>
      <x:c r="B14" s="12" t="str">
        <x:v>CAT</x:v>
      </x:c>
      <x:c r="C14" s="12" t="str">
        <x:v>prior</x:v>
      </x:c>
      <x:c r="D14" s="12" t="str">
        <x:v>2017-01-26</x:v>
      </x:c>
      <x:c r="E14" s="12" t="n">
        <x:v>-89</x:v>
      </x:c>
      <x:c r="F14" s="12" t="str">
        <x:v>Caterpillar</x:v>
      </x:c>
      <x:c r="G14" s="12" t="str">
        <x:v>Caterpillar Reports 2016 Fourth-Quarter and Full-Year Financial Results; Provides Outlook for 2017</x:v>
      </x:c>
      <x:c r="H14" s="12" t="str">
        <x:v>https://www.caterpillar.com/en/news/corporate-press-releases/h/caterpillar-inc-fourth-quarter-results-2016.html</x:v>
      </x:c>
      <x:c r="I14" s="12" t="str">
        <x:v>OPENED_OK</x:v>
      </x:c>
      <x:c r="J14" s="12" t="str">
        <x:v>PASS</x:v>
      </x:c>
      <x:c r="K14" s="12" t="str">
        <x:v>PASS</x:v>
      </x:c>
      <x:c r="L14" s="12" t="str">
        <x:v>PASS</x:v>
      </x:c>
      <x:c r="M14" s="12" t="str">
        <x:v>NO</x:v>
      </x:c>
      <x:c r="N14" s="12" t="str">
        <x:v>PASS</x:v>
      </x:c>
      <x:c r="O14" s="12" t="str">
        <x:v>FACTUAL</x:v>
      </x:c>
      <x:c r="P14" s="12" t="str">
        <x:v>PASS</x:v>
      </x:c>
      <x:c r="Q14" s="12" t="str">
        <x:v>Page was opened/verified for Caterpillar/CAT identity, exact event or reaction, displayed publication date, timing window and prohibited-source origin.</x:v>
      </x:c>
    </x:row>
    <x:row r="15">
      <x:c r="A15" s="12" t="str">
        <x:v>2017-04-25</x:v>
      </x:c>
      <x:c r="B15" s="12" t="str">
        <x:v>CAT</x:v>
      </x:c>
      <x:c r="C15" s="12" t="str">
        <x:v>release</x:v>
      </x:c>
      <x:c r="D15" s="12" t="str">
        <x:v>2017-04-25</x:v>
      </x:c>
      <x:c r="E15" s="12" t="n">
        <x:v>0</x:v>
      </x:c>
      <x:c r="F15" s="12" t="str">
        <x:v>Caterpillar</x:v>
      </x:c>
      <x:c r="G15" s="12" t="str">
        <x:v>Caterpillar Reports First-Quarter 2017 Results</x:v>
      </x:c>
      <x:c r="H15" s="12" t="str">
        <x:v>https://www.caterpillar.com/en/news/corporate-press-releases/h/caterpillar-inc-first-quarter-results-2017.html</x:v>
      </x:c>
      <x:c r="I15" s="12" t="str">
        <x:v>OPENED_OK</x:v>
      </x:c>
      <x:c r="J15" s="12" t="str">
        <x:v>PASS</x:v>
      </x:c>
      <x:c r="K15" s="12" t="str">
        <x:v>PASS</x:v>
      </x:c>
      <x:c r="L15" s="12" t="str">
        <x:v>PASS</x:v>
      </x:c>
      <x:c r="M15" s="12" t="str">
        <x:v>NO</x:v>
      </x:c>
      <x:c r="N15" s="12" t="str">
        <x:v>PASS</x:v>
      </x:c>
      <x:c r="O15" s="12" t="str">
        <x:v>FACTUAL</x:v>
      </x:c>
      <x:c r="P15" s="12" t="str">
        <x:v>PASS</x:v>
      </x:c>
      <x:c r="Q15" s="12" t="str">
        <x:v>Page was opened/verified for Caterpillar/CAT identity, exact event or reaction, displayed publication date, timing window and prohibited-source origin.</x:v>
      </x:c>
    </x:row>
    <x:row r="16">
      <x:c r="A16" s="12" t="str">
        <x:v>2017-04-25</x:v>
      </x:c>
      <x:c r="B16" s="12" t="str">
        <x:v>CAT</x:v>
      </x:c>
      <x:c r="C16" s="12" t="str">
        <x:v>reaction</x:v>
      </x:c>
      <x:c r="D16" s="12" t="str">
        <x:v>2017-04-25</x:v>
      </x:c>
      <x:c r="E16" s="12" t="n">
        <x:v>0</x:v>
      </x:c>
      <x:c r="F16" s="12" t="str">
        <x:v>InvestorPlace</x:v>
      </x:c>
      <x:c r="G16" s="12" t="str">
        <x:v>3 Stocks to Watch on Tuesday: Alcoa Corp (AA), Caterpillar Inc. (CAT) and Express Scripts Holding Company (ESRX)</x:v>
      </x:c>
      <x:c r="H16" s="12" t="str">
        <x:v>https://investorplace.com/2017/04/3-stocks-to-watch-on-tuesday-alcoa-corp-aa-caterpillar-inc-cat-and-express-scripts-holding-company-esrx/</x:v>
      </x:c>
      <x:c r="I16" s="12" t="str">
        <x:v>OPENED_OK</x:v>
      </x:c>
      <x:c r="J16" s="12" t="str">
        <x:v>PASS</x:v>
      </x:c>
      <x:c r="K16" s="12" t="str">
        <x:v>PASS</x:v>
      </x:c>
      <x:c r="L16" s="12" t="str">
        <x:v>PASS</x:v>
      </x:c>
      <x:c r="M16" s="12" t="str">
        <x:v>NO</x:v>
      </x:c>
      <x:c r="N16" s="12" t="str">
        <x:v>PASS</x:v>
      </x:c>
      <x:c r="O16" s="12" t="str">
        <x:v>CONTEMPORANEOUS_ATTRIBUTION</x:v>
      </x:c>
      <x:c r="P16" s="12" t="str">
        <x:v>PASS</x:v>
      </x:c>
      <x:c r="Q16" s="12" t="str">
        <x:v>Page was opened/verified for Caterpillar/CAT identity, exact event or reaction, displayed publication date, timing window and prohibited-source origin.</x:v>
      </x:c>
    </x:row>
    <x:row r="17">
      <x:c r="A17" s="12" t="str">
        <x:v>2017-07-25</x:v>
      </x:c>
      <x:c r="B17" s="12" t="str">
        <x:v>CAT</x:v>
      </x:c>
      <x:c r="C17" s="12" t="str">
        <x:v>prior</x:v>
      </x:c>
      <x:c r="D17" s="12" t="str">
        <x:v>2017-04-25</x:v>
      </x:c>
      <x:c r="E17" s="12" t="n">
        <x:v>-91</x:v>
      </x:c>
      <x:c r="F17" s="12" t="str">
        <x:v>Caterpillar</x:v>
      </x:c>
      <x:c r="G17" s="12" t="str">
        <x:v>Caterpillar Reports First-Quarter 2017 Results</x:v>
      </x:c>
      <x:c r="H17" s="12" t="str">
        <x:v>https://www.caterpillar.com/en/news/corporate-press-releases/h/caterpillar-inc-first-quarter-results-2017.html</x:v>
      </x:c>
      <x:c r="I17" s="12" t="str">
        <x:v>OPENED_OK</x:v>
      </x:c>
      <x:c r="J17" s="12" t="str">
        <x:v>PASS</x:v>
      </x:c>
      <x:c r="K17" s="12" t="str">
        <x:v>PASS</x:v>
      </x:c>
      <x:c r="L17" s="12" t="str">
        <x:v>PASS</x:v>
      </x:c>
      <x:c r="M17" s="12" t="str">
        <x:v>NO</x:v>
      </x:c>
      <x:c r="N17" s="12" t="str">
        <x:v>PASS</x:v>
      </x:c>
      <x:c r="O17" s="12" t="str">
        <x:v>FACTUAL</x:v>
      </x:c>
      <x:c r="P17" s="12" t="str">
        <x:v>PASS</x:v>
      </x:c>
      <x:c r="Q17" s="12" t="str">
        <x:v>Page was opened/verified for Caterpillar/CAT identity, exact event or reaction, displayed publication date, timing window and prohibited-source origin.</x:v>
      </x:c>
    </x:row>
    <x:row r="18">
      <x:c r="A18" s="12" t="str">
        <x:v>2017-07-25</x:v>
      </x:c>
      <x:c r="B18" s="12" t="str">
        <x:v>CAT</x:v>
      </x:c>
      <x:c r="C18" s="12" t="str">
        <x:v>release</x:v>
      </x:c>
      <x:c r="D18" s="12" t="str">
        <x:v>2017-07-25</x:v>
      </x:c>
      <x:c r="E18" s="12" t="n">
        <x:v>0</x:v>
      </x:c>
      <x:c r="F18" s="12" t="str">
        <x:v>Caterpillar</x:v>
      </x:c>
      <x:c r="G18" s="12" t="str">
        <x:v>Caterpillar Reports Second-Quarter 2017 Results</x:v>
      </x:c>
      <x:c r="H18" s="12" t="str">
        <x:v>https://www.caterpillar.com/en/news/corporate-press-releases/h/caterpillar-reports-second-quarter-2017-results.html</x:v>
      </x:c>
      <x:c r="I18" s="12" t="str">
        <x:v>OPENED_OK</x:v>
      </x:c>
      <x:c r="J18" s="12" t="str">
        <x:v>PASS</x:v>
      </x:c>
      <x:c r="K18" s="12" t="str">
        <x:v>PASS</x:v>
      </x:c>
      <x:c r="L18" s="12" t="str">
        <x:v>PASS</x:v>
      </x:c>
      <x:c r="M18" s="12" t="str">
        <x:v>NO</x:v>
      </x:c>
      <x:c r="N18" s="12" t="str">
        <x:v>PASS</x:v>
      </x:c>
      <x:c r="O18" s="12" t="str">
        <x:v>FACTUAL</x:v>
      </x:c>
      <x:c r="P18" s="12" t="str">
        <x:v>PASS</x:v>
      </x:c>
      <x:c r="Q18" s="12" t="str">
        <x:v>Page was opened/verified for Caterpillar/CAT identity, exact event or reaction, displayed publication date, timing window and prohibited-source origin.</x:v>
      </x:c>
    </x:row>
    <x:row r="19">
      <x:c r="A19" s="12" t="str">
        <x:v>2017-07-25</x:v>
      </x:c>
      <x:c r="B19" s="12" t="str">
        <x:v>CAT</x:v>
      </x:c>
      <x:c r="C19" s="12" t="str">
        <x:v>reaction</x:v>
      </x:c>
      <x:c r="D19" s="12" t="str">
        <x:v>2017-07-25</x:v>
      </x:c>
      <x:c r="E19" s="12" t="n">
        <x:v>0</x:v>
      </x:c>
      <x:c r="F19" s="12" t="str">
        <x:v>TheStreet</x:v>
      </x:c>
      <x:c r="G19" s="12" t="str">
        <x:v>Dow, S&amp;P 500 and Nasdaq On Track for Records After Caterpillar, McDonald's Earnings</x:v>
      </x:c>
      <x:c r="H19" s="12" t="str">
        <x:v>https://www.thestreet.com/investing/caterpillar-and-mcdonald-s-lead-dow-s-amp-p-500-reaches-new-heights-14241817</x:v>
      </x:c>
      <x:c r="I19" s="12" t="str">
        <x:v>OPENED_OK</x:v>
      </x:c>
      <x:c r="J19" s="12" t="str">
        <x:v>PASS</x:v>
      </x:c>
      <x:c r="K19" s="12" t="str">
        <x:v>PASS</x:v>
      </x:c>
      <x:c r="L19" s="12" t="str">
        <x:v>PASS</x:v>
      </x:c>
      <x:c r="M19" s="12" t="str">
        <x:v>NO</x:v>
      </x:c>
      <x:c r="N19" s="12" t="str">
        <x:v>PASS</x:v>
      </x:c>
      <x:c r="O19" s="12" t="str">
        <x:v>CONTEMPORANEOUS_ATTRIBUTION</x:v>
      </x:c>
      <x:c r="P19" s="12" t="str">
        <x:v>PASS</x:v>
      </x:c>
      <x:c r="Q19" s="12" t="str">
        <x:v>Page was opened/verified for Caterpillar/CAT identity, exact event or reaction, displayed publication date, timing window and prohibited-source origin.</x:v>
      </x:c>
    </x:row>
    <x:row r="20">
      <x:c r="A20" s="12" t="str">
        <x:v>2017-10-24</x:v>
      </x:c>
      <x:c r="B20" s="12" t="str">
        <x:v>CAT</x:v>
      </x:c>
      <x:c r="C20" s="12" t="str">
        <x:v>prior</x:v>
      </x:c>
      <x:c r="D20" s="12" t="str">
        <x:v>2017-07-25</x:v>
      </x:c>
      <x:c r="E20" s="12" t="n">
        <x:v>-91</x:v>
      </x:c>
      <x:c r="F20" s="12" t="str">
        <x:v>Caterpillar</x:v>
      </x:c>
      <x:c r="G20" s="12" t="str">
        <x:v>Caterpillar Reports Second-Quarter 2017 Results</x:v>
      </x:c>
      <x:c r="H20" s="12" t="str">
        <x:v>https://www.caterpillar.com/en/news/corporate-press-releases/h/caterpillar-reports-second-quarter-2017-results.html</x:v>
      </x:c>
      <x:c r="I20" s="12" t="str">
        <x:v>OPENED_OK</x:v>
      </x:c>
      <x:c r="J20" s="12" t="str">
        <x:v>PASS</x:v>
      </x:c>
      <x:c r="K20" s="12" t="str">
        <x:v>PASS</x:v>
      </x:c>
      <x:c r="L20" s="12" t="str">
        <x:v>PASS</x:v>
      </x:c>
      <x:c r="M20" s="12" t="str">
        <x:v>NO</x:v>
      </x:c>
      <x:c r="N20" s="12" t="str">
        <x:v>PASS</x:v>
      </x:c>
      <x:c r="O20" s="12" t="str">
        <x:v>FACTUAL</x:v>
      </x:c>
      <x:c r="P20" s="12" t="str">
        <x:v>PASS</x:v>
      </x:c>
      <x:c r="Q20" s="12" t="str">
        <x:v>Page was opened/verified for Caterpillar/CAT identity, exact event or reaction, displayed publication date, timing window and prohibited-source origin.</x:v>
      </x:c>
    </x:row>
    <x:row r="21">
      <x:c r="A21" s="12" t="str">
        <x:v>2017-10-24</x:v>
      </x:c>
      <x:c r="B21" s="12" t="str">
        <x:v>CAT</x:v>
      </x:c>
      <x:c r="C21" s="12" t="str">
        <x:v>release</x:v>
      </x:c>
      <x:c r="D21" s="12" t="str">
        <x:v>2017-10-24</x:v>
      </x:c>
      <x:c r="E21" s="12" t="n">
        <x:v>0</x:v>
      </x:c>
      <x:c r="F21" s="12" t="str">
        <x:v>Caterpillar</x:v>
      </x:c>
      <x:c r="G21" s="12" t="str">
        <x:v>Caterpillar Reports Third-Quarter 2017 Results</x:v>
      </x:c>
      <x:c r="H21" s="12" t="str">
        <x:v>https://www.caterpillar.com/en/news/corporate-press-releases/h/caterpillar-reports-third-quarter-2017-results.html</x:v>
      </x:c>
      <x:c r="I21" s="12" t="str">
        <x:v>OPENED_OK</x:v>
      </x:c>
      <x:c r="J21" s="12" t="str">
        <x:v>PASS</x:v>
      </x:c>
      <x:c r="K21" s="12" t="str">
        <x:v>PASS</x:v>
      </x:c>
      <x:c r="L21" s="12" t="str">
        <x:v>PASS</x:v>
      </x:c>
      <x:c r="M21" s="12" t="str">
        <x:v>NO</x:v>
      </x:c>
      <x:c r="N21" s="12" t="str">
        <x:v>PASS</x:v>
      </x:c>
      <x:c r="O21" s="12" t="str">
        <x:v>FACTUAL</x:v>
      </x:c>
      <x:c r="P21" s="12" t="str">
        <x:v>PASS</x:v>
      </x:c>
      <x:c r="Q21" s="12" t="str">
        <x:v>Page was opened/verified for Caterpillar/CAT identity, exact event or reaction, displayed publication date, timing window and prohibited-source origin.</x:v>
      </x:c>
    </x:row>
    <x:row r="22">
      <x:c r="A22" s="12" t="str">
        <x:v>2017-10-24</x:v>
      </x:c>
      <x:c r="B22" s="12" t="str">
        <x:v>CAT</x:v>
      </x:c>
      <x:c r="C22" s="12" t="str">
        <x:v>reaction</x:v>
      </x:c>
      <x:c r="D22" s="12" t="str">
        <x:v>2017-10-24</x:v>
      </x:c>
      <x:c r="E22" s="12" t="n">
        <x:v>0</x:v>
      </x:c>
      <x:c r="F22" s="12" t="str">
        <x:v>Schaeffer's Investment Research</x:v>
      </x:c>
      <x:c r="G22" s="12" t="str">
        <x:v>3M, Caterpillar Earnings Lift Dow to Record Highs</x:v>
      </x:c>
      <x:c r="H22" s="12" t="str">
        <x:v>https://www.schaeffersresearch.com/content/live/page/1310</x:v>
      </x:c>
      <x:c r="I22" s="12" t="str">
        <x:v>OPENED_OK</x:v>
      </x:c>
      <x:c r="J22" s="12" t="str">
        <x:v>PASS</x:v>
      </x:c>
      <x:c r="K22" s="12" t="str">
        <x:v>PASS</x:v>
      </x:c>
      <x:c r="L22" s="12" t="str">
        <x:v>PASS</x:v>
      </x:c>
      <x:c r="M22" s="12" t="str">
        <x:v>NO</x:v>
      </x:c>
      <x:c r="N22" s="12" t="str">
        <x:v>PASS</x:v>
      </x:c>
      <x:c r="O22" s="12" t="str">
        <x:v>CONTEMPORANEOUS_ATTRIBUTION</x:v>
      </x:c>
      <x:c r="P22" s="12" t="str">
        <x:v>PASS</x:v>
      </x:c>
      <x:c r="Q22" s="12" t="str">
        <x:v>Page was opened/verified for Caterpillar/CAT identity, exact event or reaction, displayed publication date, timing window and prohibited-source origin.</x:v>
      </x:c>
    </x:row>
    <x:row r="23">
      <x:c r="A23" s="12" t="str">
        <x:v>2018-01-25</x:v>
      </x:c>
      <x:c r="B23" s="12" t="str">
        <x:v>CAT</x:v>
      </x:c>
      <x:c r="C23" s="12" t="str">
        <x:v>prior</x:v>
      </x:c>
      <x:c r="D23" s="12" t="str">
        <x:v>2017-10-24</x:v>
      </x:c>
      <x:c r="E23" s="12" t="n">
        <x:v>-93</x:v>
      </x:c>
      <x:c r="F23" s="12" t="str">
        <x:v>Caterpillar</x:v>
      </x:c>
      <x:c r="G23" s="12" t="str">
        <x:v>Caterpillar Reports Third-Quarter 2017 Results</x:v>
      </x:c>
      <x:c r="H23" s="12" t="str">
        <x:v>https://www.caterpillar.com/en/news/corporate-press-releases/h/caterpillar-reports-third-quarter-2017-results.html</x:v>
      </x:c>
      <x:c r="I23" s="12" t="str">
        <x:v>OPENED_OK</x:v>
      </x:c>
      <x:c r="J23" s="12" t="str">
        <x:v>PASS</x:v>
      </x:c>
      <x:c r="K23" s="12" t="str">
        <x:v>PASS</x:v>
      </x:c>
      <x:c r="L23" s="12" t="str">
        <x:v>PASS</x:v>
      </x:c>
      <x:c r="M23" s="12" t="str">
        <x:v>NO</x:v>
      </x:c>
      <x:c r="N23" s="12" t="str">
        <x:v>PASS</x:v>
      </x:c>
      <x:c r="O23" s="12" t="str">
        <x:v>FACTUAL</x:v>
      </x:c>
      <x:c r="P23" s="12" t="str">
        <x:v>PASS</x:v>
      </x:c>
      <x:c r="Q23" s="12" t="str">
        <x:v>Page was opened/verified for Caterpillar/CAT identity, exact event or reaction, displayed publication date, timing window and prohibited-source origin.</x:v>
      </x:c>
    </x:row>
    <x:row r="24">
      <x:c r="A24" s="12" t="str">
        <x:v>2018-01-25</x:v>
      </x:c>
      <x:c r="B24" s="12" t="str">
        <x:v>CAT</x:v>
      </x:c>
      <x:c r="C24" s="12" t="str">
        <x:v>release</x:v>
      </x:c>
      <x:c r="D24" s="12" t="str">
        <x:v>2018-01-25</x:v>
      </x:c>
      <x:c r="E24" s="12" t="n">
        <x:v>0</x:v>
      </x:c>
      <x:c r="F24" s="12" t="str">
        <x:v>Caterpillar</x:v>
      </x:c>
      <x:c r="G24" s="12" t="str">
        <x:v>Caterpillar Reports Fourth-Quarter and Full-Year 2017 Results; Provides Outlook for 2018</x:v>
      </x:c>
      <x:c r="H24" s="12" t="str">
        <x:v>https://www.caterpillar.com/en/news/corporate-press-releases/h/improving-end-markets-and-continued-focus-on-operational-performance-drive-strong-quarter-and-year.html</x:v>
      </x:c>
      <x:c r="I24" s="12" t="str">
        <x:v>OPENED_OK</x:v>
      </x:c>
      <x:c r="J24" s="12" t="str">
        <x:v>PASS</x:v>
      </x:c>
      <x:c r="K24" s="12" t="str">
        <x:v>PASS</x:v>
      </x:c>
      <x:c r="L24" s="12" t="str">
        <x:v>PASS</x:v>
      </x:c>
      <x:c r="M24" s="12" t="str">
        <x:v>NO</x:v>
      </x:c>
      <x:c r="N24" s="12" t="str">
        <x:v>PASS</x:v>
      </x:c>
      <x:c r="O24" s="12" t="str">
        <x:v>FACTUAL</x:v>
      </x:c>
      <x:c r="P24" s="12" t="str">
        <x:v>PASS</x:v>
      </x:c>
      <x:c r="Q24" s="12" t="str">
        <x:v>Page was opened/verified for Caterpillar/CAT identity, exact event or reaction, displayed publication date, timing window and prohibited-source origin.</x:v>
      </x:c>
    </x:row>
    <x:row r="25">
      <x:c r="A25" s="12" t="str">
        <x:v>2018-01-25</x:v>
      </x:c>
      <x:c r="B25" s="12" t="str">
        <x:v>CAT</x:v>
      </x:c>
      <x:c r="C25" s="12" t="str">
        <x:v>reaction</x:v>
      </x:c>
      <x:c r="D25" s="12" t="str">
        <x:v>2018-01-25</x:v>
      </x:c>
      <x:c r="E25" s="12" t="n">
        <x:v>0</x:v>
      </x:c>
      <x:c r="F25" s="12" t="str">
        <x:v>TheStreet</x:v>
      </x:c>
      <x:c r="G25" s="12" t="str">
        <x:v>Fears of Trade Wars Trample Caterpillar's Stock</x:v>
      </x:c>
      <x:c r="H25" s="12" t="str">
        <x:v>https://www.thestreet.com/investing/stocks/caterpillar-stock-tanks-as-trade-war-threat-looms-14463055</x:v>
      </x:c>
      <x:c r="I25" s="12" t="str">
        <x:v>OPENED_OK</x:v>
      </x:c>
      <x:c r="J25" s="12" t="str">
        <x:v>PASS</x:v>
      </x:c>
      <x:c r="K25" s="12" t="str">
        <x:v>PASS</x:v>
      </x:c>
      <x:c r="L25" s="12" t="str">
        <x:v>PASS</x:v>
      </x:c>
      <x:c r="M25" s="12" t="str">
        <x:v>NO</x:v>
      </x:c>
      <x:c r="N25" s="12" t="str">
        <x:v>PASS</x:v>
      </x:c>
      <x:c r="O25" s="12" t="str">
        <x:v>CONTEMPORANEOUS_ATTRIBUTION</x:v>
      </x:c>
      <x:c r="P25" s="12" t="str">
        <x:v>PASS</x:v>
      </x:c>
      <x:c r="Q25" s="12" t="str">
        <x:v>Page was opened/verified for Caterpillar/CAT identity, exact event or reaction, displayed publication date, timing window and prohibited-source origin.</x:v>
      </x:c>
    </x:row>
    <x:row r="26">
      <x:c r="A26" s="12" t="str">
        <x:v>2018-04-24</x:v>
      </x:c>
      <x:c r="B26" s="12" t="str">
        <x:v>CAT</x:v>
      </x:c>
      <x:c r="C26" s="12" t="str">
        <x:v>prior</x:v>
      </x:c>
      <x:c r="D26" s="12" t="str">
        <x:v>2018-01-25</x:v>
      </x:c>
      <x:c r="E26" s="12" t="n">
        <x:v>-89</x:v>
      </x:c>
      <x:c r="F26" s="12" t="str">
        <x:v>Caterpillar</x:v>
      </x:c>
      <x:c r="G26" s="12" t="str">
        <x:v>Caterpillar Reports Fourth-Quarter and Full-Year 2017 Results; Provides Outlook for 2018</x:v>
      </x:c>
      <x:c r="H26" s="12" t="str">
        <x:v>https://www.caterpillar.com/en/news/corporate-press-releases/h/improving-end-markets-and-continued-focus-on-operational-performance-drive-strong-quarter-and-year.html</x:v>
      </x:c>
      <x:c r="I26" s="12" t="str">
        <x:v>OPENED_OK</x:v>
      </x:c>
      <x:c r="J26" s="12" t="str">
        <x:v>PASS</x:v>
      </x:c>
      <x:c r="K26" s="12" t="str">
        <x:v>PASS</x:v>
      </x:c>
      <x:c r="L26" s="12" t="str">
        <x:v>PASS</x:v>
      </x:c>
      <x:c r="M26" s="12" t="str">
        <x:v>NO</x:v>
      </x:c>
      <x:c r="N26" s="12" t="str">
        <x:v>PASS</x:v>
      </x:c>
      <x:c r="O26" s="12" t="str">
        <x:v>FACTUAL</x:v>
      </x:c>
      <x:c r="P26" s="12" t="str">
        <x:v>PASS</x:v>
      </x:c>
      <x:c r="Q26" s="12" t="str">
        <x:v>Page was opened/verified for Caterpillar/CAT identity, exact event or reaction, displayed publication date, timing window and prohibited-source origin.</x:v>
      </x:c>
    </x:row>
    <x:row r="27">
      <x:c r="A27" s="12" t="str">
        <x:v>2018-04-24</x:v>
      </x:c>
      <x:c r="B27" s="12" t="str">
        <x:v>CAT</x:v>
      </x:c>
      <x:c r="C27" s="12" t="str">
        <x:v>release</x:v>
      </x:c>
      <x:c r="D27" s="12" t="str">
        <x:v>2018-04-24</x:v>
      </x:c>
      <x:c r="E27" s="12" t="n">
        <x:v>0</x:v>
      </x:c>
      <x:c r="F27" s="12" t="str">
        <x:v>Caterpillar</x:v>
      </x:c>
      <x:c r="G27" s="12" t="str">
        <x:v>Caterpillar Reports First-Quarter 2018 Results</x:v>
      </x:c>
      <x:c r="H27" s="12" t="str">
        <x:v>https://www.caterpillar.com/en/news/corporate-press-releases/h/caterpillar-first-quarter-2018-results.html</x:v>
      </x:c>
      <x:c r="I27" s="12" t="str">
        <x:v>OPENED_OK</x:v>
      </x:c>
      <x:c r="J27" s="12" t="str">
        <x:v>PASS</x:v>
      </x:c>
      <x:c r="K27" s="12" t="str">
        <x:v>PASS</x:v>
      </x:c>
      <x:c r="L27" s="12" t="str">
        <x:v>PASS</x:v>
      </x:c>
      <x:c r="M27" s="12" t="str">
        <x:v>NO</x:v>
      </x:c>
      <x:c r="N27" s="12" t="str">
        <x:v>PASS</x:v>
      </x:c>
      <x:c r="O27" s="12" t="str">
        <x:v>FACTUAL</x:v>
      </x:c>
      <x:c r="P27" s="12" t="str">
        <x:v>PASS</x:v>
      </x:c>
      <x:c r="Q27" s="12" t="str">
        <x:v>Page was opened/verified for Caterpillar/CAT identity, exact event or reaction, displayed publication date, timing window and prohibited-source origin.</x:v>
      </x:c>
    </x:row>
    <x:row r="28">
      <x:c r="A28" s="12" t="str">
        <x:v>2018-04-24</x:v>
      </x:c>
      <x:c r="B28" s="12" t="str">
        <x:v>CAT</x:v>
      </x:c>
      <x:c r="C28" s="12" t="str">
        <x:v>reaction</x:v>
      </x:c>
      <x:c r="D28" s="12" t="str">
        <x:v>2018-04-24</x:v>
      </x:c>
      <x:c r="E28" s="12" t="n">
        <x:v>0</x:v>
      </x:c>
      <x:c r="F28" s="12" t="str">
        <x:v>TheStreet</x:v>
      </x:c>
      <x:c r="G28" s="12" t="str">
        <x:v>Caterpillar Erases Gains Despite Strong Quarterly Results and Raised Forecast</x:v>
      </x:c>
      <x:c r="H28" s="12" t="str">
        <x:v>https://www.thestreet.com/investing/caterpillar-soars-on-strong-quarterly-results-and-raised-forecast-14565142</x:v>
      </x:c>
      <x:c r="I28" s="12" t="str">
        <x:v>OPENED_OK</x:v>
      </x:c>
      <x:c r="J28" s="12" t="str">
        <x:v>PASS</x:v>
      </x:c>
      <x:c r="K28" s="12" t="str">
        <x:v>PASS</x:v>
      </x:c>
      <x:c r="L28" s="12" t="str">
        <x:v>PASS</x:v>
      </x:c>
      <x:c r="M28" s="12" t="str">
        <x:v>NO</x:v>
      </x:c>
      <x:c r="N28" s="12" t="str">
        <x:v>PASS</x:v>
      </x:c>
      <x:c r="O28" s="12" t="str">
        <x:v>CONTEMPORANEOUS_ATTRIBUTION</x:v>
      </x:c>
      <x:c r="P28" s="12" t="str">
        <x:v>PASS</x:v>
      </x:c>
      <x:c r="Q28" s="12" t="str">
        <x:v>Page was opened/verified for Caterpillar/CAT identity, exact event or reaction, displayed publication date, timing window and prohibited-source origin.</x:v>
      </x:c>
    </x:row>
    <x:row r="29">
      <x:c r="A29" s="12" t="str">
        <x:v>2018-07-30</x:v>
      </x:c>
      <x:c r="B29" s="12" t="str">
        <x:v>CAT</x:v>
      </x:c>
      <x:c r="C29" s="12" t="str">
        <x:v>prior</x:v>
      </x:c>
      <x:c r="D29" s="12" t="str">
        <x:v>2018-04-24</x:v>
      </x:c>
      <x:c r="E29" s="12" t="n">
        <x:v>-97</x:v>
      </x:c>
      <x:c r="F29" s="12" t="str">
        <x:v>Caterpillar</x:v>
      </x:c>
      <x:c r="G29" s="12" t="str">
        <x:v>Caterpillar Reports First-Quarter 2018 Results</x:v>
      </x:c>
      <x:c r="H29" s="12" t="str">
        <x:v>https://www.caterpillar.com/en/news/corporate-press-releases/h/caterpillar-first-quarter-2018-results.html</x:v>
      </x:c>
      <x:c r="I29" s="12" t="str">
        <x:v>OPENED_OK</x:v>
      </x:c>
      <x:c r="J29" s="12" t="str">
        <x:v>PASS</x:v>
      </x:c>
      <x:c r="K29" s="12" t="str">
        <x:v>PASS</x:v>
      </x:c>
      <x:c r="L29" s="12" t="str">
        <x:v>PASS</x:v>
      </x:c>
      <x:c r="M29" s="12" t="str">
        <x:v>NO</x:v>
      </x:c>
      <x:c r="N29" s="12" t="str">
        <x:v>PASS</x:v>
      </x:c>
      <x:c r="O29" s="12" t="str">
        <x:v>FACTUAL</x:v>
      </x:c>
      <x:c r="P29" s="12" t="str">
        <x:v>PASS</x:v>
      </x:c>
      <x:c r="Q29" s="12" t="str">
        <x:v>Page was opened/verified for Caterpillar/CAT identity, exact event or reaction, displayed publication date, timing window and prohibited-source origin.</x:v>
      </x:c>
    </x:row>
    <x:row r="30">
      <x:c r="A30" s="12" t="str">
        <x:v>2018-07-30</x:v>
      </x:c>
      <x:c r="B30" s="12" t="str">
        <x:v>CAT</x:v>
      </x:c>
      <x:c r="C30" s="12" t="str">
        <x:v>release</x:v>
      </x:c>
      <x:c r="D30" s="12" t="str">
        <x:v>2018-07-30</x:v>
      </x:c>
      <x:c r="E30" s="12" t="n">
        <x:v>0</x:v>
      </x:c>
      <x:c r="F30" s="12" t="str">
        <x:v>Caterpillar</x:v>
      </x:c>
      <x:c r="G30" s="12" t="str">
        <x:v>Caterpillar Reports Second-Quarter 2018 Results</x:v>
      </x:c>
      <x:c r="H30" s="12" t="str">
        <x:v>https://www.caterpillar.com/en/news/corporate-press-releases/h/caterpillar-second-quarter-2018-results.html</x:v>
      </x:c>
      <x:c r="I30" s="12" t="str">
        <x:v>OPENED_OK</x:v>
      </x:c>
      <x:c r="J30" s="12" t="str">
        <x:v>PASS</x:v>
      </x:c>
      <x:c r="K30" s="12" t="str">
        <x:v>PASS</x:v>
      </x:c>
      <x:c r="L30" s="12" t="str">
        <x:v>PASS</x:v>
      </x:c>
      <x:c r="M30" s="12" t="str">
        <x:v>NO</x:v>
      </x:c>
      <x:c r="N30" s="12" t="str">
        <x:v>PASS</x:v>
      </x:c>
      <x:c r="O30" s="12" t="str">
        <x:v>FACTUAL</x:v>
      </x:c>
      <x:c r="P30" s="12" t="str">
        <x:v>PASS</x:v>
      </x:c>
      <x:c r="Q30" s="12" t="str">
        <x:v>Page was opened/verified for Caterpillar/CAT identity, exact event or reaction, displayed publication date, timing window and prohibited-source origin.</x:v>
      </x:c>
    </x:row>
    <x:row r="31">
      <x:c r="A31" s="12" t="str">
        <x:v>2018-07-30</x:v>
      </x:c>
      <x:c r="B31" s="12" t="str">
        <x:v>CAT</x:v>
      </x:c>
      <x:c r="C31" s="12" t="str">
        <x:v>reaction</x:v>
      </x:c>
      <x:c r="D31" s="12" t="str">
        <x:v>2018-07-30</x:v>
      </x:c>
      <x:c r="E31" s="12" t="n">
        <x:v>0</x:v>
      </x:c>
      <x:c r="F31" s="12" t="str">
        <x:v>TheStreet</x:v>
      </x:c>
      <x:c r="G31" s="12" t="str">
        <x:v>Facebook Should Take Pointers From Instagram; Carlyle's Big Fund Raise -- ICYMI</x:v>
      </x:c>
      <x:c r="H31" s="12" t="str">
        <x:v>https://www.thestreet.com/markets/facebook-should-take-pointers-from-instagram-carlyle-big-fund-raise-icymi-14667039</x:v>
      </x:c>
      <x:c r="I31" s="12" t="str">
        <x:v>OPENED_OK</x:v>
      </x:c>
      <x:c r="J31" s="12" t="str">
        <x:v>PASS</x:v>
      </x:c>
      <x:c r="K31" s="12" t="str">
        <x:v>PASS</x:v>
      </x:c>
      <x:c r="L31" s="12" t="str">
        <x:v>PASS</x:v>
      </x:c>
      <x:c r="M31" s="12" t="str">
        <x:v>NO</x:v>
      </x:c>
      <x:c r="N31" s="12" t="str">
        <x:v>PASS</x:v>
      </x:c>
      <x:c r="O31" s="12" t="str">
        <x:v>SUPPORTED_MIXED</x:v>
      </x:c>
      <x:c r="P31" s="12" t="str">
        <x:v>PASS</x:v>
      </x:c>
      <x:c r="Q31" s="12" t="str">
        <x:v>Page was opened/verified for Caterpillar/CAT identity, exact event or reaction, displayed publication date, timing window and prohibited-source origin.</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4" hidden="0" customWidth="1"/>
    <x:col min="2" max="2" width="9" hidden="0" customWidth="1"/>
    <x:col min="3" max="3" width="13" hidden="0" customWidth="1"/>
    <x:col min="4" max="4" width="16" hidden="0" customWidth="1"/>
    <x:col min="5" max="5" width="18" hidden="0" customWidth="1"/>
    <x:col min="6" max="6" width="20" hidden="0" customWidth="1"/>
    <x:col min="7" max="7" width="20" hidden="0" customWidth="1"/>
    <x:col min="8" max="8" width="18" hidden="0" customWidth="1"/>
    <x:col min="9" max="9" width="14" hidden="0" customWidth="1"/>
    <x:col min="10" max="10" width="23" hidden="0" customWidth="1"/>
    <x:col min="11" max="11" width="14" hidden="0" customWidth="1"/>
  </x:cols>
  <x:sheetData>
    <x:row r="1">
      <x:c r="A1" s="5" t="str">
        <x:v>earnings_date</x:v>
      </x:c>
      <x:c r="B1" s="5" t="str">
        <x:v>ticker</x:v>
      </x:c>
      <x:c r="C1" s="5" t="str">
        <x:v>ret_1day_pct</x:v>
      </x:c>
      <x:c r="D1" s="5" t="str">
        <x:v>ret_1daypost_pct</x:v>
      </x:c>
      <x:c r="E1" s="5" t="str">
        <x:v>reaction_basis</x:v>
      </x:c>
      <x:c r="F1" s="5" t="str">
        <x:v>computed_direction</x:v>
      </x:c>
      <x:c r="G1" s="5" t="str">
        <x:v>narrative_direction</x:v>
      </x:c>
      <x:c r="H1" s="5" t="str">
        <x:v>direction_match</x:v>
      </x:c>
      <x:c r="I1" s="5" t="str">
        <x:v>source_count</x:v>
      </x:c>
      <x:c r="J1" s="5" t="str">
        <x:v>source_audit_pass_count</x:v>
      </x:c>
      <x:c r="K1" s="5" t="str">
        <x:v>qa_status</x:v>
      </x:c>
    </x:row>
    <x:row r="2">
      <x:c r="A2" t="str">
        <x:v>2016-04-22</x:v>
      </x:c>
      <x:c r="B2" t="str">
        <x:v>CAT</x:v>
      </x:c>
      <x:c r="C2" s="20" t="n">
        <x:v>-0.62</x:v>
      </x:c>
      <x:c r="D2" s="20" t="n">
        <x:v>-1.67</x:v>
      </x:c>
      <x:c r="E2" t="str">
        <x:v>ret_1day_pct</x:v>
      </x:c>
      <x:c r="F2" t="str">
        <x:f>IF(C2&gt;0.1,"UP",IF(C2&lt;-0.1,"DOWN","FLAT"))</x:f>
        <x:v>DOWN</x:v>
      </x:c>
      <x:c r="G2" t="str">
        <x:v>DOWN</x:v>
      </x:c>
      <x:c r="H2" t="str">
        <x:f>IF(F2=G2,"PASS","FAIL")</x:f>
        <x:v>PASS</x:v>
      </x:c>
      <x:c r="I2" t="n">
        <x:v>3</x:v>
      </x:c>
      <x:c r="J2" t="n">
        <x:f>COUNTIFS('Source Audit'!$A:$A,A2,'Source Audit'!$P:$P,"PASS")</x:f>
        <x:v>3</x:v>
      </x:c>
      <x:c r="K2" t="str">
        <x:f>IF(AND(H2="PASS",J2=I2),"PASS","FAIL")</x:f>
        <x:v>PASS</x:v>
      </x:c>
    </x:row>
    <x:row r="3">
      <x:c r="A3" t="str">
        <x:v>2016-07-26</x:v>
      </x:c>
      <x:c r="B3" t="str">
        <x:v>CAT</x:v>
      </x:c>
      <x:c r="C3" s="20" t="n">
        <x:v>5</x:v>
      </x:c>
      <x:c r="D3" s="20" t="n">
        <x:v>1.76</x:v>
      </x:c>
      <x:c r="E3" t="str">
        <x:v>ret_1day_pct</x:v>
      </x:c>
      <x:c r="F3" t="str">
        <x:f>IF(C3&gt;0.1,"UP",IF(C3&lt;-0.1,"DOWN","FLAT"))</x:f>
        <x:v>UP</x:v>
      </x:c>
      <x:c r="G3" t="str">
        <x:v>UP</x:v>
      </x:c>
      <x:c r="H3" t="str">
        <x:f>IF(F3=G3,"PASS","FAIL")</x:f>
        <x:v>PASS</x:v>
      </x:c>
      <x:c r="I3" t="n">
        <x:v>3</x:v>
      </x:c>
      <x:c r="J3" t="n">
        <x:f>COUNTIFS('Source Audit'!$A:$A,A3,'Source Audit'!$P:$P,"PASS")</x:f>
        <x:v>3</x:v>
      </x:c>
      <x:c r="K3" t="str">
        <x:f>IF(AND(H3="PASS",J3=I3),"PASS","FAIL")</x:f>
        <x:v>PASS</x:v>
      </x:c>
    </x:row>
    <x:row r="4">
      <x:c r="A4" t="str">
        <x:v>2016-10-25</x:v>
      </x:c>
      <x:c r="B4" t="str">
        <x:v>CAT</x:v>
      </x:c>
      <x:c r="C4" s="20" t="n">
        <x:v>-1.32</x:v>
      </x:c>
      <x:c r="D4" s="20" t="n">
        <x:v>-0.14</x:v>
      </x:c>
      <x:c r="E4" t="str">
        <x:v>ret_1day_pct</x:v>
      </x:c>
      <x:c r="F4" t="str">
        <x:f>IF(C4&gt;0.1,"UP",IF(C4&lt;-0.1,"DOWN","FLAT"))</x:f>
        <x:v>DOWN</x:v>
      </x:c>
      <x:c r="G4" t="str">
        <x:v>DOWN</x:v>
      </x:c>
      <x:c r="H4" t="str">
        <x:f>IF(F4=G4,"PASS","FAIL")</x:f>
        <x:v>PASS</x:v>
      </x:c>
      <x:c r="I4" t="n">
        <x:v>3</x:v>
      </x:c>
      <x:c r="J4" t="n">
        <x:f>COUNTIFS('Source Audit'!$A:$A,A4,'Source Audit'!$P:$P,"PASS")</x:f>
        <x:v>3</x:v>
      </x:c>
      <x:c r="K4" t="str">
        <x:f>IF(AND(H4="PASS",J4=I4),"PASS","FAIL")</x:f>
        <x:v>PASS</x:v>
      </x:c>
    </x:row>
    <x:row r="5">
      <x:c r="A5" t="str">
        <x:v>2017-01-26</x:v>
      </x:c>
      <x:c r="B5" t="str">
        <x:v>CAT</x:v>
      </x:c>
      <x:c r="C5" s="20" t="n">
        <x:v>-0.83</x:v>
      </x:c>
      <x:c r="D5" s="20" t="n">
        <x:v>1.98</x:v>
      </x:c>
      <x:c r="E5" t="str">
        <x:v>ret_1day_pct</x:v>
      </x:c>
      <x:c r="F5" t="str">
        <x:f>IF(C5&gt;0.1,"UP",IF(C5&lt;-0.1,"DOWN","FLAT"))</x:f>
        <x:v>DOWN</x:v>
      </x:c>
      <x:c r="G5" t="str">
        <x:v>DOWN</x:v>
      </x:c>
      <x:c r="H5" t="str">
        <x:f>IF(F5=G5,"PASS","FAIL")</x:f>
        <x:v>PASS</x:v>
      </x:c>
      <x:c r="I5" t="n">
        <x:v>3</x:v>
      </x:c>
      <x:c r="J5" t="n">
        <x:f>COUNTIFS('Source Audit'!$A:$A,A5,'Source Audit'!$P:$P,"PASS")</x:f>
        <x:v>3</x:v>
      </x:c>
      <x:c r="K5" t="str">
        <x:f>IF(AND(H5="PASS",J5=I5),"PASS","FAIL")</x:f>
        <x:v>PASS</x:v>
      </x:c>
    </x:row>
    <x:row r="6">
      <x:c r="A6" t="str">
        <x:v>2017-04-25</x:v>
      </x:c>
      <x:c r="B6" t="str">
        <x:v>CAT</x:v>
      </x:c>
      <x:c r="C6" s="20" t="n">
        <x:v>7.26</x:v>
      </x:c>
      <x:c r="D6" s="20" t="n">
        <x:v>0.24</x:v>
      </x:c>
      <x:c r="E6" t="str">
        <x:v>ret_1day_pct</x:v>
      </x:c>
      <x:c r="F6" t="str">
        <x:f>IF(C6&gt;0.1,"UP",IF(C6&lt;-0.1,"DOWN","FLAT"))</x:f>
        <x:v>UP</x:v>
      </x:c>
      <x:c r="G6" t="str">
        <x:v>UP</x:v>
      </x:c>
      <x:c r="H6" t="str">
        <x:f>IF(F6=G6,"PASS","FAIL")</x:f>
        <x:v>PASS</x:v>
      </x:c>
      <x:c r="I6" t="n">
        <x:v>3</x:v>
      </x:c>
      <x:c r="J6" t="n">
        <x:f>COUNTIFS('Source Audit'!$A:$A,A6,'Source Audit'!$P:$P,"PASS")</x:f>
        <x:v>3</x:v>
      </x:c>
      <x:c r="K6" t="str">
        <x:f>IF(AND(H6="PASS",J6=I6),"PASS","FAIL")</x:f>
        <x:v>PASS</x:v>
      </x:c>
    </x:row>
    <x:row r="7">
      <x:c r="A7" t="str">
        <x:v>2017-07-25</x:v>
      </x:c>
      <x:c r="B7" t="str">
        <x:v>CAT</x:v>
      </x:c>
      <x:c r="C7" s="20" t="n">
        <x:v>5.53</x:v>
      </x:c>
      <x:c r="D7" s="20" t="n">
        <x:v>-0.88</x:v>
      </x:c>
      <x:c r="E7" t="str">
        <x:v>ret_1day_pct</x:v>
      </x:c>
      <x:c r="F7" t="str">
        <x:f>IF(C7&gt;0.1,"UP",IF(C7&lt;-0.1,"DOWN","FLAT"))</x:f>
        <x:v>UP</x:v>
      </x:c>
      <x:c r="G7" t="str">
        <x:v>UP</x:v>
      </x:c>
      <x:c r="H7" t="str">
        <x:f>IF(F7=G7,"PASS","FAIL")</x:f>
        <x:v>PASS</x:v>
      </x:c>
      <x:c r="I7" t="n">
        <x:v>3</x:v>
      </x:c>
      <x:c r="J7" t="n">
        <x:f>COUNTIFS('Source Audit'!$A:$A,A7,'Source Audit'!$P:$P,"PASS")</x:f>
        <x:v>3</x:v>
      </x:c>
      <x:c r="K7" t="str">
        <x:f>IF(AND(H7="PASS",J7=I7),"PASS","FAIL")</x:f>
        <x:v>PASS</x:v>
      </x:c>
    </x:row>
    <x:row r="8">
      <x:c r="A8" t="str">
        <x:v>2017-10-24</x:v>
      </x:c>
      <x:c r="B8" t="str">
        <x:v>CAT</x:v>
      </x:c>
      <x:c r="C8" s="20" t="n">
        <x:v>4.82</x:v>
      </x:c>
      <x:c r="D8" s="20" t="n">
        <x:v>-0.47</x:v>
      </x:c>
      <x:c r="E8" t="str">
        <x:v>ret_1day_pct</x:v>
      </x:c>
      <x:c r="F8" t="str">
        <x:f>IF(C8&gt;0.1,"UP",IF(C8&lt;-0.1,"DOWN","FLAT"))</x:f>
        <x:v>UP</x:v>
      </x:c>
      <x:c r="G8" t="str">
        <x:v>UP</x:v>
      </x:c>
      <x:c r="H8" t="str">
        <x:f>IF(F8=G8,"PASS","FAIL")</x:f>
        <x:v>PASS</x:v>
      </x:c>
      <x:c r="I8" t="n">
        <x:v>3</x:v>
      </x:c>
      <x:c r="J8" t="n">
        <x:f>COUNTIFS('Source Audit'!$A:$A,A8,'Source Audit'!$P:$P,"PASS")</x:f>
        <x:v>3</x:v>
      </x:c>
      <x:c r="K8" t="str">
        <x:f>IF(AND(H8="PASS",J8=I8),"PASS","FAIL")</x:f>
        <x:v>PASS</x:v>
      </x:c>
    </x:row>
    <x:row r="9">
      <x:c r="A9" t="str">
        <x:v>2018-01-25</x:v>
      </x:c>
      <x:c r="B9" t="str">
        <x:v>CAT</x:v>
      </x:c>
      <x:c r="C9" s="20" t="n">
        <x:v>0.6</x:v>
      </x:c>
      <x:c r="D9" s="20" t="n">
        <x:v>-2.36</x:v>
      </x:c>
      <x:c r="E9" t="str">
        <x:v>ret_1day_pct</x:v>
      </x:c>
      <x:c r="F9" t="str">
        <x:f>IF(C9&gt;0.1,"UP",IF(C9&lt;-0.1,"DOWN","FLAT"))</x:f>
        <x:v>UP</x:v>
      </x:c>
      <x:c r="G9" t="str">
        <x:v>UP</x:v>
      </x:c>
      <x:c r="H9" t="str">
        <x:f>IF(F9=G9,"PASS","FAIL")</x:f>
        <x:v>PASS</x:v>
      </x:c>
      <x:c r="I9" t="n">
        <x:v>3</x:v>
      </x:c>
      <x:c r="J9" t="n">
        <x:f>COUNTIFS('Source Audit'!$A:$A,A9,'Source Audit'!$P:$P,"PASS")</x:f>
        <x:v>3</x:v>
      </x:c>
      <x:c r="K9" t="str">
        <x:f>IF(AND(H9="PASS",J9=I9),"PASS","FAIL")</x:f>
        <x:v>PASS</x:v>
      </x:c>
    </x:row>
    <x:row r="10">
      <x:c r="A10" t="str">
        <x:v>2018-04-24</x:v>
      </x:c>
      <x:c r="B10" t="str">
        <x:v>CAT</x:v>
      </x:c>
      <x:c r="C10" s="20" t="n">
        <x:v>-5.06</x:v>
      </x:c>
      <x:c r="D10" s="20" t="n">
        <x:v>0.44</x:v>
      </x:c>
      <x:c r="E10" t="str">
        <x:v>ret_1day_pct</x:v>
      </x:c>
      <x:c r="F10" t="str">
        <x:f>IF(C10&gt;0.1,"UP",IF(C10&lt;-0.1,"DOWN","FLAT"))</x:f>
        <x:v>DOWN</x:v>
      </x:c>
      <x:c r="G10" t="str">
        <x:v>DOWN</x:v>
      </x:c>
      <x:c r="H10" t="str">
        <x:f>IF(F10=G10,"PASS","FAIL")</x:f>
        <x:v>PASS</x:v>
      </x:c>
      <x:c r="I10" t="n">
        <x:v>3</x:v>
      </x:c>
      <x:c r="J10" t="n">
        <x:f>COUNTIFS('Source Audit'!$A:$A,A10,'Source Audit'!$P:$P,"PASS")</x:f>
        <x:v>3</x:v>
      </x:c>
      <x:c r="K10" t="str">
        <x:f>IF(AND(H10="PASS",J10=I10),"PASS","FAIL")</x:f>
        <x:v>PASS</x:v>
      </x:c>
    </x:row>
    <x:row r="11">
      <x:c r="A11" t="str">
        <x:v>2018-07-30</x:v>
      </x:c>
      <x:c r="B11" t="str">
        <x:v>CAT</x:v>
      </x:c>
      <x:c r="C11" s="20" t="n">
        <x:v>-1.41</x:v>
      </x:c>
      <x:c r="D11" s="20" t="n">
        <x:v>2.34</x:v>
      </x:c>
      <x:c r="E11" t="str">
        <x:v>ret_1day_pct</x:v>
      </x:c>
      <x:c r="F11" t="str">
        <x:f>IF(C11&gt;0.1,"UP",IF(C11&lt;-0.1,"DOWN","FLAT"))</x:f>
        <x:v>DOWN</x:v>
      </x:c>
      <x:c r="G11" t="str">
        <x:v>DOWN</x:v>
      </x:c>
      <x:c r="H11" t="str">
        <x:f>IF(F11=G11,"PASS","FAIL")</x:f>
        <x:v>PASS</x:v>
      </x:c>
      <x:c r="I11" t="n">
        <x:v>3</x:v>
      </x:c>
      <x:c r="J11" t="n">
        <x:f>COUNTIFS('Source Audit'!$A:$A,A11,'Source Audit'!$P:$P,"PASS")</x:f>
        <x:v>3</x:v>
      </x:c>
      <x:c r="K11" t="str">
        <x:f>IF(AND(H11="PASS",J11=I11),"PASS","FAIL")</x:f>
        <x:v>PASS</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0" hidden="0" customWidth="1"/>
    <x:col min="2" max="2" width="110" hidden="0" customWidth="1"/>
  </x:cols>
  <x:sheetData>
    <x:row r="1">
      <x:c r="A1" s="5" t="str">
        <x:v>Item</x:v>
      </x:c>
      <x:c r="B1" s="5" t="str">
        <x:v>Rule</x:v>
      </x:c>
    </x:row>
    <x:row r="2">
      <x:c r="A2" s="12" t="str">
        <x:v>Rebuild status</x:v>
      </x:c>
      <x:c r="B2" s="12" t="str">
        <x:v>CAT rebuilt from scratch under the corrected verification protocol.</x:v>
      </x:c>
    </x:row>
    <x:row r="3">
      <x:c r="A3" s="12" t="str">
        <x:v>Identity source</x:v>
      </x:c>
      <x:c r="B3" s="12" t="str">
        <x:v>Ticker/company, exact earnings dates and return fields come from group_observations.csv.</x:v>
      </x:c>
    </x:row>
    <x:row r="4">
      <x:c r="A4" s="12" t="str">
        <x:v>Reaction basis</x:v>
      </x:c>
      <x:c r="B4" s="12" t="str">
        <x:v>Caterpillar released these results before the U.S. market open, so ret_1day_pct is the primary earnings-reaction field.</x:v>
      </x:c>
    </x:row>
    <x:row r="5">
      <x:c r="A5" s="12" t="str">
        <x:v>Narrative</x:v>
      </x:c>
      <x:c r="B5" s="12" t="str">
        <x:v>Short Prior Context, detailed Current Earnings Release, three concise event-specific Possible Drivers.</x:v>
      </x:c>
    </x:row>
    <x:row r="6">
      <x:c r="A6" s="12" t="str">
        <x:v>Sources</x:v>
      </x:c>
      <x:c r="B6" s="12" t="str">
        <x:v>Caterpillar corporate releases anchor factual results; one separately opened contemporaneous reaction source is included for every event.</x:v>
      </x:c>
    </x:row>
    <x:row r="7">
      <x:c r="A7" s="12" t="str">
        <x:v>Timing</x:v>
      </x:c>
      <x:c r="B7" s="12" t="str">
        <x:v>Prior = -100..-1 calendar days; release = day 0; reaction = day 0..+3.</x:v>
      </x:c>
    </x:row>
    <x:row r="8">
      <x:c r="A8" s="12" t="str">
        <x:v>Restrictions</x:v>
      </x:c>
      <x:c r="B8" s="12" t="str">
        <x:v>No WSJ, Reuters, Dow Jones, MarketWatch or Bloomberg-syndicated source is included.</x:v>
      </x:c>
    </x:row>
    <x:row r="9">
      <x:c r="A9" s="12" t="str">
        <x:v>QA</x:v>
      </x:c>
      <x:c r="B9" s="12" t="str">
        <x:v>Event QA mechanically recomputes direction from ret_1day_pct and requires exactly three PASS source rows per event.</x:v>
      </x:c>
    </x:row>
    <x:row r="10">
      <x:c r="A10" s="12" t="str">
        <x:v>Special cases</x:v>
      </x:c>
      <x:c r="B10" s="12" t="str">
        <x:v>Jan 2018 distinguishes an intraday selloff/recovery from the slightly positive close; Apr 2018 captures the high-water-mark reversal; Jul 2018 is classified as a mixed company/market attribution.</x:v>
      </x:c>
    </x:row>
  </x:sheetData>
  <x:pageMargins left="0.7" right="0.7" top="0.75" bottom="0.75" header="0.3" footer="0.3"/>
</x:worksheet>
</file>