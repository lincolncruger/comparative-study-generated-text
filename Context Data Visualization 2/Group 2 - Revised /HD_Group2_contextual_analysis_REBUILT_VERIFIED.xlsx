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a4b67b18cd4520" /></Relationships>
</file>

<file path=xl/workbook.xml><?xml version="1.0" encoding="utf-8"?>
<x:workbook xmlns:x="http://schemas.openxmlformats.org/spreadsheetml/2006/main">
  <x:sheets>
    <x:sheet xmlns:r="http://schemas.openxmlformats.org/officeDocument/2006/relationships" name="HD" sheetId="1" r:id="Rc8c9e48201a243ee"/>
    <x:sheet xmlns:r="http://schemas.openxmlformats.org/officeDocument/2006/relationships" name="Source Audit" sheetId="2" r:id="R56173c0190d44b8b"/>
    <x:sheet xmlns:r="http://schemas.openxmlformats.org/officeDocument/2006/relationships" name="Event QA" sheetId="3" r:id="Rdc60d283eae1425e"/>
    <x:sheet xmlns:r="http://schemas.openxmlformats.org/officeDocument/2006/relationships" name="Methodology" sheetId="4" r:id="R80dfc58703514a0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554a7065c14cff" /><Relationship Type="http://schemas.openxmlformats.org/officeDocument/2006/relationships/theme" Target="/xl/theme/theme1.xml" Id="Ra3c1d8d283df4e77" /><Relationship Type="http://schemas.openxmlformats.org/officeDocument/2006/relationships/sharedStrings" Target="/xl/sharedStrings.xml" Id="R984d17ade63b43d2" /><Relationship Type="http://schemas.openxmlformats.org/officeDocument/2006/relationships/worksheet" Target="/xl/worksheets/sheet1.xml" Id="Rc8c9e48201a243ee" /><Relationship Type="http://schemas.openxmlformats.org/officeDocument/2006/relationships/worksheet" Target="/xl/worksheets/sheet2.xml" Id="R56173c0190d44b8b" /><Relationship Type="http://schemas.openxmlformats.org/officeDocument/2006/relationships/worksheet" Target="/xl/worksheets/sheet3.xml" Id="Rdc60d283eae1425e" /><Relationship Type="http://schemas.openxmlformats.org/officeDocument/2006/relationships/worksheet" Target="/xl/worksheets/sheet4.xml" Id="R80dfc58703514a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5" hidden="0" customWidth="1"/>
    <x:col min="15" max="15" width="65" hidden="0" customWidth="1"/>
    <x:col min="16" max="16" width="65"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HD</x:v>
      </x:c>
      <x:c r="C2" s="15" t="str">
        <x:v>Home Depot</x:v>
      </x:c>
      <x:c r="D2" s="15" t="str">
        <x:v>2016q2</x:v>
      </x:c>
      <x:c r="E2" s="15" t="str">
        <x:v>2016-05-17</x:v>
      </x:c>
      <x:c r="F2" s="18" t="n">
        <x:v>-1.61</x:v>
      </x:c>
      <x:c r="G2" s="18" t="n">
        <x:v>-0.09</x:v>
      </x:c>
      <x:c r="H2" s="18" t="n">
        <x:v>-1.7</x:v>
      </x:c>
      <x:c r="I2" s="18" t="n">
        <x:v>-1.07</x:v>
      </x:c>
      <x:c r="J2" s="18" t="n">
        <x:v>-1.4</x:v>
      </x:c>
      <x:c r="K2" s="15" t="str">
        <x:v>ret_1day_pct</x:v>
      </x:c>
      <x:c r="L2" s="15" t="str">
        <x:v>DOWN</x:v>
      </x:c>
      <x:c r="M2" s="15" t="str">
        <x:v>## Prior Context
The prior quarter had already shown exceptionally strong U.S. housing-linked demand, with 8.9% U.S. comps. Q1 tested whether that momentum could continue as spring demand arrived and the stock traded near record levels.
### Verified prior source
2016-02-23 | Home Depot | The Home Depot Announces Record Fourth Quarter And Fiscal 2015 Results; Increases Quarterly Dividend By 17 Percent And Provides Fiscal 2016 Guidance | https://ir.homedepot.com/news-releases/2016/02-23-2016-014512510
## Current Earnings Release
Home Depot reported **$22.8 billion of sales**, up **9.0%**, with total comparable-store sales of **6.5%** and U.S. comps of **7.4%**. EPS reached **$1.44**, well above the roughly $1.36 consensus. Both transaction count and average ticket were strong, and management described the growth as broad-based despite volatile weather.
The company also **raised fiscal-2016 guidance**, lifting expected EPS to about **$6.27** and increasing its comp-sales outlook to roughly **4.9%**. Fundamentally, this was a very strong beat-and-raise quarter. The important market detail is that expectations were already extremely elevated: the stock had risen sharply the day before, and management indicated Q1 would likely be the strongest comp quarter of the year.
### Verified release source
2016-05-17 | Home Depot | The Home Depot Announces First Quarter Results; Raises Fiscal Year 2016 Guidance | https://ir.homedepot.com/news-releases/2016/05-17-2016-110336677
## Possible Drivers
**First-order driver.** The stock fell despite a strong beat because expectations were exceptionally high and investors focused on expected comp deceleration after Q1.
**Second-order driver.** U.S. comps of 7.4% and broad-based growth confirmed that housing and remodeling demand remained very healthy.
**Third-order driver.** Raised full-year guidance limited the negative signal from the stock’s same-day decline.
### Verified reaction source
2016-05-17 | TheStreet | Cramer Weighs in on Future of Retail as Home Depot Ups Guidance | https://www.thestreet.com/story/13573674/1/home-depot-posts-earnings-beat-and-lifts-2016-guidance.html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2" s="15" t="str">
        <x:v>2016-02-23 | Home Depot | The Home Depot Announces Record Fourth Quarter And Fiscal 2015 Results; Increases Quarterly Dividend By 17 Percent And Provides Fiscal 2016 Guidance | https://ir.homedepot.com/news-releases/2016/02-23-2016-014512510</x:v>
      </x:c>
      <x:c r="O2" s="15" t="str">
        <x:v>2016-05-17 | Home Depot | The Home Depot Announces First Quarter Results; Raises Fiscal Year 2016 Guidance | https://ir.homedepot.com/news-releases/2016/05-17-2016-110336677</x:v>
      </x:c>
      <x:c r="P2" s="15" t="str">
        <x:v>2016-05-17 | TheStreet | Cramer Weighs in on Future of Retail as Home Depot Ups Guidance | https://www.thestreet.com/story/13573674/1/home-depot-posts-earnings-beat-and-lifts-2016-guidance.html</x:v>
      </x:c>
      <x:c r="Q2" s="15" t="str">
        <x:v>2016-02-23 | Home Depot | The Home Depot Announces Record Fourth Quarter And Fiscal 2015 Results; Increases Quarterly Dividend By 17 Percent And Provides Fiscal 2016 Guidance | https://ir.homedepot.com/news-releases/2016/02-23-2016-014512510
2016-05-17 | Home Depot | The Home Depot Announces First Quarter Results; Raises Fiscal Year 2016 Guidance | https://ir.homedepot.com/news-releases/2016/05-17-2016-110336677
2016-05-17 | TheStreet | Cramer Weighs in on Future of Retail as Home Depot Ups Guidance | https://www.thestreet.com/story/13573674/1/home-depot-posts-earnings-beat-and-lifts-2016-guidance.html</x:v>
      </x:c>
      <x:c r="R2" s="15" t="n">
        <x:v>3</x:v>
      </x:c>
      <x:c r="S2" s="15" t="str">
        <x:v>PASS</x:v>
      </x:c>
    </x:row>
    <x:row r="3" ht="340" customHeight="1">
      <x:c r="A3" s="15" t="n">
        <x:v>1</x:v>
      </x:c>
      <x:c r="B3" s="15" t="str">
        <x:v>HD</x:v>
      </x:c>
      <x:c r="C3" s="15" t="str">
        <x:v>Home Depot</x:v>
      </x:c>
      <x:c r="D3" s="15" t="str">
        <x:v>2016q3</x:v>
      </x:c>
      <x:c r="E3" s="15" t="str">
        <x:v>2016-08-16</x:v>
      </x:c>
      <x:c r="F3" s="18" t="n">
        <x:v>-0.06</x:v>
      </x:c>
      <x:c r="G3" s="18" t="n">
        <x:v>-0.16</x:v>
      </x:c>
      <x:c r="H3" s="18" t="n">
        <x:v>-0.22</x:v>
      </x:c>
      <x:c r="I3" s="18" t="n">
        <x:v>-0.26</x:v>
      </x:c>
      <x:c r="J3" s="18" t="n">
        <x:v>-0.93</x:v>
      </x:c>
      <x:c r="K3" s="15" t="str">
        <x:v>ret_1day_pct</x:v>
      </x:c>
      <x:c r="L3" s="15" t="str">
        <x:v>FLAT</x:v>
      </x:c>
      <x:c r="M3" s="15" t="str">
        <x:v>## Prior Context
After the exceptional spring quarter, investors expected comp growth to normalize while the housing market remained supportive. The hurdle was maintaining strong U.S. productivity without relying on another weather-assisted surge.
### Verified prior source
2016-05-17 | Home Depot | The Home Depot Announces First Quarter Results; Raises Fiscal Year 2016 Guidance | https://ir.homedepot.com/news-releases/2016/05-17-2016-110336677
## Current Earnings Release
Q2 sales reached **$26.5 billion**, up **6.6%**, and EPS was **$1.97**. Results were essentially in line with consensus, while U.S. comparable sales rose **5.4%**—slower than Q1’s 7.4% but still among the strongest results in U.S. retail.
Home Depot raised its full-year EPS outlook modestly to about **$6.31** while reaffirming sales and comp guidance. The business remained strong across categories, and management continued to cite housing as a tailwind. This was therefore a solid but low-surprise quarter: operating performance remained excellent, but the market had largely anticipated it.
### Verified release source
2016-08-16 | Home Depot | The Home Depot Announces Second Quarter Results | https://ir.homedepot.com/news-releases/2016/08-16-2016-110116194
## Possible Drivers
**First-order driver.** The stock was essentially flat because results were strong but largely in line with expectations.
**Second-order driver.** U.S. comps above 5% showed continued market-share and housing-driven demand strength.
**Third-order driver.** The modest EPS-guidance increase was positive but not large enough to create a major repricing.
### Verified reaction source
2016-08-16 | TheStreet | Home Depot Lifts 2016 Forecast as Quarterly Profit Meets Estimates | https://www.thestreet.com/investing/home-depot-lifts-2016-forecast-as-quarterly-profit-meets-estimates-13675955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3" s="15" t="str">
        <x:v>2016-05-17 | Home Depot | The Home Depot Announces First Quarter Results; Raises Fiscal Year 2016 Guidance | https://ir.homedepot.com/news-releases/2016/05-17-2016-110336677</x:v>
      </x:c>
      <x:c r="O3" s="15" t="str">
        <x:v>2016-08-16 | Home Depot | The Home Depot Announces Second Quarter Results | https://ir.homedepot.com/news-releases/2016/08-16-2016-110116194</x:v>
      </x:c>
      <x:c r="P3" s="15" t="str">
        <x:v>2016-08-16 | TheStreet | Home Depot Lifts 2016 Forecast as Quarterly Profit Meets Estimates | https://www.thestreet.com/investing/home-depot-lifts-2016-forecast-as-quarterly-profit-meets-estimates-13675955</x:v>
      </x:c>
      <x:c r="Q3" s="15" t="str">
        <x:v>2016-05-17 | Home Depot | The Home Depot Announces First Quarter Results; Raises Fiscal Year 2016 Guidance | https://ir.homedepot.com/news-releases/2016/05-17-2016-110336677
2016-08-16 | Home Depot | The Home Depot Announces Second Quarter Results | https://ir.homedepot.com/news-releases/2016/08-16-2016-110116194
2016-08-16 | TheStreet | Home Depot Lifts 2016 Forecast as Quarterly Profit Meets Estimates | https://www.thestreet.com/investing/home-depot-lifts-2016-forecast-as-quarterly-profit-meets-estimates-13675955</x:v>
      </x:c>
      <x:c r="R3" s="15" t="n">
        <x:v>3</x:v>
      </x:c>
      <x:c r="S3" s="15" t="str">
        <x:v>PASS</x:v>
      </x:c>
    </x:row>
    <x:row r="4" ht="340" customHeight="1">
      <x:c r="A4" s="15" t="n">
        <x:v>2</x:v>
      </x:c>
      <x:c r="B4" s="15" t="str">
        <x:v>HD</x:v>
      </x:c>
      <x:c r="C4" s="15" t="str">
        <x:v>Home Depot</x:v>
      </x:c>
      <x:c r="D4" s="15" t="str">
        <x:v>2016q4</x:v>
      </x:c>
      <x:c r="E4" s="15" t="str">
        <x:v>2016-11-15</x:v>
      </x:c>
      <x:c r="F4" s="18" t="n">
        <x:v>-3.35</x:v>
      </x:c>
      <x:c r="G4" s="18" t="n">
        <x:v>0.9</x:v>
      </x:c>
      <x:c r="H4" s="18" t="n">
        <x:v>-2.48</x:v>
      </x:c>
      <x:c r="I4" s="18" t="n">
        <x:v>-4.35</x:v>
      </x:c>
      <x:c r="J4" s="18" t="n">
        <x:v>-2.37</x:v>
      </x:c>
      <x:c r="K4" s="15" t="str">
        <x:v>ret_1day_pct</x:v>
      </x:c>
      <x:c r="L4" s="15" t="str">
        <x:v>DOWN</x:v>
      </x:c>
      <x:c r="M4" s="15" t="str">
        <x:v>## Prior Context
Home Depot entered Q3 after several years of exceptional housing-related growth, while investors had begun worrying that rising rates and signs of slower housing activity could mark a cyclical peak.
### Verified prior source
2016-08-16 | Home Depot | The Home Depot Announces Second Quarter Results | https://ir.homedepot.com/news-releases/2016/08-16-2016-110116194
## Current Earnings Release
Q3 sales increased **6.1% to $23.2 billion**, U.S. comps rose **5.9%**, and EPS increased **18.5% to $1.60**. Both revenue and EPS modestly beat consensus. Management emphasized balanced growth from both **ticket and transactions**, and operating income rose faster than sales because of productivity gains.
Home Depot also raised full-year EPS guidance to about **$6.33**. The earnings release itself was strong. However, the supplied stock return shows a **3.35% decline on the earnings day**, larger than the slight premarket weakness described in contemporaneous coverage. With no clean non-prohibited article attributing that full decline to a specific earnings item, the safest interpretation is that broader post-election rate/housing concerns and positioning contributed alongside the earnings event.
### Verified release source
2016-11-15 | Home Depot | The Home Depot Announces Third Quarter Results | https://ir.homedepot.com/news-releases/2016/11-15-2016-110202020
## Possible Drivers
**First-order driver.** The same-day decline cannot be cleanly attributed to the earnings report; the quarter itself beat expectations and guidance increased.
**Second-order driver.** Rising mortgage-rate and housing-cycle concerns likely weighed on valuation despite strong operating results.
**Third-order driver.** Balanced ticket and transaction growth argued against an immediate deterioration in Home Depot’s core business.
### Verified reaction source
2016-11-15 | TheStreet | Here's How Home Depot May Have Defied the U.S. Housing Market Slowdown | https://www.thestreet.com/story/13892626/1/here-s-how-home-depot-may-have-defied-the-u-s-housing-market-slowdown.html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4" s="15" t="str">
        <x:v>2016-08-16 | Home Depot | The Home Depot Announces Second Quarter Results | https://ir.homedepot.com/news-releases/2016/08-16-2016-110116194</x:v>
      </x:c>
      <x:c r="O4" s="15" t="str">
        <x:v>2016-11-15 | Home Depot | The Home Depot Announces Third Quarter Results | https://ir.homedepot.com/news-releases/2016/11-15-2016-110202020</x:v>
      </x:c>
      <x:c r="P4" s="15" t="str">
        <x:v>2016-11-15 | TheStreet | Here's How Home Depot May Have Defied the U.S. Housing Market Slowdown | https://www.thestreet.com/story/13892626/1/here-s-how-home-depot-may-have-defied-the-u-s-housing-market-slowdown.html</x:v>
      </x:c>
      <x:c r="Q4" s="15" t="str">
        <x:v>2016-08-16 | Home Depot | The Home Depot Announces Second Quarter Results | https://ir.homedepot.com/news-releases/2016/08-16-2016-110116194
2016-11-15 | Home Depot | The Home Depot Announces Third Quarter Results | https://ir.homedepot.com/news-releases/2016/11-15-2016-110202020
2016-11-15 | TheStreet | Here's How Home Depot May Have Defied the U.S. Housing Market Slowdown | https://www.thestreet.com/story/13892626/1/here-s-how-home-depot-may-have-defied-the-u-s-housing-market-slowdown.html</x:v>
      </x:c>
      <x:c r="R4" s="15" t="n">
        <x:v>3</x:v>
      </x:c>
      <x:c r="S4" s="15" t="str">
        <x:v>PASS</x:v>
      </x:c>
    </x:row>
    <x:row r="5" ht="340" customHeight="1">
      <x:c r="A5" s="15" t="n">
        <x:v>3</x:v>
      </x:c>
      <x:c r="B5" s="15" t="str">
        <x:v>HD</x:v>
      </x:c>
      <x:c r="C5" s="15" t="str">
        <x:v>Home Depot</x:v>
      </x:c>
      <x:c r="D5" s="15" t="str">
        <x:v>2017q1</x:v>
      </x:c>
      <x:c r="E5" s="15" t="str">
        <x:v>2017-02-21</x:v>
      </x:c>
      <x:c r="F5" s="18" t="n">
        <x:v>0.83</x:v>
      </x:c>
      <x:c r="G5" s="18" t="n">
        <x:v>0.33</x:v>
      </x:c>
      <x:c r="H5" s="18" t="n">
        <x:v>1.17</x:v>
      </x:c>
      <x:c r="I5" s="18" t="n">
        <x:v>2.02</x:v>
      </x:c>
      <x:c r="J5" s="18" t="n">
        <x:v>2.56</x:v>
      </x:c>
      <x:c r="K5" s="15" t="str">
        <x:v>ret_1day_pct</x:v>
      </x:c>
      <x:c r="L5" s="15" t="str">
        <x:v>UP</x:v>
      </x:c>
      <x:c r="M5" s="15" t="str">
        <x:v>## Prior Context
By year-end, Home Depot had continued to outperform most of retail. Investors were watching whether housing turnover, home-price appreciation and Pro demand could sustain high comps into 2017.
### Verified prior source
2016-11-15 | Home Depot | The Home Depot Announces Third Quarter Results | https://ir.homedepot.com/news-releases/2016/11-15-2016-110202020
## Current Earnings Release
Fiscal Q4 sales rose **5.8% to $22.2 billion**, total comps increased **5.8%**, and U.S. comps reached **6.3%**. EPS of **$1.44** materially exceeded consensus near $1.33. Home Depot finished fiscal 2016 with sales of **$94.6 billion** and EPS growth of 18.1%.
The capital-return announcement was also substantial: the company increased its quarterly dividend **29%**, raised the targeted payout ratio, and authorized **$15 billion of share repurchases**. Fiscal-2017 EPS guidance of roughly **$7.13** was slightly below some Street forecasts, but the current-quarter beat and capital returns dominated the interpretation.
### Verified release source
2017-02-21 | Home Depot | The Home Depot Announces Fourth Quarter And Fiscal 2016 Results | https://ir.homedepot.com/news-releases/2017/02-21-2017-110150581
## Possible Drivers
**First-order driver.** The stock rose because Home Depot delivered a large EPS and comp-sales beat.
**Second-order driver.** A 29% dividend increase and $15 billion buyback authorization strengthened the shareholder-return story.
**Third-order driver.** Slightly cautious 2017 EPS guidance prevented an even stronger reaction.
### Verified reaction source
2017-02-21 | TheStreet | Home Depot Just Had One of the Most Stellar Quarters of Anyone in Retail | https://www.thestreet.com/story/14007913/1/home-depot-just-had-one-of-the-best-quarters-of-anyone-in-retail.html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5" s="15" t="str">
        <x:v>2016-11-15 | Home Depot | The Home Depot Announces Third Quarter Results | https://ir.homedepot.com/news-releases/2016/11-15-2016-110202020</x:v>
      </x:c>
      <x:c r="O5" s="15" t="str">
        <x:v>2017-02-21 | Home Depot | The Home Depot Announces Fourth Quarter And Fiscal 2016 Results | https://ir.homedepot.com/news-releases/2017/02-21-2017-110150581</x:v>
      </x:c>
      <x:c r="P5" s="15" t="str">
        <x:v>2017-02-21 | TheStreet | Home Depot Just Had One of the Most Stellar Quarters of Anyone in Retail | https://www.thestreet.com/story/14007913/1/home-depot-just-had-one-of-the-best-quarters-of-anyone-in-retail.html</x:v>
      </x:c>
      <x:c r="Q5" s="15" t="str">
        <x:v>2016-11-15 | Home Depot | The Home Depot Announces Third Quarter Results | https://ir.homedepot.com/news-releases/2016/11-15-2016-110202020
2017-02-21 | Home Depot | The Home Depot Announces Fourth Quarter And Fiscal 2016 Results | https://ir.homedepot.com/news-releases/2017/02-21-2017-110150581
2017-02-21 | TheStreet | Home Depot Just Had One of the Most Stellar Quarters of Anyone in Retail | https://www.thestreet.com/story/14007913/1/home-depot-just-had-one-of-the-best-quarters-of-anyone-in-retail.html</x:v>
      </x:c>
      <x:c r="R5" s="15" t="n">
        <x:v>3</x:v>
      </x:c>
      <x:c r="S5" s="15" t="str">
        <x:v>PASS</x:v>
      </x:c>
    </x:row>
    <x:row r="6" ht="340" customHeight="1">
      <x:c r="A6" s="15" t="n">
        <x:v>4</x:v>
      </x:c>
      <x:c r="B6" s="15" t="str">
        <x:v>HD</x:v>
      </x:c>
      <x:c r="C6" s="15" t="str">
        <x:v>Home Depot</x:v>
      </x:c>
      <x:c r="D6" s="15" t="str">
        <x:v>2017q2</x:v>
      </x:c>
      <x:c r="E6" s="15" t="str">
        <x:v>2017-05-16</x:v>
      </x:c>
      <x:c r="F6" s="18" t="n">
        <x:v>0.63</x:v>
      </x:c>
      <x:c r="G6" s="18" t="n">
        <x:v>0.44</x:v>
      </x:c>
      <x:c r="H6" s="18" t="n">
        <x:v>1.07</x:v>
      </x:c>
      <x:c r="I6" s="18" t="n">
        <x:v>0.77</x:v>
      </x:c>
      <x:c r="J6" s="18" t="n">
        <x:v>-0.2</x:v>
      </x:c>
      <x:c r="K6" s="15" t="str">
        <x:v>ret_1day_pct</x:v>
      </x:c>
      <x:c r="L6" s="15" t="str">
        <x:v>UP</x:v>
      </x:c>
      <x:c r="M6" s="15" t="str">
        <x:v>## Prior Context
Home Depot entered 2017 with housing demand still firm and department-store retail under severe pressure. The market expected the company’s Pro exposure and project-driven categories to remain relatively insulated from e-commerce disruption.
### Verified prior source
2017-02-21 | Home Depot | The Home Depot Announces Fourth Quarter And Fiscal 2016 Results | https://ir.homedepot.com/news-releases/2017/02-21-2017-110150581
## Current Earnings Release
Q1 sales increased **4.9% to $23.9 billion**, while total comps rose **5.5%** and U.S. comps **6.0%**. EPS increased **16% to $1.67**, well above consensus around $1.52. Management said growth was broad-based across geographies and merchandise departments.
Home Depot also lifted full-year EPS guidance to around **$7.15**. The result was especially strong relative to the broader retail environment: both **transactions and average ticket increased**, showing that growth was not being generated solely by inflation or a narrow set of big-ticket categories.
### Verified release source
2017-05-16 | Home Depot | The Home Depot Announces First Quarter Results; Updates Fiscal Year 2017 Guidance | https://ir.homedepot.com/news-releases/2017/05-16-2017-110017198
## Possible Drivers
**First-order driver.** Shares rose because EPS and comps materially beat expectations and guidance increased.
**Second-order driver.** Growth in both traffic and ticket showed broad underlying demand.
**Third-order driver.** Home Depot’s project-driven model continued to look structurally more resilient than traditional retail.
### Verified reaction source
2017-05-16 | TheStreet | Home Depot Just Blew It Out of the Water While the Rest of Retail Keeps Falling Apart | https://www.thestreet.com/story/14136035/1/home-depot-has-another-monster-quarter-while-the-rest-of-retail-keeps-falling-apart.html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6" s="15" t="str">
        <x:v>2017-02-21 | Home Depot | The Home Depot Announces Fourth Quarter And Fiscal 2016 Results | https://ir.homedepot.com/news-releases/2017/02-21-2017-110150581</x:v>
      </x:c>
      <x:c r="O6" s="15" t="str">
        <x:v>2017-05-16 | Home Depot | The Home Depot Announces First Quarter Results; Updates Fiscal Year 2017 Guidance | https://ir.homedepot.com/news-releases/2017/05-16-2017-110017198</x:v>
      </x:c>
      <x:c r="P6" s="15" t="str">
        <x:v>2017-05-16 | TheStreet | Home Depot Just Blew It Out of the Water While the Rest of Retail Keeps Falling Apart | https://www.thestreet.com/story/14136035/1/home-depot-has-another-monster-quarter-while-the-rest-of-retail-keeps-falling-apart.html</x:v>
      </x:c>
      <x:c r="Q6" s="15" t="str">
        <x:v>2017-02-21 | Home Depot | The Home Depot Announces Fourth Quarter And Fiscal 2016 Results | https://ir.homedepot.com/news-releases/2017/02-21-2017-110150581
2017-05-16 | Home Depot | The Home Depot Announces First Quarter Results; Updates Fiscal Year 2017 Guidance | https://ir.homedepot.com/news-releases/2017/05-16-2017-110017198
2017-05-16 | TheStreet | Home Depot Just Blew It Out of the Water While the Rest of Retail Keeps Falling Apart | https://www.thestreet.com/story/14136035/1/home-depot-has-another-monster-quarter-while-the-rest-of-retail-keeps-falling-apart.html</x:v>
      </x:c>
      <x:c r="R6" s="15" t="n">
        <x:v>3</x:v>
      </x:c>
      <x:c r="S6" s="15" t="str">
        <x:v>PASS</x:v>
      </x:c>
    </x:row>
    <x:row r="7" ht="340" customHeight="1">
      <x:c r="A7" s="15" t="n">
        <x:v>5</x:v>
      </x:c>
      <x:c r="B7" s="15" t="str">
        <x:v>HD</x:v>
      </x:c>
      <x:c r="C7" s="15" t="str">
        <x:v>Home Depot</x:v>
      </x:c>
      <x:c r="D7" s="15" t="str">
        <x:v>2017q3</x:v>
      </x:c>
      <x:c r="E7" s="15" t="str">
        <x:v>2017-08-15</x:v>
      </x:c>
      <x:c r="F7" s="18" t="n">
        <x:v>-2.51</x:v>
      </x:c>
      <x:c r="G7" s="18" t="n">
        <x:v>1.17</x:v>
      </x:c>
      <x:c r="H7" s="18" t="n">
        <x:v>-1.37</x:v>
      </x:c>
      <x:c r="I7" s="18" t="n">
        <x:v>-2.73</x:v>
      </x:c>
      <x:c r="J7" s="18" t="n">
        <x:v>-4.26</x:v>
      </x:c>
      <x:c r="K7" s="15" t="str">
        <x:v>ret_1day_pct</x:v>
      </x:c>
      <x:c r="L7" s="15" t="str">
        <x:v>DOWN</x:v>
      </x:c>
      <x:c r="M7" s="15" t="str">
        <x:v>## Prior Context
After another strong Q1, expectations were extremely high. Investors were also debating whether limited housing inventory, rising home prices and mortgage affordability could eventually slow project demand.
### Verified prior source
2017-05-16 | Home Depot | The Home Depot Announces First Quarter Results; Updates Fiscal Year 2017 Guidance | https://ir.homedepot.com/news-releases/2017/05-16-2017-110017198
## Current Earnings Release
Q2 sales rose **6.2% to $28.1 billion**, the highest quarterly sales in company history at the time. Total comps reached **6.3%**, U.S. comps **6.6%**, and EPS increased **14.2% to $2.25**, all above consensus. Home Depot raised full-year EPS guidance to about **$7.29**.
Operationally, the quarter was excellent. Yet the stock fell **2.51%** during the session. Contemporaneous non-prohibited coverage documented the selloff but did not identify a single weak earnings metric. The most defensible interpretation is an expectations/valuation reaction: the stock was priced for exceptional execution, and investors were increasingly sensitive to housing-supply and affordability concerns despite the beat.
### Verified release source
2017-08-15 | Home Depot | The Home Depot Announces Second Quarter Results; Updates Fiscal Year 2017 Guidance | https://ir.homedepot.com/news-releases/2017/08-15-2017-110716875
## Possible Drivers
**First-order driver.** The stock fell despite a beat-and-raise, so the move is best classified as an expectations/valuation reaction rather than an operating disappointment.
**Second-order driver.** Record sales and 6.6% U.S. comps showed the core business remained exceptionally strong.
**Third-order driver.** Housing-supply and affordability concerns created a forward-looking macro overhang.
### Verified reaction source
2017-08-15 | TheStreet | Your Golden Opportunity to Buy Home Depot Is Coming: Chart | https://www.thestreet.com/investing/stocks/your-golden-opportunity-to-buy-home-depot-is-coming-14272340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7" s="15" t="str">
        <x:v>2017-05-16 | Home Depot | The Home Depot Announces First Quarter Results; Updates Fiscal Year 2017 Guidance | https://ir.homedepot.com/news-releases/2017/05-16-2017-110017198</x:v>
      </x:c>
      <x:c r="O7" s="15" t="str">
        <x:v>2017-08-15 | Home Depot | The Home Depot Announces Second Quarter Results; Updates Fiscal Year 2017 Guidance | https://ir.homedepot.com/news-releases/2017/08-15-2017-110716875</x:v>
      </x:c>
      <x:c r="P7" s="15" t="str">
        <x:v>2017-08-15 | TheStreet | Your Golden Opportunity to Buy Home Depot Is Coming: Chart | https://www.thestreet.com/investing/stocks/your-golden-opportunity-to-buy-home-depot-is-coming-14272340</x:v>
      </x:c>
      <x:c r="Q7" s="15" t="str">
        <x:v>2017-05-16 | Home Depot | The Home Depot Announces First Quarter Results; Updates Fiscal Year 2017 Guidance | https://ir.homedepot.com/news-releases/2017/05-16-2017-110017198
2017-08-15 | Home Depot | The Home Depot Announces Second Quarter Results; Updates Fiscal Year 2017 Guidance | https://ir.homedepot.com/news-releases/2017/08-15-2017-110716875
2017-08-15 | TheStreet | Your Golden Opportunity to Buy Home Depot Is Coming: Chart | https://www.thestreet.com/investing/stocks/your-golden-opportunity-to-buy-home-depot-is-coming-14272340</x:v>
      </x:c>
      <x:c r="R7" s="15" t="n">
        <x:v>3</x:v>
      </x:c>
      <x:c r="S7" s="15" t="str">
        <x:v>PASS</x:v>
      </x:c>
    </x:row>
    <x:row r="8" ht="340" customHeight="1">
      <x:c r="A8" s="15" t="n">
        <x:v>6</x:v>
      </x:c>
      <x:c r="B8" s="15" t="str">
        <x:v>HD</x:v>
      </x:c>
      <x:c r="C8" s="15" t="str">
        <x:v>Home Depot</x:v>
      </x:c>
      <x:c r="D8" s="15" t="str">
        <x:v>2017q4</x:v>
      </x:c>
      <x:c r="E8" s="15" t="str">
        <x:v>2017-11-14</x:v>
      </x:c>
      <x:c r="F8" s="18" t="n">
        <x:v>1.89</x:v>
      </x:c>
      <x:c r="G8" s="18" t="n">
        <x:v>-1.06</x:v>
      </x:c>
      <x:c r="H8" s="18" t="n">
        <x:v>0.82</x:v>
      </x:c>
      <x:c r="I8" s="18" t="n">
        <x:v>1.56</x:v>
      </x:c>
      <x:c r="J8" s="18" t="n">
        <x:v>2.1</x:v>
      </x:c>
      <x:c r="K8" s="15" t="str">
        <x:v>ret_1day_pct</x:v>
      </x:c>
      <x:c r="L8" s="15" t="str">
        <x:v>UP</x:v>
      </x:c>
      <x:c r="M8" s="15" t="str">
        <x:v>## Prior Context
The quarter followed Hurricanes Harvey, Irma and Maria. Investors expected reconstruction demand to boost sales but also wanted to know whether the underlying business remained healthy outside storm-related purchases.
### Verified prior source
2017-08-15 | Home Depot | The Home Depot Announces Second Quarter Results; Updates Fiscal Year 2017 Guidance | https://ir.homedepot.com/news-releases/2017/08-15-2017-110716875
## Current Earnings Release
Q3 sales rose **8.1% to $25.0 billion**, total comps increased **7.9%**, and U.S. comps **7.7%**. EPS reached **$1.84**, above consensus. Home Depot estimated that hurricanes added roughly **$282 million** to quarterly sales, but management stressed that the underlying business was strong as well.
The company again raised fiscal-2017 guidance, now expecting comp growth around **6.5%** and EPS around **$7.36**. The quality of the quarter therefore came from both temporary storm demand and persistent strength in the core remodeling/housing business.
### Verified release source
2017-11-14 | Home Depot | The Home Depot Announces Third Quarter Results; Updates Fiscal Year 2017 Guidance | https://ir.homedepot.com/news-releases/2017/11-14-2017-110039233
## Possible Drivers
**First-order driver.** Shares rose because comps and EPS beat expectations and full-year guidance increased.
**Second-order driver.** Hurricane-related demand boosted sales, but it did not fully explain the strength of the quarter.
**Third-order driver.** Continued core demand from homeowners and Pros supported confidence beyond the reconstruction cycle.
### Verified reaction source
2017-11-14 | TheStreet | Home Depot Crushes Earnings as Sales Get Boost From Hurricane Demand | https://www.thestreet.com/investing/stocks/home-depot-crushes-q3-earnings-posting-positive-comp-sales-from-hurricanes-14389212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8" s="15" t="str">
        <x:v>2017-08-15 | Home Depot | The Home Depot Announces Second Quarter Results; Updates Fiscal Year 2017 Guidance | https://ir.homedepot.com/news-releases/2017/08-15-2017-110716875</x:v>
      </x:c>
      <x:c r="O8" s="15" t="str">
        <x:v>2017-11-14 | Home Depot | The Home Depot Announces Third Quarter Results; Updates Fiscal Year 2017 Guidance | https://ir.homedepot.com/news-releases/2017/11-14-2017-110039233</x:v>
      </x:c>
      <x:c r="P8" s="15" t="str">
        <x:v>2017-11-14 | TheStreet | Home Depot Crushes Earnings as Sales Get Boost From Hurricane Demand | https://www.thestreet.com/investing/stocks/home-depot-crushes-q3-earnings-posting-positive-comp-sales-from-hurricanes-14389212</x:v>
      </x:c>
      <x:c r="Q8" s="15" t="str">
        <x:v>2017-08-15 | Home Depot | The Home Depot Announces Second Quarter Results; Updates Fiscal Year 2017 Guidance | https://ir.homedepot.com/news-releases/2017/08-15-2017-110716875
2017-11-14 | Home Depot | The Home Depot Announces Third Quarter Results; Updates Fiscal Year 2017 Guidance | https://ir.homedepot.com/news-releases/2017/11-14-2017-110039233
2017-11-14 | TheStreet | Home Depot Crushes Earnings as Sales Get Boost From Hurricane Demand | https://www.thestreet.com/investing/stocks/home-depot-crushes-q3-earnings-posting-positive-comp-sales-from-hurricanes-14389212</x:v>
      </x:c>
      <x:c r="R8" s="15" t="n">
        <x:v>3</x:v>
      </x:c>
      <x:c r="S8" s="15" t="str">
        <x:v>PASS</x:v>
      </x:c>
    </x:row>
    <x:row r="9" ht="340" customHeight="1">
      <x:c r="A9" s="15" t="n">
        <x:v>7</x:v>
      </x:c>
      <x:c r="B9" s="15" t="str">
        <x:v>HD</x:v>
      </x:c>
      <x:c r="C9" s="15" t="str">
        <x:v>Home Depot</x:v>
      </x:c>
      <x:c r="D9" s="15" t="str">
        <x:v>2018q1</x:v>
      </x:c>
      <x:c r="E9" s="15" t="str">
        <x:v>2018-02-20</x:v>
      </x:c>
      <x:c r="F9" s="18" t="n">
        <x:v>0.49</x:v>
      </x:c>
      <x:c r="G9" s="18" t="n">
        <x:v>-1.51</x:v>
      </x:c>
      <x:c r="H9" s="18" t="n">
        <x:v>-1.03</x:v>
      </x:c>
      <x:c r="I9" s="18" t="n">
        <x:v>-0.16</x:v>
      </x:c>
      <x:c r="J9" s="18" t="n">
        <x:v>1.22</x:v>
      </x:c>
      <x:c r="K9" s="15" t="str">
        <x:v>ret_1day_pct</x:v>
      </x:c>
      <x:c r="L9" s="15" t="str">
        <x:v>UP</x:v>
      </x:c>
      <x:c r="M9" s="15" t="str">
        <x:v>## Prior Context
Home Depot entered fiscal year-end after record 2017 sales and hurricane-driven Q3 strength. Tax reform and management’s new multiyear investment program also changed the expected earnings and capital-spending profile.
### Verified prior source
2017-11-14 | Home Depot | The Home Depot Announces Third Quarter Results; Updates Fiscal Year 2017 Guidance | https://ir.homedepot.com/news-releases/2017/11-14-2017-110039233
## Current Earnings Release
Q4 sales rose **7.5% to $23.9 billion**, with total comps of **7.5%** and U.S. comps of **7.2%**, all above expectations. Adjusted EPS was about **$1.69** after excluding the one-time employee bonus and tax-reform charge, versus consensus near $1.61.
For fiscal 2018, Home Depot guided to roughly **6.5% sales growth**, **5% comps**, and EPS of about **$9.31**, while reiterating long-term sales and operating-margin targets. The company also raised its dividend **15.7%**. The supplied earnings-day move was only modestly positive, consistent with a strong report that was already largely anticipated.
### Verified release source
2018-02-20 | Home Depot | The Home Depot Announces Fourth Quarter and Fiscal 2017 Results; Provides Fiscal 2018 Guidance | https://ir.homedepot.com/news-releases/2018/02-20-2018-110229467
## Possible Drivers
**First-order driver.** The stock edged higher because earnings and comps beat expectations while 2018 guidance remained solid.
**Second-order driver.** Tax reform boosted the forward EPS base but also created one-time accounting noise in Q4.
**Third-order driver.** The multiyear investment program increased spending but supported the long-term interconnected-retail strategy.
### Verified reaction source
2018-02-20 | TheStreet | Home Depot Continues to Wow With Earnings Beat | https://www.thestreet.com/story/14493371/1/home-depot-continues-to-wow-with-earnings-beat.html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9" s="15" t="str">
        <x:v>2017-11-14 | Home Depot | The Home Depot Announces Third Quarter Results; Updates Fiscal Year 2017 Guidance | https://ir.homedepot.com/news-releases/2017/11-14-2017-110039233</x:v>
      </x:c>
      <x:c r="O9" s="15" t="str">
        <x:v>2018-02-20 | Home Depot | The Home Depot Announces Fourth Quarter and Fiscal 2017 Results; Provides Fiscal 2018 Guidance | https://ir.homedepot.com/news-releases/2018/02-20-2018-110229467</x:v>
      </x:c>
      <x:c r="P9" s="15" t="str">
        <x:v>2018-02-20 | TheStreet | Home Depot Continues to Wow With Earnings Beat | https://www.thestreet.com/story/14493371/1/home-depot-continues-to-wow-with-earnings-beat.html</x:v>
      </x:c>
      <x:c r="Q9" s="15" t="str">
        <x:v>2017-11-14 | Home Depot | The Home Depot Announces Third Quarter Results; Updates Fiscal Year 2017 Guidance | https://ir.homedepot.com/news-releases/2017/11-14-2017-110039233
2018-02-20 | Home Depot | The Home Depot Announces Fourth Quarter and Fiscal 2017 Results; Provides Fiscal 2018 Guidance | https://ir.homedepot.com/news-releases/2018/02-20-2018-110229467
2018-02-20 | TheStreet | Home Depot Continues to Wow With Earnings Beat | https://www.thestreet.com/story/14493371/1/home-depot-continues-to-wow-with-earnings-beat.html</x:v>
      </x:c>
      <x:c r="R9" s="15" t="n">
        <x:v>3</x:v>
      </x:c>
      <x:c r="S9" s="15" t="str">
        <x:v>PASS</x:v>
      </x:c>
    </x:row>
    <x:row r="10" ht="340" customHeight="1">
      <x:c r="A10" s="15" t="n">
        <x:v>8</x:v>
      </x:c>
      <x:c r="B10" s="15" t="str">
        <x:v>HD</x:v>
      </x:c>
      <x:c r="C10" s="15" t="str">
        <x:v>Home Depot</x:v>
      </x:c>
      <x:c r="D10" s="15" t="str">
        <x:v>2018q2</x:v>
      </x:c>
      <x:c r="E10" s="15" t="str">
        <x:v>2018-05-15</x:v>
      </x:c>
      <x:c r="F10" s="18" t="n">
        <x:v>-1.05</x:v>
      </x:c>
      <x:c r="G10" s="18" t="n">
        <x:v>-1.33</x:v>
      </x:c>
      <x:c r="H10" s="18" t="n">
        <x:v>-2.36</x:v>
      </x:c>
      <x:c r="I10" s="18" t="n">
        <x:v>-2.04</x:v>
      </x:c>
      <x:c r="J10" s="18" t="n">
        <x:v>-1.31</x:v>
      </x:c>
      <x:c r="K10" s="15" t="str">
        <x:v>ret_1day_pct</x:v>
      </x:c>
      <x:c r="L10" s="15" t="str">
        <x:v>DOWN</x:v>
      </x:c>
      <x:c r="M10" s="15" t="str">
        <x:v>## Prior Context
Q1 followed an unusually cold and prolonged winter across much of the U.S. The central question was whether weak spring categories reflected temporary weather timing or a genuine slowdown in housing-linked demand.
### Verified prior source
2018-02-20 | Home Depot | The Home Depot Announces Fourth Quarter and Fiscal 2017 Results; Provides Fiscal 2018 Guidance | https://ir.homedepot.com/news-releases/2018/02-20-2018-110229467
## Current Earnings Release
Q1 sales rose **4.4% to $24.9 billion** and EPS increased **24.6% to $2.08**, beating the earnings estimate. But total comps of **4.2%** and U.S. comps of **3.9%** were below expectations, and store transactions declined **1.5%** as cold weather delayed gardening and other seasonal projects.
Management **reaffirmed full-year guidance** and said business accelerated sharply once weather improved: May comps were already running much stronger than the April exit rate. This distinction is important—the release contained a real comp-sales miss, but management presented it as timing rather than structural demand weakness.
### Verified release source
2018-05-15 | Home Depot | The Home Depot Announces First Quarter Results; Reaffirms Fiscal Year 2018 Guidance | https://ir.homedepot.com/news-releases/2018/05-15-2018-110122106
## Possible Drivers
**First-order driver.** The stock fell because same-store sales and revenue missed expectations despite an EPS beat.
**Second-order driver.** Cold weather depressed traffic and seasonal categories, making the miss partly timing-related.
**Third-order driver.** Reaffirmed guidance and stronger early-May trends limited concern about a lasting housing-demand slowdown.
### Verified reaction source
2018-05-15 | TheStreet | Home Depot Shares Dip After Rare Quarterly Sales Shortfall | https://www.thestreet.com/markets/home-depot-shares-dip-after-q1-revenue-miss-14589345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10" s="15" t="str">
        <x:v>2018-02-20 | Home Depot | The Home Depot Announces Fourth Quarter and Fiscal 2017 Results; Provides Fiscal 2018 Guidance | https://ir.homedepot.com/news-releases/2018/02-20-2018-110229467</x:v>
      </x:c>
      <x:c r="O10" s="15" t="str">
        <x:v>2018-05-15 | Home Depot | The Home Depot Announces First Quarter Results; Reaffirms Fiscal Year 2018 Guidance | https://ir.homedepot.com/news-releases/2018/05-15-2018-110122106</x:v>
      </x:c>
      <x:c r="P10" s="15" t="str">
        <x:v>2018-05-15 | TheStreet | Home Depot Shares Dip After Rare Quarterly Sales Shortfall | https://www.thestreet.com/markets/home-depot-shares-dip-after-q1-revenue-miss-14589345</x:v>
      </x:c>
      <x:c r="Q10" s="15" t="str">
        <x:v>2018-02-20 | Home Depot | The Home Depot Announces Fourth Quarter and Fiscal 2017 Results; Provides Fiscal 2018 Guidance | https://ir.homedepot.com/news-releases/2018/02-20-2018-110229467
2018-05-15 | Home Depot | The Home Depot Announces First Quarter Results; Reaffirms Fiscal Year 2018 Guidance | https://ir.homedepot.com/news-releases/2018/05-15-2018-110122106
2018-05-15 | TheStreet | Home Depot Shares Dip After Rare Quarterly Sales Shortfall | https://www.thestreet.com/markets/home-depot-shares-dip-after-q1-revenue-miss-14589345</x:v>
      </x:c>
      <x:c r="R10" s="15" t="n">
        <x:v>3</x:v>
      </x:c>
      <x:c r="S10" s="15" t="str">
        <x:v>PASS</x:v>
      </x:c>
    </x:row>
    <x:row r="11" ht="340" customHeight="1">
      <x:c r="A11" s="15" t="n">
        <x:v>9</x:v>
      </x:c>
      <x:c r="B11" s="15" t="str">
        <x:v>HD</x:v>
      </x:c>
      <x:c r="C11" s="15" t="str">
        <x:v>Home Depot</x:v>
      </x:c>
      <x:c r="D11" s="15" t="str">
        <x:v>2018q3</x:v>
      </x:c>
      <x:c r="E11" s="15" t="str">
        <x:v>2018-08-14</x:v>
      </x:c>
      <x:c r="F11" s="18" t="n">
        <x:v>-1.2</x:v>
      </x:c>
      <x:c r="G11" s="18" t="n">
        <x:v>1.37</x:v>
      </x:c>
      <x:c r="H11" s="18" t="n">
        <x:v>0.16</x:v>
      </x:c>
      <x:c r="I11" s="18" t="n">
        <x:v>-0.48</x:v>
      </x:c>
      <x:c r="J11" s="18" t="n">
        <x:v>-0.86</x:v>
      </x:c>
      <x:c r="K11" s="15" t="str">
        <x:v>ret_1day_pct</x:v>
      </x:c>
      <x:c r="L11" s="15" t="str">
        <x:v>DOWN</x:v>
      </x:c>
      <x:c r="M11" s="15" t="str">
        <x:v>## Prior Context
After weather depressed Q1, investors expected a substantial seasonal rebound. The hurdle was high because the stock had already recovered and the market anticipated catch-up demand.
### Verified prior source
2018-05-15 | Home Depot | The Home Depot Announces First Quarter Results; Reaffirms Fiscal Year 2018 Guidance | https://ir.homedepot.com/news-releases/2018/05-15-2018-110122106
## Current Earnings Release
Q2 sales increased **8.4% to $30.5 billion**, total comps rose **8.0%**, U.S. comps **8.1%**, and EPS surged **35.6% to $3.05**. All major figures beat expectations. The seasonal business rebounded strongly, and Pro-customer demand remained particularly healthy.
Home Depot raised fiscal-2018 guidance to about **7.0% sales growth**, **5.3% comps**, and **$9.42 EPS**. Yet shares closed lower after an initial premarket rally. Contemporaneous coverage noted that expectations were already elevated and that management still expected **second-half growth to decelerate** against tougher hurricane-driven comparisons.
### Verified release source
2018-08-14 | Home Depot | The Home Depot Announces Second Quarter Results; Updates Fiscal Year 2018 Guidance | https://ir.homedepot.com/news-releases/2018/08-14-2018-105958294
## Possible Drivers
**First-order driver.** Shares finished lower because elevated expectations and expected second-half deceleration outweighed an excellent current-quarter beat.
**Second-order driver.** The 8% comp rebound confirmed that Q1 weather weakness was temporary.
**Third-order driver.** Strong Pro demand and higher guidance kept the underlying operating interpretation positive.
### Verified reaction source
2018-08-14 | TheStreet | Home Depot Shares Close Down Slightly for Day | https://www.thestreet.com/investing/home-depot-shares-bounce-on-strong-earnings-report-14681883
## Verification Status
All included pages were opened and checked for Home Depot/HD identity, the correct earnings event, publication date, timing window and source origin. Home Depot Investor Relations is the factual anchor. No WSJ, Reuters, Dow Jones or MarketWatch-syndicated article is included.
</x:v>
      </x:c>
      <x:c r="N11" s="15" t="str">
        <x:v>2018-05-15 | Home Depot | The Home Depot Announces First Quarter Results; Reaffirms Fiscal Year 2018 Guidance | https://ir.homedepot.com/news-releases/2018/05-15-2018-110122106</x:v>
      </x:c>
      <x:c r="O11" s="15" t="str">
        <x:v>2018-08-14 | Home Depot | The Home Depot Announces Second Quarter Results; Updates Fiscal Year 2018 Guidance | https://ir.homedepot.com/news-releases/2018/08-14-2018-105958294</x:v>
      </x:c>
      <x:c r="P11" s="15" t="str">
        <x:v>2018-08-14 | TheStreet | Home Depot Shares Close Down Slightly for Day | https://www.thestreet.com/investing/home-depot-shares-bounce-on-strong-earnings-report-14681883</x:v>
      </x:c>
      <x:c r="Q11" s="15" t="str">
        <x:v>2018-05-15 | Home Depot | The Home Depot Announces First Quarter Results; Reaffirms Fiscal Year 2018 Guidance | https://ir.homedepot.com/news-releases/2018/05-15-2018-110122106
2018-08-14 | Home Depot | The Home Depot Announces Second Quarter Results; Updates Fiscal Year 2018 Guidance | https://ir.homedepot.com/news-releases/2018/08-14-2018-105958294
2018-08-14 | TheStreet | Home Depot Shares Close Down Slightly for Day | https://www.thestreet.com/investing/home-depot-shares-bounce-on-strong-earnings-report-14681883</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2016-05-17</x:v>
      </x:c>
      <x:c r="B2" s="12" t="str">
        <x:v>HD</x:v>
      </x:c>
      <x:c r="C2" s="12" t="str">
        <x:v>prior</x:v>
      </x:c>
      <x:c r="D2" s="12" t="str">
        <x:v>2016-02-23</x:v>
      </x:c>
      <x:c r="E2" s="12" t="n">
        <x:v>-84</x:v>
      </x:c>
      <x:c r="F2" s="12" t="str">
        <x:v>Home Depot</x:v>
      </x:c>
      <x:c r="G2" s="12" t="str">
        <x:v>The Home Depot Announces Record Fourth Quarter And Fiscal 2015 Results; Increases Quarterly Dividend By 17 Percent And Provides Fiscal 2016 Guidance</x:v>
      </x:c>
      <x:c r="H2" s="12" t="str">
        <x:v>https://ir.homedepot.com/news-releases/2016/02-23-2016-014512510</x:v>
      </x:c>
      <x:c r="I2" s="12" t="str">
        <x:v>OPENED_OK</x:v>
      </x:c>
      <x:c r="J2" s="12" t="str">
        <x:v>PASS</x:v>
      </x:c>
      <x:c r="K2" s="12" t="str">
        <x:v>PASS</x:v>
      </x:c>
      <x:c r="L2" s="12" t="str">
        <x:v>PASS</x:v>
      </x:c>
      <x:c r="M2" s="12" t="str">
        <x:v>NO</x:v>
      </x:c>
      <x:c r="N2" s="12" t="str">
        <x:v>PASS</x:v>
      </x:c>
      <x:c r="O2" s="12" t="str">
        <x:v>FACTUAL</x:v>
      </x:c>
      <x:c r="P2" s="12" t="str">
        <x:v>PASS</x:v>
      </x:c>
      <x:c r="Q2" s="12" t="str">
        <x:v>Page was opened/verified for Home Depot/HD identity, exact earnings event, displayed publication date, timing window, and prohibited-source origin.</x:v>
      </x:c>
    </x:row>
    <x:row r="3">
      <x:c r="A3" s="12" t="str">
        <x:v>2016-05-17</x:v>
      </x:c>
      <x:c r="B3" s="12" t="str">
        <x:v>HD</x:v>
      </x:c>
      <x:c r="C3" s="12" t="str">
        <x:v>release</x:v>
      </x:c>
      <x:c r="D3" s="12" t="str">
        <x:v>2016-05-17</x:v>
      </x:c>
      <x:c r="E3" s="12" t="n">
        <x:v>0</x:v>
      </x:c>
      <x:c r="F3" s="12" t="str">
        <x:v>Home Depot</x:v>
      </x:c>
      <x:c r="G3" s="12" t="str">
        <x:v>The Home Depot Announces First Quarter Results; Raises Fiscal Year 2016 Guidance</x:v>
      </x:c>
      <x:c r="H3" s="12" t="str">
        <x:v>https://ir.homedepot.com/news-releases/2016/05-17-2016-110336677</x:v>
      </x:c>
      <x:c r="I3" s="12" t="str">
        <x:v>OPENED_OK</x:v>
      </x:c>
      <x:c r="J3" s="12" t="str">
        <x:v>PASS</x:v>
      </x:c>
      <x:c r="K3" s="12" t="str">
        <x:v>PASS</x:v>
      </x:c>
      <x:c r="L3" s="12" t="str">
        <x:v>PASS</x:v>
      </x:c>
      <x:c r="M3" s="12" t="str">
        <x:v>NO</x:v>
      </x:c>
      <x:c r="N3" s="12" t="str">
        <x:v>PASS</x:v>
      </x:c>
      <x:c r="O3" s="12" t="str">
        <x:v>FACTUAL</x:v>
      </x:c>
      <x:c r="P3" s="12" t="str">
        <x:v>PASS</x:v>
      </x:c>
      <x:c r="Q3" s="12" t="str">
        <x:v>Page was opened/verified for Home Depot/HD identity, exact earnings event, displayed publication date, timing window, and prohibited-source origin.</x:v>
      </x:c>
    </x:row>
    <x:row r="4">
      <x:c r="A4" s="12" t="str">
        <x:v>2016-05-17</x:v>
      </x:c>
      <x:c r="B4" s="12" t="str">
        <x:v>HD</x:v>
      </x:c>
      <x:c r="C4" s="12" t="str">
        <x:v>reaction</x:v>
      </x:c>
      <x:c r="D4" s="12" t="str">
        <x:v>2016-05-17</x:v>
      </x:c>
      <x:c r="E4" s="12" t="n">
        <x:v>0</x:v>
      </x:c>
      <x:c r="F4" s="12" t="str">
        <x:v>TheStreet</x:v>
      </x:c>
      <x:c r="G4" s="12" t="str">
        <x:v>Cramer Weighs in on Future of Retail as Home Depot Ups Guidance</x:v>
      </x:c>
      <x:c r="H4" s="12" t="str">
        <x:v>https://www.thestreet.com/story/13573674/1/home-depot-posts-earnings-beat-and-lifts-2016-guidance.html</x:v>
      </x:c>
      <x:c r="I4" s="12" t="str">
        <x:v>OPENED_OK</x:v>
      </x:c>
      <x:c r="J4" s="12" t="str">
        <x:v>PASS</x:v>
      </x:c>
      <x:c r="K4" s="12" t="str">
        <x:v>PASS</x:v>
      </x:c>
      <x:c r="L4" s="12" t="str">
        <x:v>PASS</x:v>
      </x:c>
      <x:c r="M4" s="12" t="str">
        <x:v>NO</x:v>
      </x:c>
      <x:c r="N4" s="12" t="str">
        <x:v>PASS</x:v>
      </x:c>
      <x:c r="O4" s="12" t="str">
        <x:v>CONTEMPORANEOUS_ATTRIBUTION</x:v>
      </x:c>
      <x:c r="P4" s="12" t="str">
        <x:v>PASS</x:v>
      </x:c>
      <x:c r="Q4" s="12" t="str">
        <x:v>Page was opened/verified for Home Depot/HD identity, exact earnings event, displayed publication date, timing window, and prohibited-source origin.</x:v>
      </x:c>
    </x:row>
    <x:row r="5">
      <x:c r="A5" s="12" t="str">
        <x:v>2016-08-16</x:v>
      </x:c>
      <x:c r="B5" s="12" t="str">
        <x:v>HD</x:v>
      </x:c>
      <x:c r="C5" s="12" t="str">
        <x:v>prior</x:v>
      </x:c>
      <x:c r="D5" s="12" t="str">
        <x:v>2016-05-17</x:v>
      </x:c>
      <x:c r="E5" s="12" t="n">
        <x:v>-91</x:v>
      </x:c>
      <x:c r="F5" s="12" t="str">
        <x:v>Home Depot</x:v>
      </x:c>
      <x:c r="G5" s="12" t="str">
        <x:v>The Home Depot Announces First Quarter Results; Raises Fiscal Year 2016 Guidance</x:v>
      </x:c>
      <x:c r="H5" s="12" t="str">
        <x:v>https://ir.homedepot.com/news-releases/2016/05-17-2016-110336677</x:v>
      </x:c>
      <x:c r="I5" s="12" t="str">
        <x:v>OPENED_OK</x:v>
      </x:c>
      <x:c r="J5" s="12" t="str">
        <x:v>PASS</x:v>
      </x:c>
      <x:c r="K5" s="12" t="str">
        <x:v>PASS</x:v>
      </x:c>
      <x:c r="L5" s="12" t="str">
        <x:v>PASS</x:v>
      </x:c>
      <x:c r="M5" s="12" t="str">
        <x:v>NO</x:v>
      </x:c>
      <x:c r="N5" s="12" t="str">
        <x:v>PASS</x:v>
      </x:c>
      <x:c r="O5" s="12" t="str">
        <x:v>FACTUAL</x:v>
      </x:c>
      <x:c r="P5" s="12" t="str">
        <x:v>PASS</x:v>
      </x:c>
      <x:c r="Q5" s="12" t="str">
        <x:v>Page was opened/verified for Home Depot/HD identity, exact earnings event, displayed publication date, timing window, and prohibited-source origin.</x:v>
      </x:c>
    </x:row>
    <x:row r="6">
      <x:c r="A6" s="12" t="str">
        <x:v>2016-08-16</x:v>
      </x:c>
      <x:c r="B6" s="12" t="str">
        <x:v>HD</x:v>
      </x:c>
      <x:c r="C6" s="12" t="str">
        <x:v>release</x:v>
      </x:c>
      <x:c r="D6" s="12" t="str">
        <x:v>2016-08-16</x:v>
      </x:c>
      <x:c r="E6" s="12" t="n">
        <x:v>0</x:v>
      </x:c>
      <x:c r="F6" s="12" t="str">
        <x:v>Home Depot</x:v>
      </x:c>
      <x:c r="G6" s="12" t="str">
        <x:v>The Home Depot Announces Second Quarter Results</x:v>
      </x:c>
      <x:c r="H6" s="12" t="str">
        <x:v>https://ir.homedepot.com/news-releases/2016/08-16-2016-110116194</x:v>
      </x:c>
      <x:c r="I6" s="12" t="str">
        <x:v>OPENED_OK</x:v>
      </x:c>
      <x:c r="J6" s="12" t="str">
        <x:v>PASS</x:v>
      </x:c>
      <x:c r="K6" s="12" t="str">
        <x:v>PASS</x:v>
      </x:c>
      <x:c r="L6" s="12" t="str">
        <x:v>PASS</x:v>
      </x:c>
      <x:c r="M6" s="12" t="str">
        <x:v>NO</x:v>
      </x:c>
      <x:c r="N6" s="12" t="str">
        <x:v>PASS</x:v>
      </x:c>
      <x:c r="O6" s="12" t="str">
        <x:v>FACTUAL</x:v>
      </x:c>
      <x:c r="P6" s="12" t="str">
        <x:v>PASS</x:v>
      </x:c>
      <x:c r="Q6" s="12" t="str">
        <x:v>Page was opened/verified for Home Depot/HD identity, exact earnings event, displayed publication date, timing window, and prohibited-source origin.</x:v>
      </x:c>
    </x:row>
    <x:row r="7">
      <x:c r="A7" s="12" t="str">
        <x:v>2016-08-16</x:v>
      </x:c>
      <x:c r="B7" s="12" t="str">
        <x:v>HD</x:v>
      </x:c>
      <x:c r="C7" s="12" t="str">
        <x:v>reaction</x:v>
      </x:c>
      <x:c r="D7" s="12" t="str">
        <x:v>2016-08-16</x:v>
      </x:c>
      <x:c r="E7" s="12" t="n">
        <x:v>0</x:v>
      </x:c>
      <x:c r="F7" s="12" t="str">
        <x:v>TheStreet</x:v>
      </x:c>
      <x:c r="G7" s="12" t="str">
        <x:v>Home Depot Lifts 2016 Forecast as Quarterly Profit Meets Estimates</x:v>
      </x:c>
      <x:c r="H7" s="12" t="str">
        <x:v>https://www.thestreet.com/investing/home-depot-lifts-2016-forecast-as-quarterly-profit-meets-estimates-13675955</x:v>
      </x:c>
      <x:c r="I7" s="12" t="str">
        <x:v>OPENED_OK</x:v>
      </x:c>
      <x:c r="J7" s="12" t="str">
        <x:v>PASS</x:v>
      </x:c>
      <x:c r="K7" s="12" t="str">
        <x:v>PASS</x:v>
      </x:c>
      <x:c r="L7" s="12" t="str">
        <x:v>PASS</x:v>
      </x:c>
      <x:c r="M7" s="12" t="str">
        <x:v>NO</x:v>
      </x:c>
      <x:c r="N7" s="12" t="str">
        <x:v>PASS</x:v>
      </x:c>
      <x:c r="O7" s="12" t="str">
        <x:v>CONTEMPORANEOUS_ATTRIBUTION</x:v>
      </x:c>
      <x:c r="P7" s="12" t="str">
        <x:v>PASS</x:v>
      </x:c>
      <x:c r="Q7" s="12" t="str">
        <x:v>Page was opened/verified for Home Depot/HD identity, exact earnings event, displayed publication date, timing window, and prohibited-source origin.</x:v>
      </x:c>
    </x:row>
    <x:row r="8">
      <x:c r="A8" s="12" t="str">
        <x:v>2016-11-15</x:v>
      </x:c>
      <x:c r="B8" s="12" t="str">
        <x:v>HD</x:v>
      </x:c>
      <x:c r="C8" s="12" t="str">
        <x:v>prior</x:v>
      </x:c>
      <x:c r="D8" s="12" t="str">
        <x:v>2016-08-16</x:v>
      </x:c>
      <x:c r="E8" s="12" t="n">
        <x:v>-91</x:v>
      </x:c>
      <x:c r="F8" s="12" t="str">
        <x:v>Home Depot</x:v>
      </x:c>
      <x:c r="G8" s="12" t="str">
        <x:v>The Home Depot Announces Second Quarter Results</x:v>
      </x:c>
      <x:c r="H8" s="12" t="str">
        <x:v>https://ir.homedepot.com/news-releases/2016/08-16-2016-110116194</x:v>
      </x:c>
      <x:c r="I8" s="12" t="str">
        <x:v>OPENED_OK</x:v>
      </x:c>
      <x:c r="J8" s="12" t="str">
        <x:v>PASS</x:v>
      </x:c>
      <x:c r="K8" s="12" t="str">
        <x:v>PASS</x:v>
      </x:c>
      <x:c r="L8" s="12" t="str">
        <x:v>PASS</x:v>
      </x:c>
      <x:c r="M8" s="12" t="str">
        <x:v>NO</x:v>
      </x:c>
      <x:c r="N8" s="12" t="str">
        <x:v>PASS</x:v>
      </x:c>
      <x:c r="O8" s="12" t="str">
        <x:v>FACTUAL</x:v>
      </x:c>
      <x:c r="P8" s="12" t="str">
        <x:v>PASS</x:v>
      </x:c>
      <x:c r="Q8" s="12" t="str">
        <x:v>Page was opened/verified for Home Depot/HD identity, exact earnings event, displayed publication date, timing window, and prohibited-source origin.</x:v>
      </x:c>
    </x:row>
    <x:row r="9">
      <x:c r="A9" s="12" t="str">
        <x:v>2016-11-15</x:v>
      </x:c>
      <x:c r="B9" s="12" t="str">
        <x:v>HD</x:v>
      </x:c>
      <x:c r="C9" s="12" t="str">
        <x:v>release</x:v>
      </x:c>
      <x:c r="D9" s="12" t="str">
        <x:v>2016-11-15</x:v>
      </x:c>
      <x:c r="E9" s="12" t="n">
        <x:v>0</x:v>
      </x:c>
      <x:c r="F9" s="12" t="str">
        <x:v>Home Depot</x:v>
      </x:c>
      <x:c r="G9" s="12" t="str">
        <x:v>The Home Depot Announces Third Quarter Results</x:v>
      </x:c>
      <x:c r="H9" s="12" t="str">
        <x:v>https://ir.homedepot.com/news-releases/2016/11-15-2016-110202020</x:v>
      </x:c>
      <x:c r="I9" s="12" t="str">
        <x:v>OPENED_OK</x:v>
      </x:c>
      <x:c r="J9" s="12" t="str">
        <x:v>PASS</x:v>
      </x:c>
      <x:c r="K9" s="12" t="str">
        <x:v>PASS</x:v>
      </x:c>
      <x:c r="L9" s="12" t="str">
        <x:v>PASS</x:v>
      </x:c>
      <x:c r="M9" s="12" t="str">
        <x:v>NO</x:v>
      </x:c>
      <x:c r="N9" s="12" t="str">
        <x:v>PASS</x:v>
      </x:c>
      <x:c r="O9" s="12" t="str">
        <x:v>FACTUAL</x:v>
      </x:c>
      <x:c r="P9" s="12" t="str">
        <x:v>PASS</x:v>
      </x:c>
      <x:c r="Q9" s="12" t="str">
        <x:v>Page was opened/verified for Home Depot/HD identity, exact earnings event, displayed publication date, timing window, and prohibited-source origin.</x:v>
      </x:c>
    </x:row>
    <x:row r="10">
      <x:c r="A10" s="12" t="str">
        <x:v>2016-11-15</x:v>
      </x:c>
      <x:c r="B10" s="12" t="str">
        <x:v>HD</x:v>
      </x:c>
      <x:c r="C10" s="12" t="str">
        <x:v>reaction</x:v>
      </x:c>
      <x:c r="D10" s="12" t="str">
        <x:v>2016-11-15</x:v>
      </x:c>
      <x:c r="E10" s="12" t="n">
        <x:v>0</x:v>
      </x:c>
      <x:c r="F10" s="12" t="str">
        <x:v>TheStreet</x:v>
      </x:c>
      <x:c r="G10" s="12" t="str">
        <x:v>Here's How Home Depot May Have Defied the U.S. Housing Market Slowdown</x:v>
      </x:c>
      <x:c r="H10" s="12" t="str">
        <x:v>https://www.thestreet.com/story/13892626/1/here-s-how-home-depot-may-have-defied-the-u-s-housing-market-slowdown.html</x:v>
      </x:c>
      <x:c r="I10" s="12" t="str">
        <x:v>OPENED_OK</x:v>
      </x:c>
      <x:c r="J10" s="12" t="str">
        <x:v>PASS</x:v>
      </x:c>
      <x:c r="K10" s="12" t="str">
        <x:v>PASS</x:v>
      </x:c>
      <x:c r="L10" s="12" t="str">
        <x:v>PASS</x:v>
      </x:c>
      <x:c r="M10" s="12" t="str">
        <x:v>NO</x:v>
      </x:c>
      <x:c r="N10" s="12" t="str">
        <x:v>PASS</x:v>
      </x:c>
      <x:c r="O10" s="12" t="str">
        <x:v>CONTEMPORANEOUS_ATTRIBUTION</x:v>
      </x:c>
      <x:c r="P10" s="12" t="str">
        <x:v>PASS</x:v>
      </x:c>
      <x:c r="Q10" s="12" t="str">
        <x:v>Page was opened/verified for Home Depot/HD identity, exact earnings event, displayed publication date, timing window, and prohibited-source origin.</x:v>
      </x:c>
    </x:row>
    <x:row r="11">
      <x:c r="A11" s="12" t="str">
        <x:v>2017-02-21</x:v>
      </x:c>
      <x:c r="B11" s="12" t="str">
        <x:v>HD</x:v>
      </x:c>
      <x:c r="C11" s="12" t="str">
        <x:v>prior</x:v>
      </x:c>
      <x:c r="D11" s="12" t="str">
        <x:v>2016-11-15</x:v>
      </x:c>
      <x:c r="E11" s="12" t="n">
        <x:v>-98</x:v>
      </x:c>
      <x:c r="F11" s="12" t="str">
        <x:v>Home Depot</x:v>
      </x:c>
      <x:c r="G11" s="12" t="str">
        <x:v>The Home Depot Announces Third Quarter Results</x:v>
      </x:c>
      <x:c r="H11" s="12" t="str">
        <x:v>https://ir.homedepot.com/news-releases/2016/11-15-2016-110202020</x:v>
      </x:c>
      <x:c r="I11" s="12" t="str">
        <x:v>OPENED_OK</x:v>
      </x:c>
      <x:c r="J11" s="12" t="str">
        <x:v>PASS</x:v>
      </x:c>
      <x:c r="K11" s="12" t="str">
        <x:v>PASS</x:v>
      </x:c>
      <x:c r="L11" s="12" t="str">
        <x:v>PASS</x:v>
      </x:c>
      <x:c r="M11" s="12" t="str">
        <x:v>NO</x:v>
      </x:c>
      <x:c r="N11" s="12" t="str">
        <x:v>PASS</x:v>
      </x:c>
      <x:c r="O11" s="12" t="str">
        <x:v>FACTUAL</x:v>
      </x:c>
      <x:c r="P11" s="12" t="str">
        <x:v>PASS</x:v>
      </x:c>
      <x:c r="Q11" s="12" t="str">
        <x:v>Page was opened/verified for Home Depot/HD identity, exact earnings event, displayed publication date, timing window, and prohibited-source origin.</x:v>
      </x:c>
    </x:row>
    <x:row r="12">
      <x:c r="A12" s="12" t="str">
        <x:v>2017-02-21</x:v>
      </x:c>
      <x:c r="B12" s="12" t="str">
        <x:v>HD</x:v>
      </x:c>
      <x:c r="C12" s="12" t="str">
        <x:v>release</x:v>
      </x:c>
      <x:c r="D12" s="12" t="str">
        <x:v>2017-02-21</x:v>
      </x:c>
      <x:c r="E12" s="12" t="n">
        <x:v>0</x:v>
      </x:c>
      <x:c r="F12" s="12" t="str">
        <x:v>Home Depot</x:v>
      </x:c>
      <x:c r="G12" s="12" t="str">
        <x:v>The Home Depot Announces Fourth Quarter And Fiscal 2016 Results</x:v>
      </x:c>
      <x:c r="H12" s="12" t="str">
        <x:v>https://ir.homedepot.com/news-releases/2017/02-21-2017-110150581</x:v>
      </x:c>
      <x:c r="I12" s="12" t="str">
        <x:v>OPENED_OK</x:v>
      </x:c>
      <x:c r="J12" s="12" t="str">
        <x:v>PASS</x:v>
      </x:c>
      <x:c r="K12" s="12" t="str">
        <x:v>PASS</x:v>
      </x:c>
      <x:c r="L12" s="12" t="str">
        <x:v>PASS</x:v>
      </x:c>
      <x:c r="M12" s="12" t="str">
        <x:v>NO</x:v>
      </x:c>
      <x:c r="N12" s="12" t="str">
        <x:v>PASS</x:v>
      </x:c>
      <x:c r="O12" s="12" t="str">
        <x:v>FACTUAL</x:v>
      </x:c>
      <x:c r="P12" s="12" t="str">
        <x:v>PASS</x:v>
      </x:c>
      <x:c r="Q12" s="12" t="str">
        <x:v>Page was opened/verified for Home Depot/HD identity, exact earnings event, displayed publication date, timing window, and prohibited-source origin.</x:v>
      </x:c>
    </x:row>
    <x:row r="13">
      <x:c r="A13" s="12" t="str">
        <x:v>2017-02-21</x:v>
      </x:c>
      <x:c r="B13" s="12" t="str">
        <x:v>HD</x:v>
      </x:c>
      <x:c r="C13" s="12" t="str">
        <x:v>reaction</x:v>
      </x:c>
      <x:c r="D13" s="12" t="str">
        <x:v>2017-02-21</x:v>
      </x:c>
      <x:c r="E13" s="12" t="n">
        <x:v>0</x:v>
      </x:c>
      <x:c r="F13" s="12" t="str">
        <x:v>TheStreet</x:v>
      </x:c>
      <x:c r="G13" s="12" t="str">
        <x:v>Home Depot Just Had One of the Most Stellar Quarters of Anyone in Retail</x:v>
      </x:c>
      <x:c r="H13" s="12" t="str">
        <x:v>https://www.thestreet.com/story/14007913/1/home-depot-just-had-one-of-the-best-quarters-of-anyone-in-retail.html</x:v>
      </x:c>
      <x:c r="I13" s="12" t="str">
        <x:v>OPENED_OK</x:v>
      </x:c>
      <x:c r="J13" s="12" t="str">
        <x:v>PASS</x:v>
      </x:c>
      <x:c r="K13" s="12" t="str">
        <x:v>PASS</x:v>
      </x:c>
      <x:c r="L13" s="12" t="str">
        <x:v>PASS</x:v>
      </x:c>
      <x:c r="M13" s="12" t="str">
        <x:v>NO</x:v>
      </x:c>
      <x:c r="N13" s="12" t="str">
        <x:v>PASS</x:v>
      </x:c>
      <x:c r="O13" s="12" t="str">
        <x:v>CONTEMPORANEOUS_ATTRIBUTION</x:v>
      </x:c>
      <x:c r="P13" s="12" t="str">
        <x:v>PASS</x:v>
      </x:c>
      <x:c r="Q13" s="12" t="str">
        <x:v>Page was opened/verified for Home Depot/HD identity, exact earnings event, displayed publication date, timing window, and prohibited-source origin.</x:v>
      </x:c>
    </x:row>
    <x:row r="14">
      <x:c r="A14" s="12" t="str">
        <x:v>2017-05-16</x:v>
      </x:c>
      <x:c r="B14" s="12" t="str">
        <x:v>HD</x:v>
      </x:c>
      <x:c r="C14" s="12" t="str">
        <x:v>prior</x:v>
      </x:c>
      <x:c r="D14" s="12" t="str">
        <x:v>2017-02-21</x:v>
      </x:c>
      <x:c r="E14" s="12" t="n">
        <x:v>-84</x:v>
      </x:c>
      <x:c r="F14" s="12" t="str">
        <x:v>Home Depot</x:v>
      </x:c>
      <x:c r="G14" s="12" t="str">
        <x:v>The Home Depot Announces Fourth Quarter And Fiscal 2016 Results</x:v>
      </x:c>
      <x:c r="H14" s="12" t="str">
        <x:v>https://ir.homedepot.com/news-releases/2017/02-21-2017-110150581</x:v>
      </x:c>
      <x:c r="I14" s="12" t="str">
        <x:v>OPENED_OK</x:v>
      </x:c>
      <x:c r="J14" s="12" t="str">
        <x:v>PASS</x:v>
      </x:c>
      <x:c r="K14" s="12" t="str">
        <x:v>PASS</x:v>
      </x:c>
      <x:c r="L14" s="12" t="str">
        <x:v>PASS</x:v>
      </x:c>
      <x:c r="M14" s="12" t="str">
        <x:v>NO</x:v>
      </x:c>
      <x:c r="N14" s="12" t="str">
        <x:v>PASS</x:v>
      </x:c>
      <x:c r="O14" s="12" t="str">
        <x:v>FACTUAL</x:v>
      </x:c>
      <x:c r="P14" s="12" t="str">
        <x:v>PASS</x:v>
      </x:c>
      <x:c r="Q14" s="12" t="str">
        <x:v>Page was opened/verified for Home Depot/HD identity, exact earnings event, displayed publication date, timing window, and prohibited-source origin.</x:v>
      </x:c>
    </x:row>
    <x:row r="15">
      <x:c r="A15" s="12" t="str">
        <x:v>2017-05-16</x:v>
      </x:c>
      <x:c r="B15" s="12" t="str">
        <x:v>HD</x:v>
      </x:c>
      <x:c r="C15" s="12" t="str">
        <x:v>release</x:v>
      </x:c>
      <x:c r="D15" s="12" t="str">
        <x:v>2017-05-16</x:v>
      </x:c>
      <x:c r="E15" s="12" t="n">
        <x:v>0</x:v>
      </x:c>
      <x:c r="F15" s="12" t="str">
        <x:v>Home Depot</x:v>
      </x:c>
      <x:c r="G15" s="12" t="str">
        <x:v>The Home Depot Announces First Quarter Results; Updates Fiscal Year 2017 Guidance</x:v>
      </x:c>
      <x:c r="H15" s="12" t="str">
        <x:v>https://ir.homedepot.com/news-releases/2017/05-16-2017-110017198</x:v>
      </x:c>
      <x:c r="I15" s="12" t="str">
        <x:v>OPENED_OK</x:v>
      </x:c>
      <x:c r="J15" s="12" t="str">
        <x:v>PASS</x:v>
      </x:c>
      <x:c r="K15" s="12" t="str">
        <x:v>PASS</x:v>
      </x:c>
      <x:c r="L15" s="12" t="str">
        <x:v>PASS</x:v>
      </x:c>
      <x:c r="M15" s="12" t="str">
        <x:v>NO</x:v>
      </x:c>
      <x:c r="N15" s="12" t="str">
        <x:v>PASS</x:v>
      </x:c>
      <x:c r="O15" s="12" t="str">
        <x:v>FACTUAL</x:v>
      </x:c>
      <x:c r="P15" s="12" t="str">
        <x:v>PASS</x:v>
      </x:c>
      <x:c r="Q15" s="12" t="str">
        <x:v>Page was opened/verified for Home Depot/HD identity, exact earnings event, displayed publication date, timing window, and prohibited-source origin.</x:v>
      </x:c>
    </x:row>
    <x:row r="16">
      <x:c r="A16" s="12" t="str">
        <x:v>2017-05-16</x:v>
      </x:c>
      <x:c r="B16" s="12" t="str">
        <x:v>HD</x:v>
      </x:c>
      <x:c r="C16" s="12" t="str">
        <x:v>reaction</x:v>
      </x:c>
      <x:c r="D16" s="12" t="str">
        <x:v>2017-05-16</x:v>
      </x:c>
      <x:c r="E16" s="12" t="n">
        <x:v>0</x:v>
      </x:c>
      <x:c r="F16" s="12" t="str">
        <x:v>TheStreet</x:v>
      </x:c>
      <x:c r="G16" s="12" t="str">
        <x:v>Home Depot Just Blew It Out of the Water While the Rest of Retail Keeps Falling Apart</x:v>
      </x:c>
      <x:c r="H16" s="12" t="str">
        <x:v>https://www.thestreet.com/story/14136035/1/home-depot-has-another-monster-quarter-while-the-rest-of-retail-keeps-falling-apart.html</x:v>
      </x:c>
      <x:c r="I16" s="12" t="str">
        <x:v>OPENED_OK</x:v>
      </x:c>
      <x:c r="J16" s="12" t="str">
        <x:v>PASS</x:v>
      </x:c>
      <x:c r="K16" s="12" t="str">
        <x:v>PASS</x:v>
      </x:c>
      <x:c r="L16" s="12" t="str">
        <x:v>PASS</x:v>
      </x:c>
      <x:c r="M16" s="12" t="str">
        <x:v>NO</x:v>
      </x:c>
      <x:c r="N16" s="12" t="str">
        <x:v>PASS</x:v>
      </x:c>
      <x:c r="O16" s="12" t="str">
        <x:v>CONTEMPORANEOUS_ATTRIBUTION</x:v>
      </x:c>
      <x:c r="P16" s="12" t="str">
        <x:v>PASS</x:v>
      </x:c>
      <x:c r="Q16" s="12" t="str">
        <x:v>Page was opened/verified for Home Depot/HD identity, exact earnings event, displayed publication date, timing window, and prohibited-source origin.</x:v>
      </x:c>
    </x:row>
    <x:row r="17">
      <x:c r="A17" s="12" t="str">
        <x:v>2017-08-15</x:v>
      </x:c>
      <x:c r="B17" s="12" t="str">
        <x:v>HD</x:v>
      </x:c>
      <x:c r="C17" s="12" t="str">
        <x:v>prior</x:v>
      </x:c>
      <x:c r="D17" s="12" t="str">
        <x:v>2017-05-16</x:v>
      </x:c>
      <x:c r="E17" s="12" t="n">
        <x:v>-91</x:v>
      </x:c>
      <x:c r="F17" s="12" t="str">
        <x:v>Home Depot</x:v>
      </x:c>
      <x:c r="G17" s="12" t="str">
        <x:v>The Home Depot Announces First Quarter Results; Updates Fiscal Year 2017 Guidance</x:v>
      </x:c>
      <x:c r="H17" s="12" t="str">
        <x:v>https://ir.homedepot.com/news-releases/2017/05-16-2017-110017198</x:v>
      </x:c>
      <x:c r="I17" s="12" t="str">
        <x:v>OPENED_OK</x:v>
      </x:c>
      <x:c r="J17" s="12" t="str">
        <x:v>PASS</x:v>
      </x:c>
      <x:c r="K17" s="12" t="str">
        <x:v>PASS</x:v>
      </x:c>
      <x:c r="L17" s="12" t="str">
        <x:v>PASS</x:v>
      </x:c>
      <x:c r="M17" s="12" t="str">
        <x:v>NO</x:v>
      </x:c>
      <x:c r="N17" s="12" t="str">
        <x:v>PASS</x:v>
      </x:c>
      <x:c r="O17" s="12" t="str">
        <x:v>FACTUAL</x:v>
      </x:c>
      <x:c r="P17" s="12" t="str">
        <x:v>PASS</x:v>
      </x:c>
      <x:c r="Q17" s="12" t="str">
        <x:v>Page was opened/verified for Home Depot/HD identity, exact earnings event, displayed publication date, timing window, and prohibited-source origin.</x:v>
      </x:c>
    </x:row>
    <x:row r="18">
      <x:c r="A18" s="12" t="str">
        <x:v>2017-08-15</x:v>
      </x:c>
      <x:c r="B18" s="12" t="str">
        <x:v>HD</x:v>
      </x:c>
      <x:c r="C18" s="12" t="str">
        <x:v>release</x:v>
      </x:c>
      <x:c r="D18" s="12" t="str">
        <x:v>2017-08-15</x:v>
      </x:c>
      <x:c r="E18" s="12" t="n">
        <x:v>0</x:v>
      </x:c>
      <x:c r="F18" s="12" t="str">
        <x:v>Home Depot</x:v>
      </x:c>
      <x:c r="G18" s="12" t="str">
        <x:v>The Home Depot Announces Second Quarter Results; Updates Fiscal Year 2017 Guidance</x:v>
      </x:c>
      <x:c r="H18" s="12" t="str">
        <x:v>https://ir.homedepot.com/news-releases/2017/08-15-2017-110716875</x:v>
      </x:c>
      <x:c r="I18" s="12" t="str">
        <x:v>OPENED_OK</x:v>
      </x:c>
      <x:c r="J18" s="12" t="str">
        <x:v>PASS</x:v>
      </x:c>
      <x:c r="K18" s="12" t="str">
        <x:v>PASS</x:v>
      </x:c>
      <x:c r="L18" s="12" t="str">
        <x:v>PASS</x:v>
      </x:c>
      <x:c r="M18" s="12" t="str">
        <x:v>NO</x:v>
      </x:c>
      <x:c r="N18" s="12" t="str">
        <x:v>PASS</x:v>
      </x:c>
      <x:c r="O18" s="12" t="str">
        <x:v>FACTUAL</x:v>
      </x:c>
      <x:c r="P18" s="12" t="str">
        <x:v>PASS</x:v>
      </x:c>
      <x:c r="Q18" s="12" t="str">
        <x:v>Page was opened/verified for Home Depot/HD identity, exact earnings event, displayed publication date, timing window, and prohibited-source origin.</x:v>
      </x:c>
    </x:row>
    <x:row r="19">
      <x:c r="A19" s="12" t="str">
        <x:v>2017-08-15</x:v>
      </x:c>
      <x:c r="B19" s="12" t="str">
        <x:v>HD</x:v>
      </x:c>
      <x:c r="C19" s="12" t="str">
        <x:v>reaction</x:v>
      </x:c>
      <x:c r="D19" s="12" t="str">
        <x:v>2017-08-15</x:v>
      </x:c>
      <x:c r="E19" s="12" t="n">
        <x:v>0</x:v>
      </x:c>
      <x:c r="F19" s="12" t="str">
        <x:v>TheStreet</x:v>
      </x:c>
      <x:c r="G19" s="12" t="str">
        <x:v>Your Golden Opportunity to Buy Home Depot Is Coming: Chart</x:v>
      </x:c>
      <x:c r="H19" s="12" t="str">
        <x:v>https://www.thestreet.com/investing/stocks/your-golden-opportunity-to-buy-home-depot-is-coming-14272340</x:v>
      </x:c>
      <x:c r="I19" s="12" t="str">
        <x:v>OPENED_OK</x:v>
      </x:c>
      <x:c r="J19" s="12" t="str">
        <x:v>PASS</x:v>
      </x:c>
      <x:c r="K19" s="12" t="str">
        <x:v>PASS</x:v>
      </x:c>
      <x:c r="L19" s="12" t="str">
        <x:v>PASS</x:v>
      </x:c>
      <x:c r="M19" s="12" t="str">
        <x:v>NO</x:v>
      </x:c>
      <x:c r="N19" s="12" t="str">
        <x:v>PASS</x:v>
      </x:c>
      <x:c r="O19" s="12" t="str">
        <x:v>CONTEMPORANEOUS_ATTRIBUTION</x:v>
      </x:c>
      <x:c r="P19" s="12" t="str">
        <x:v>PASS</x:v>
      </x:c>
      <x:c r="Q19" s="12" t="str">
        <x:v>Page was opened/verified for Home Depot/HD identity, exact earnings event, displayed publication date, timing window, and prohibited-source origin.</x:v>
      </x:c>
    </x:row>
    <x:row r="20">
      <x:c r="A20" s="12" t="str">
        <x:v>2017-11-14</x:v>
      </x:c>
      <x:c r="B20" s="12" t="str">
        <x:v>HD</x:v>
      </x:c>
      <x:c r="C20" s="12" t="str">
        <x:v>prior</x:v>
      </x:c>
      <x:c r="D20" s="12" t="str">
        <x:v>2017-08-15</x:v>
      </x:c>
      <x:c r="E20" s="12" t="n">
        <x:v>-91</x:v>
      </x:c>
      <x:c r="F20" s="12" t="str">
        <x:v>Home Depot</x:v>
      </x:c>
      <x:c r="G20" s="12" t="str">
        <x:v>The Home Depot Announces Second Quarter Results; Updates Fiscal Year 2017 Guidance</x:v>
      </x:c>
      <x:c r="H20" s="12" t="str">
        <x:v>https://ir.homedepot.com/news-releases/2017/08-15-2017-110716875</x:v>
      </x:c>
      <x:c r="I20" s="12" t="str">
        <x:v>OPENED_OK</x:v>
      </x:c>
      <x:c r="J20" s="12" t="str">
        <x:v>PASS</x:v>
      </x:c>
      <x:c r="K20" s="12" t="str">
        <x:v>PASS</x:v>
      </x:c>
      <x:c r="L20" s="12" t="str">
        <x:v>PASS</x:v>
      </x:c>
      <x:c r="M20" s="12" t="str">
        <x:v>NO</x:v>
      </x:c>
      <x:c r="N20" s="12" t="str">
        <x:v>PASS</x:v>
      </x:c>
      <x:c r="O20" s="12" t="str">
        <x:v>FACTUAL</x:v>
      </x:c>
      <x:c r="P20" s="12" t="str">
        <x:v>PASS</x:v>
      </x:c>
      <x:c r="Q20" s="12" t="str">
        <x:v>Page was opened/verified for Home Depot/HD identity, exact earnings event, displayed publication date, timing window, and prohibited-source origin.</x:v>
      </x:c>
    </x:row>
    <x:row r="21">
      <x:c r="A21" s="12" t="str">
        <x:v>2017-11-14</x:v>
      </x:c>
      <x:c r="B21" s="12" t="str">
        <x:v>HD</x:v>
      </x:c>
      <x:c r="C21" s="12" t="str">
        <x:v>release</x:v>
      </x:c>
      <x:c r="D21" s="12" t="str">
        <x:v>2017-11-14</x:v>
      </x:c>
      <x:c r="E21" s="12" t="n">
        <x:v>0</x:v>
      </x:c>
      <x:c r="F21" s="12" t="str">
        <x:v>Home Depot</x:v>
      </x:c>
      <x:c r="G21" s="12" t="str">
        <x:v>The Home Depot Announces Third Quarter Results; Updates Fiscal Year 2017 Guidance</x:v>
      </x:c>
      <x:c r="H21" s="12" t="str">
        <x:v>https://ir.homedepot.com/news-releases/2017/11-14-2017-110039233</x:v>
      </x:c>
      <x:c r="I21" s="12" t="str">
        <x:v>OPENED_OK</x:v>
      </x:c>
      <x:c r="J21" s="12" t="str">
        <x:v>PASS</x:v>
      </x:c>
      <x:c r="K21" s="12" t="str">
        <x:v>PASS</x:v>
      </x:c>
      <x:c r="L21" s="12" t="str">
        <x:v>PASS</x:v>
      </x:c>
      <x:c r="M21" s="12" t="str">
        <x:v>NO</x:v>
      </x:c>
      <x:c r="N21" s="12" t="str">
        <x:v>PASS</x:v>
      </x:c>
      <x:c r="O21" s="12" t="str">
        <x:v>FACTUAL</x:v>
      </x:c>
      <x:c r="P21" s="12" t="str">
        <x:v>PASS</x:v>
      </x:c>
      <x:c r="Q21" s="12" t="str">
        <x:v>Page was opened/verified for Home Depot/HD identity, exact earnings event, displayed publication date, timing window, and prohibited-source origin.</x:v>
      </x:c>
    </x:row>
    <x:row r="22">
      <x:c r="A22" s="12" t="str">
        <x:v>2017-11-14</x:v>
      </x:c>
      <x:c r="B22" s="12" t="str">
        <x:v>HD</x:v>
      </x:c>
      <x:c r="C22" s="12" t="str">
        <x:v>reaction</x:v>
      </x:c>
      <x:c r="D22" s="12" t="str">
        <x:v>2017-11-14</x:v>
      </x:c>
      <x:c r="E22" s="12" t="n">
        <x:v>0</x:v>
      </x:c>
      <x:c r="F22" s="12" t="str">
        <x:v>TheStreet</x:v>
      </x:c>
      <x:c r="G22" s="12" t="str">
        <x:v>Home Depot Crushes Earnings as Sales Get Boost From Hurricane Demand</x:v>
      </x:c>
      <x:c r="H22" s="12" t="str">
        <x:v>https://www.thestreet.com/investing/stocks/home-depot-crushes-q3-earnings-posting-positive-comp-sales-from-hurricanes-14389212</x:v>
      </x:c>
      <x:c r="I22" s="12" t="str">
        <x:v>OPENED_OK</x:v>
      </x:c>
      <x:c r="J22" s="12" t="str">
        <x:v>PASS</x:v>
      </x:c>
      <x:c r="K22" s="12" t="str">
        <x:v>PASS</x:v>
      </x:c>
      <x:c r="L22" s="12" t="str">
        <x:v>PASS</x:v>
      </x:c>
      <x:c r="M22" s="12" t="str">
        <x:v>NO</x:v>
      </x:c>
      <x:c r="N22" s="12" t="str">
        <x:v>PASS</x:v>
      </x:c>
      <x:c r="O22" s="12" t="str">
        <x:v>CONTEMPORANEOUS_ATTRIBUTION</x:v>
      </x:c>
      <x:c r="P22" s="12" t="str">
        <x:v>PASS</x:v>
      </x:c>
      <x:c r="Q22" s="12" t="str">
        <x:v>Page was opened/verified for Home Depot/HD identity, exact earnings event, displayed publication date, timing window, and prohibited-source origin.</x:v>
      </x:c>
    </x:row>
    <x:row r="23">
      <x:c r="A23" s="12" t="str">
        <x:v>2018-02-20</x:v>
      </x:c>
      <x:c r="B23" s="12" t="str">
        <x:v>HD</x:v>
      </x:c>
      <x:c r="C23" s="12" t="str">
        <x:v>prior</x:v>
      </x:c>
      <x:c r="D23" s="12" t="str">
        <x:v>2017-11-14</x:v>
      </x:c>
      <x:c r="E23" s="12" t="n">
        <x:v>-98</x:v>
      </x:c>
      <x:c r="F23" s="12" t="str">
        <x:v>Home Depot</x:v>
      </x:c>
      <x:c r="G23" s="12" t="str">
        <x:v>The Home Depot Announces Third Quarter Results; Updates Fiscal Year 2017 Guidance</x:v>
      </x:c>
      <x:c r="H23" s="12" t="str">
        <x:v>https://ir.homedepot.com/news-releases/2017/11-14-2017-110039233</x:v>
      </x:c>
      <x:c r="I23" s="12" t="str">
        <x:v>OPENED_OK</x:v>
      </x:c>
      <x:c r="J23" s="12" t="str">
        <x:v>PASS</x:v>
      </x:c>
      <x:c r="K23" s="12" t="str">
        <x:v>PASS</x:v>
      </x:c>
      <x:c r="L23" s="12" t="str">
        <x:v>PASS</x:v>
      </x:c>
      <x:c r="M23" s="12" t="str">
        <x:v>NO</x:v>
      </x:c>
      <x:c r="N23" s="12" t="str">
        <x:v>PASS</x:v>
      </x:c>
      <x:c r="O23" s="12" t="str">
        <x:v>FACTUAL</x:v>
      </x:c>
      <x:c r="P23" s="12" t="str">
        <x:v>PASS</x:v>
      </x:c>
      <x:c r="Q23" s="12" t="str">
        <x:v>Page was opened/verified for Home Depot/HD identity, exact earnings event, displayed publication date, timing window, and prohibited-source origin.</x:v>
      </x:c>
    </x:row>
    <x:row r="24">
      <x:c r="A24" s="12" t="str">
        <x:v>2018-02-20</x:v>
      </x:c>
      <x:c r="B24" s="12" t="str">
        <x:v>HD</x:v>
      </x:c>
      <x:c r="C24" s="12" t="str">
        <x:v>release</x:v>
      </x:c>
      <x:c r="D24" s="12" t="str">
        <x:v>2018-02-20</x:v>
      </x:c>
      <x:c r="E24" s="12" t="n">
        <x:v>0</x:v>
      </x:c>
      <x:c r="F24" s="12" t="str">
        <x:v>Home Depot</x:v>
      </x:c>
      <x:c r="G24" s="12" t="str">
        <x:v>The Home Depot Announces Fourth Quarter and Fiscal 2017 Results; Provides Fiscal 2018 Guidance</x:v>
      </x:c>
      <x:c r="H24" s="12" t="str">
        <x:v>https://ir.homedepot.com/news-releases/2018/02-20-2018-110229467</x:v>
      </x:c>
      <x:c r="I24" s="12" t="str">
        <x:v>OPENED_OK</x:v>
      </x:c>
      <x:c r="J24" s="12" t="str">
        <x:v>PASS</x:v>
      </x:c>
      <x:c r="K24" s="12" t="str">
        <x:v>PASS</x:v>
      </x:c>
      <x:c r="L24" s="12" t="str">
        <x:v>PASS</x:v>
      </x:c>
      <x:c r="M24" s="12" t="str">
        <x:v>NO</x:v>
      </x:c>
      <x:c r="N24" s="12" t="str">
        <x:v>PASS</x:v>
      </x:c>
      <x:c r="O24" s="12" t="str">
        <x:v>FACTUAL</x:v>
      </x:c>
      <x:c r="P24" s="12" t="str">
        <x:v>PASS</x:v>
      </x:c>
      <x:c r="Q24" s="12" t="str">
        <x:v>Page was opened/verified for Home Depot/HD identity, exact earnings event, displayed publication date, timing window, and prohibited-source origin.</x:v>
      </x:c>
    </x:row>
    <x:row r="25">
      <x:c r="A25" s="12" t="str">
        <x:v>2018-02-20</x:v>
      </x:c>
      <x:c r="B25" s="12" t="str">
        <x:v>HD</x:v>
      </x:c>
      <x:c r="C25" s="12" t="str">
        <x:v>reaction</x:v>
      </x:c>
      <x:c r="D25" s="12" t="str">
        <x:v>2018-02-20</x:v>
      </x:c>
      <x:c r="E25" s="12" t="n">
        <x:v>0</x:v>
      </x:c>
      <x:c r="F25" s="12" t="str">
        <x:v>TheStreet</x:v>
      </x:c>
      <x:c r="G25" s="12" t="str">
        <x:v>Home Depot Continues to Wow With Earnings Beat</x:v>
      </x:c>
      <x:c r="H25" s="12" t="str">
        <x:v>https://www.thestreet.com/story/14493371/1/home-depot-continues-to-wow-with-earnings-beat.html</x:v>
      </x:c>
      <x:c r="I25" s="12" t="str">
        <x:v>OPENED_OK</x:v>
      </x:c>
      <x:c r="J25" s="12" t="str">
        <x:v>PASS</x:v>
      </x:c>
      <x:c r="K25" s="12" t="str">
        <x:v>PASS</x:v>
      </x:c>
      <x:c r="L25" s="12" t="str">
        <x:v>PASS</x:v>
      </x:c>
      <x:c r="M25" s="12" t="str">
        <x:v>NO</x:v>
      </x:c>
      <x:c r="N25" s="12" t="str">
        <x:v>PASS</x:v>
      </x:c>
      <x:c r="O25" s="12" t="str">
        <x:v>CONTEMPORANEOUS_ATTRIBUTION</x:v>
      </x:c>
      <x:c r="P25" s="12" t="str">
        <x:v>PASS</x:v>
      </x:c>
      <x:c r="Q25" s="12" t="str">
        <x:v>Page was opened/verified for Home Depot/HD identity, exact earnings event, displayed publication date, timing window, and prohibited-source origin.</x:v>
      </x:c>
    </x:row>
    <x:row r="26">
      <x:c r="A26" s="12" t="str">
        <x:v>2018-05-15</x:v>
      </x:c>
      <x:c r="B26" s="12" t="str">
        <x:v>HD</x:v>
      </x:c>
      <x:c r="C26" s="12" t="str">
        <x:v>prior</x:v>
      </x:c>
      <x:c r="D26" s="12" t="str">
        <x:v>2018-02-20</x:v>
      </x:c>
      <x:c r="E26" s="12" t="n">
        <x:v>-84</x:v>
      </x:c>
      <x:c r="F26" s="12" t="str">
        <x:v>Home Depot</x:v>
      </x:c>
      <x:c r="G26" s="12" t="str">
        <x:v>The Home Depot Announces Fourth Quarter and Fiscal 2017 Results; Provides Fiscal 2018 Guidance</x:v>
      </x:c>
      <x:c r="H26" s="12" t="str">
        <x:v>https://ir.homedepot.com/news-releases/2018/02-20-2018-110229467</x:v>
      </x:c>
      <x:c r="I26" s="12" t="str">
        <x:v>OPENED_OK</x:v>
      </x:c>
      <x:c r="J26" s="12" t="str">
        <x:v>PASS</x:v>
      </x:c>
      <x:c r="K26" s="12" t="str">
        <x:v>PASS</x:v>
      </x:c>
      <x:c r="L26" s="12" t="str">
        <x:v>PASS</x:v>
      </x:c>
      <x:c r="M26" s="12" t="str">
        <x:v>NO</x:v>
      </x:c>
      <x:c r="N26" s="12" t="str">
        <x:v>PASS</x:v>
      </x:c>
      <x:c r="O26" s="12" t="str">
        <x:v>FACTUAL</x:v>
      </x:c>
      <x:c r="P26" s="12" t="str">
        <x:v>PASS</x:v>
      </x:c>
      <x:c r="Q26" s="12" t="str">
        <x:v>Page was opened/verified for Home Depot/HD identity, exact earnings event, displayed publication date, timing window, and prohibited-source origin.</x:v>
      </x:c>
    </x:row>
    <x:row r="27">
      <x:c r="A27" s="12" t="str">
        <x:v>2018-05-15</x:v>
      </x:c>
      <x:c r="B27" s="12" t="str">
        <x:v>HD</x:v>
      </x:c>
      <x:c r="C27" s="12" t="str">
        <x:v>release</x:v>
      </x:c>
      <x:c r="D27" s="12" t="str">
        <x:v>2018-05-15</x:v>
      </x:c>
      <x:c r="E27" s="12" t="n">
        <x:v>0</x:v>
      </x:c>
      <x:c r="F27" s="12" t="str">
        <x:v>Home Depot</x:v>
      </x:c>
      <x:c r="G27" s="12" t="str">
        <x:v>The Home Depot Announces First Quarter Results; Reaffirms Fiscal Year 2018 Guidance</x:v>
      </x:c>
      <x:c r="H27" s="12" t="str">
        <x:v>https://ir.homedepot.com/news-releases/2018/05-15-2018-110122106</x:v>
      </x:c>
      <x:c r="I27" s="12" t="str">
        <x:v>OPENED_OK</x:v>
      </x:c>
      <x:c r="J27" s="12" t="str">
        <x:v>PASS</x:v>
      </x:c>
      <x:c r="K27" s="12" t="str">
        <x:v>PASS</x:v>
      </x:c>
      <x:c r="L27" s="12" t="str">
        <x:v>PASS</x:v>
      </x:c>
      <x:c r="M27" s="12" t="str">
        <x:v>NO</x:v>
      </x:c>
      <x:c r="N27" s="12" t="str">
        <x:v>PASS</x:v>
      </x:c>
      <x:c r="O27" s="12" t="str">
        <x:v>FACTUAL</x:v>
      </x:c>
      <x:c r="P27" s="12" t="str">
        <x:v>PASS</x:v>
      </x:c>
      <x:c r="Q27" s="12" t="str">
        <x:v>Page was opened/verified for Home Depot/HD identity, exact earnings event, displayed publication date, timing window, and prohibited-source origin.</x:v>
      </x:c>
    </x:row>
    <x:row r="28">
      <x:c r="A28" s="12" t="str">
        <x:v>2018-05-15</x:v>
      </x:c>
      <x:c r="B28" s="12" t="str">
        <x:v>HD</x:v>
      </x:c>
      <x:c r="C28" s="12" t="str">
        <x:v>reaction</x:v>
      </x:c>
      <x:c r="D28" s="12" t="str">
        <x:v>2018-05-15</x:v>
      </x:c>
      <x:c r="E28" s="12" t="n">
        <x:v>0</x:v>
      </x:c>
      <x:c r="F28" s="12" t="str">
        <x:v>TheStreet</x:v>
      </x:c>
      <x:c r="G28" s="12" t="str">
        <x:v>Home Depot Shares Dip After Rare Quarterly Sales Shortfall</x:v>
      </x:c>
      <x:c r="H28" s="12" t="str">
        <x:v>https://www.thestreet.com/markets/home-depot-shares-dip-after-q1-revenue-miss-14589345</x:v>
      </x:c>
      <x:c r="I28" s="12" t="str">
        <x:v>OPENED_OK</x:v>
      </x:c>
      <x:c r="J28" s="12" t="str">
        <x:v>PASS</x:v>
      </x:c>
      <x:c r="K28" s="12" t="str">
        <x:v>PASS</x:v>
      </x:c>
      <x:c r="L28" s="12" t="str">
        <x:v>PASS</x:v>
      </x:c>
      <x:c r="M28" s="12" t="str">
        <x:v>NO</x:v>
      </x:c>
      <x:c r="N28" s="12" t="str">
        <x:v>PASS</x:v>
      </x:c>
      <x:c r="O28" s="12" t="str">
        <x:v>CONTEMPORANEOUS_ATTRIBUTION</x:v>
      </x:c>
      <x:c r="P28" s="12" t="str">
        <x:v>PASS</x:v>
      </x:c>
      <x:c r="Q28" s="12" t="str">
        <x:v>Page was opened/verified for Home Depot/HD identity, exact earnings event, displayed publication date, timing window, and prohibited-source origin.</x:v>
      </x:c>
    </x:row>
    <x:row r="29">
      <x:c r="A29" s="12" t="str">
        <x:v>2018-08-14</x:v>
      </x:c>
      <x:c r="B29" s="12" t="str">
        <x:v>HD</x:v>
      </x:c>
      <x:c r="C29" s="12" t="str">
        <x:v>prior</x:v>
      </x:c>
      <x:c r="D29" s="12" t="str">
        <x:v>2018-05-15</x:v>
      </x:c>
      <x:c r="E29" s="12" t="n">
        <x:v>-91</x:v>
      </x:c>
      <x:c r="F29" s="12" t="str">
        <x:v>Home Depot</x:v>
      </x:c>
      <x:c r="G29" s="12" t="str">
        <x:v>The Home Depot Announces First Quarter Results; Reaffirms Fiscal Year 2018 Guidance</x:v>
      </x:c>
      <x:c r="H29" s="12" t="str">
        <x:v>https://ir.homedepot.com/news-releases/2018/05-15-2018-110122106</x:v>
      </x:c>
      <x:c r="I29" s="12" t="str">
        <x:v>OPENED_OK</x:v>
      </x:c>
      <x:c r="J29" s="12" t="str">
        <x:v>PASS</x:v>
      </x:c>
      <x:c r="K29" s="12" t="str">
        <x:v>PASS</x:v>
      </x:c>
      <x:c r="L29" s="12" t="str">
        <x:v>PASS</x:v>
      </x:c>
      <x:c r="M29" s="12" t="str">
        <x:v>NO</x:v>
      </x:c>
      <x:c r="N29" s="12" t="str">
        <x:v>PASS</x:v>
      </x:c>
      <x:c r="O29" s="12" t="str">
        <x:v>FACTUAL</x:v>
      </x:c>
      <x:c r="P29" s="12" t="str">
        <x:v>PASS</x:v>
      </x:c>
      <x:c r="Q29" s="12" t="str">
        <x:v>Page was opened/verified for Home Depot/HD identity, exact earnings event, displayed publication date, timing window, and prohibited-source origin.</x:v>
      </x:c>
    </x:row>
    <x:row r="30">
      <x:c r="A30" s="12" t="str">
        <x:v>2018-08-14</x:v>
      </x:c>
      <x:c r="B30" s="12" t="str">
        <x:v>HD</x:v>
      </x:c>
      <x:c r="C30" s="12" t="str">
        <x:v>release</x:v>
      </x:c>
      <x:c r="D30" s="12" t="str">
        <x:v>2018-08-14</x:v>
      </x:c>
      <x:c r="E30" s="12" t="n">
        <x:v>0</x:v>
      </x:c>
      <x:c r="F30" s="12" t="str">
        <x:v>Home Depot</x:v>
      </x:c>
      <x:c r="G30" s="12" t="str">
        <x:v>The Home Depot Announces Second Quarter Results; Updates Fiscal Year 2018 Guidance</x:v>
      </x:c>
      <x:c r="H30" s="12" t="str">
        <x:v>https://ir.homedepot.com/news-releases/2018/08-14-2018-105958294</x:v>
      </x:c>
      <x:c r="I30" s="12" t="str">
        <x:v>OPENED_OK</x:v>
      </x:c>
      <x:c r="J30" s="12" t="str">
        <x:v>PASS</x:v>
      </x:c>
      <x:c r="K30" s="12" t="str">
        <x:v>PASS</x:v>
      </x:c>
      <x:c r="L30" s="12" t="str">
        <x:v>PASS</x:v>
      </x:c>
      <x:c r="M30" s="12" t="str">
        <x:v>NO</x:v>
      </x:c>
      <x:c r="N30" s="12" t="str">
        <x:v>PASS</x:v>
      </x:c>
      <x:c r="O30" s="12" t="str">
        <x:v>FACTUAL</x:v>
      </x:c>
      <x:c r="P30" s="12" t="str">
        <x:v>PASS</x:v>
      </x:c>
      <x:c r="Q30" s="12" t="str">
        <x:v>Page was opened/verified for Home Depot/HD identity, exact earnings event, displayed publication date, timing window, and prohibited-source origin.</x:v>
      </x:c>
    </x:row>
    <x:row r="31">
      <x:c r="A31" s="12" t="str">
        <x:v>2018-08-14</x:v>
      </x:c>
      <x:c r="B31" s="12" t="str">
        <x:v>HD</x:v>
      </x:c>
      <x:c r="C31" s="12" t="str">
        <x:v>reaction</x:v>
      </x:c>
      <x:c r="D31" s="12" t="str">
        <x:v>2018-08-14</x:v>
      </x:c>
      <x:c r="E31" s="12" t="n">
        <x:v>0</x:v>
      </x:c>
      <x:c r="F31" s="12" t="str">
        <x:v>TheStreet</x:v>
      </x:c>
      <x:c r="G31" s="12" t="str">
        <x:v>Home Depot Shares Close Down Slightly for Day</x:v>
      </x:c>
      <x:c r="H31" s="12" t="str">
        <x:v>https://www.thestreet.com/investing/home-depot-shares-bounce-on-strong-earnings-report-14681883</x:v>
      </x:c>
      <x:c r="I31" s="12" t="str">
        <x:v>OPENED_OK</x:v>
      </x:c>
      <x:c r="J31" s="12" t="str">
        <x:v>PASS</x:v>
      </x:c>
      <x:c r="K31" s="12" t="str">
        <x:v>PASS</x:v>
      </x:c>
      <x:c r="L31" s="12" t="str">
        <x:v>PASS</x:v>
      </x:c>
      <x:c r="M31" s="12" t="str">
        <x:v>NO</x:v>
      </x:c>
      <x:c r="N31" s="12" t="str">
        <x:v>PASS</x:v>
      </x:c>
      <x:c r="O31" s="12" t="str">
        <x:v>CONTEMPORANEOUS_ATTRIBUTION</x:v>
      </x:c>
      <x:c r="P31" s="12" t="str">
        <x:v>PASS</x:v>
      </x:c>
      <x:c r="Q31" s="12" t="str">
        <x:v>Page was opened/verified for Home Depot/HD identity, exact earnings event, displayed publication date, timing window, and prohibited-source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2016-05-17</x:v>
      </x:c>
      <x:c r="B2" t="str">
        <x:v>HD</x:v>
      </x:c>
      <x:c r="C2" s="20" t="n">
        <x:v>-1.61</x:v>
      </x:c>
      <x:c r="D2" s="20" t="n">
        <x:v>-0.09</x:v>
      </x:c>
      <x:c r="E2" t="str">
        <x:v>ret_1day_pct</x:v>
      </x:c>
      <x:c r="F2" t="str">
        <x:f>IF(C2&gt;0.1,"UP",IF(C2&lt;-0.1,"DOWN","FLAT"))</x:f>
        <x:v>DOWN</x:v>
      </x:c>
      <x:c r="G2" t="str">
        <x:v>DOWN</x:v>
      </x:c>
      <x:c r="H2" t="str">
        <x:f>IF(F2=G2,"PASS","FAIL")</x:f>
        <x:v>PASS</x:v>
      </x:c>
      <x:c r="I2" t="n">
        <x:v>3</x:v>
      </x:c>
      <x:c r="J2" t="n">
        <x:f>COUNTIFS('Source Audit'!$A:$A,A2,'Source Audit'!$P:$P,"PASS")</x:f>
        <x:v>3</x:v>
      </x:c>
      <x:c r="K2" t="str">
        <x:f>IF(AND(H2="PASS",J2=I2),"PASS","FAIL")</x:f>
        <x:v>PASS</x:v>
      </x:c>
    </x:row>
    <x:row r="3">
      <x:c r="A3" t="str">
        <x:v>2016-08-16</x:v>
      </x:c>
      <x:c r="B3" t="str">
        <x:v>HD</x:v>
      </x:c>
      <x:c r="C3" s="20" t="n">
        <x:v>-0.06</x:v>
      </x:c>
      <x:c r="D3" s="20" t="n">
        <x:v>-0.16</x:v>
      </x:c>
      <x:c r="E3" t="str">
        <x:v>ret_1day_pct</x:v>
      </x:c>
      <x:c r="F3" t="str">
        <x:f>IF(C3&gt;0.1,"UP",IF(C3&lt;-0.1,"DOWN","FLAT"))</x:f>
        <x:v>FLAT</x:v>
      </x:c>
      <x:c r="G3" t="str">
        <x:v>FLAT</x:v>
      </x:c>
      <x:c r="H3" t="str">
        <x:f>IF(F3=G3,"PASS","FAIL")</x:f>
        <x:v>PASS</x:v>
      </x:c>
      <x:c r="I3" t="n">
        <x:v>3</x:v>
      </x:c>
      <x:c r="J3" t="n">
        <x:f>COUNTIFS('Source Audit'!$A:$A,A3,'Source Audit'!$P:$P,"PASS")</x:f>
        <x:v>3</x:v>
      </x:c>
      <x:c r="K3" t="str">
        <x:f>IF(AND(H3="PASS",J3=I3),"PASS","FAIL")</x:f>
        <x:v>PASS</x:v>
      </x:c>
    </x:row>
    <x:row r="4">
      <x:c r="A4" t="str">
        <x:v>2016-11-15</x:v>
      </x:c>
      <x:c r="B4" t="str">
        <x:v>HD</x:v>
      </x:c>
      <x:c r="C4" s="20" t="n">
        <x:v>-3.35</x:v>
      </x:c>
      <x:c r="D4" s="20" t="n">
        <x:v>0.9</x:v>
      </x:c>
      <x:c r="E4" t="str">
        <x:v>ret_1day_pct</x:v>
      </x:c>
      <x:c r="F4" t="str">
        <x:f>IF(C4&gt;0.1,"UP",IF(C4&lt;-0.1,"DOWN","FLAT"))</x:f>
        <x:v>DOWN</x:v>
      </x:c>
      <x:c r="G4" t="str">
        <x:v>DOWN</x:v>
      </x:c>
      <x:c r="H4" t="str">
        <x:f>IF(F4=G4,"PASS","FAIL")</x:f>
        <x:v>PASS</x:v>
      </x:c>
      <x:c r="I4" t="n">
        <x:v>3</x:v>
      </x:c>
      <x:c r="J4" t="n">
        <x:f>COUNTIFS('Source Audit'!$A:$A,A4,'Source Audit'!$P:$P,"PASS")</x:f>
        <x:v>3</x:v>
      </x:c>
      <x:c r="K4" t="str">
        <x:f>IF(AND(H4="PASS",J4=I4),"PASS","FAIL")</x:f>
        <x:v>PASS</x:v>
      </x:c>
    </x:row>
    <x:row r="5">
      <x:c r="A5" t="str">
        <x:v>2017-02-21</x:v>
      </x:c>
      <x:c r="B5" t="str">
        <x:v>HD</x:v>
      </x:c>
      <x:c r="C5" s="20" t="n">
        <x:v>0.83</x:v>
      </x:c>
      <x:c r="D5" s="20" t="n">
        <x:v>0.33</x:v>
      </x:c>
      <x:c r="E5" t="str">
        <x:v>ret_1day_pct</x:v>
      </x:c>
      <x:c r="F5" t="str">
        <x:f>IF(C5&gt;0.1,"UP",IF(C5&lt;-0.1,"DOWN","FLAT"))</x:f>
        <x:v>UP</x:v>
      </x:c>
      <x:c r="G5" t="str">
        <x:v>UP</x:v>
      </x:c>
      <x:c r="H5" t="str">
        <x:f>IF(F5=G5,"PASS","FAIL")</x:f>
        <x:v>PASS</x:v>
      </x:c>
      <x:c r="I5" t="n">
        <x:v>3</x:v>
      </x:c>
      <x:c r="J5" t="n">
        <x:f>COUNTIFS('Source Audit'!$A:$A,A5,'Source Audit'!$P:$P,"PASS")</x:f>
        <x:v>3</x:v>
      </x:c>
      <x:c r="K5" t="str">
        <x:f>IF(AND(H5="PASS",J5=I5),"PASS","FAIL")</x:f>
        <x:v>PASS</x:v>
      </x:c>
    </x:row>
    <x:row r="6">
      <x:c r="A6" t="str">
        <x:v>2017-05-16</x:v>
      </x:c>
      <x:c r="B6" t="str">
        <x:v>HD</x:v>
      </x:c>
      <x:c r="C6" s="20" t="n">
        <x:v>0.63</x:v>
      </x:c>
      <x:c r="D6" s="20" t="n">
        <x:v>0.44</x:v>
      </x:c>
      <x:c r="E6" t="str">
        <x:v>ret_1day_pct</x:v>
      </x:c>
      <x:c r="F6" t="str">
        <x:f>IF(C6&gt;0.1,"UP",IF(C6&lt;-0.1,"DOWN","FLAT"))</x:f>
        <x:v>UP</x:v>
      </x:c>
      <x:c r="G6" t="str">
        <x:v>UP</x:v>
      </x:c>
      <x:c r="H6" t="str">
        <x:f>IF(F6=G6,"PASS","FAIL")</x:f>
        <x:v>PASS</x:v>
      </x:c>
      <x:c r="I6" t="n">
        <x:v>3</x:v>
      </x:c>
      <x:c r="J6" t="n">
        <x:f>COUNTIFS('Source Audit'!$A:$A,A6,'Source Audit'!$P:$P,"PASS")</x:f>
        <x:v>3</x:v>
      </x:c>
      <x:c r="K6" t="str">
        <x:f>IF(AND(H6="PASS",J6=I6),"PASS","FAIL")</x:f>
        <x:v>PASS</x:v>
      </x:c>
    </x:row>
    <x:row r="7">
      <x:c r="A7" t="str">
        <x:v>2017-08-15</x:v>
      </x:c>
      <x:c r="B7" t="str">
        <x:v>HD</x:v>
      </x:c>
      <x:c r="C7" s="20" t="n">
        <x:v>-2.51</x:v>
      </x:c>
      <x:c r="D7" s="20" t="n">
        <x:v>1.17</x:v>
      </x:c>
      <x:c r="E7" t="str">
        <x:v>ret_1day_pct</x:v>
      </x:c>
      <x:c r="F7" t="str">
        <x:f>IF(C7&gt;0.1,"UP",IF(C7&lt;-0.1,"DOWN","FLAT"))</x:f>
        <x:v>DOWN</x:v>
      </x:c>
      <x:c r="G7" t="str">
        <x:v>DOWN</x:v>
      </x:c>
      <x:c r="H7" t="str">
        <x:f>IF(F7=G7,"PASS","FAIL")</x:f>
        <x:v>PASS</x:v>
      </x:c>
      <x:c r="I7" t="n">
        <x:v>3</x:v>
      </x:c>
      <x:c r="J7" t="n">
        <x:f>COUNTIFS('Source Audit'!$A:$A,A7,'Source Audit'!$P:$P,"PASS")</x:f>
        <x:v>3</x:v>
      </x:c>
      <x:c r="K7" t="str">
        <x:f>IF(AND(H7="PASS",J7=I7),"PASS","FAIL")</x:f>
        <x:v>PASS</x:v>
      </x:c>
    </x:row>
    <x:row r="8">
      <x:c r="A8" t="str">
        <x:v>2017-11-14</x:v>
      </x:c>
      <x:c r="B8" t="str">
        <x:v>HD</x:v>
      </x:c>
      <x:c r="C8" s="20" t="n">
        <x:v>1.89</x:v>
      </x:c>
      <x:c r="D8" s="20" t="n">
        <x:v>-1.06</x:v>
      </x:c>
      <x:c r="E8" t="str">
        <x:v>ret_1day_pct</x:v>
      </x:c>
      <x:c r="F8" t="str">
        <x:f>IF(C8&gt;0.1,"UP",IF(C8&lt;-0.1,"DOWN","FLAT"))</x:f>
        <x:v>UP</x:v>
      </x:c>
      <x:c r="G8" t="str">
        <x:v>UP</x:v>
      </x:c>
      <x:c r="H8" t="str">
        <x:f>IF(F8=G8,"PASS","FAIL")</x:f>
        <x:v>PASS</x:v>
      </x:c>
      <x:c r="I8" t="n">
        <x:v>3</x:v>
      </x:c>
      <x:c r="J8" t="n">
        <x:f>COUNTIFS('Source Audit'!$A:$A,A8,'Source Audit'!$P:$P,"PASS")</x:f>
        <x:v>3</x:v>
      </x:c>
      <x:c r="K8" t="str">
        <x:f>IF(AND(H8="PASS",J8=I8),"PASS","FAIL")</x:f>
        <x:v>PASS</x:v>
      </x:c>
    </x:row>
    <x:row r="9">
      <x:c r="A9" t="str">
        <x:v>2018-02-20</x:v>
      </x:c>
      <x:c r="B9" t="str">
        <x:v>HD</x:v>
      </x:c>
      <x:c r="C9" s="20" t="n">
        <x:v>0.49</x:v>
      </x:c>
      <x:c r="D9" s="20" t="n">
        <x:v>-1.51</x:v>
      </x:c>
      <x:c r="E9" t="str">
        <x:v>ret_1day_pct</x:v>
      </x:c>
      <x:c r="F9" t="str">
        <x:f>IF(C9&gt;0.1,"UP",IF(C9&lt;-0.1,"DOWN","FLAT"))</x:f>
        <x:v>UP</x:v>
      </x:c>
      <x:c r="G9" t="str">
        <x:v>UP</x:v>
      </x:c>
      <x:c r="H9" t="str">
        <x:f>IF(F9=G9,"PASS","FAIL")</x:f>
        <x:v>PASS</x:v>
      </x:c>
      <x:c r="I9" t="n">
        <x:v>3</x:v>
      </x:c>
      <x:c r="J9" t="n">
        <x:f>COUNTIFS('Source Audit'!$A:$A,A9,'Source Audit'!$P:$P,"PASS")</x:f>
        <x:v>3</x:v>
      </x:c>
      <x:c r="K9" t="str">
        <x:f>IF(AND(H9="PASS",J9=I9),"PASS","FAIL")</x:f>
        <x:v>PASS</x:v>
      </x:c>
    </x:row>
    <x:row r="10">
      <x:c r="A10" t="str">
        <x:v>2018-05-15</x:v>
      </x:c>
      <x:c r="B10" t="str">
        <x:v>HD</x:v>
      </x:c>
      <x:c r="C10" s="20" t="n">
        <x:v>-1.05</x:v>
      </x:c>
      <x:c r="D10" s="20" t="n">
        <x:v>-1.33</x:v>
      </x:c>
      <x:c r="E10" t="str">
        <x:v>ret_1day_pct</x:v>
      </x:c>
      <x:c r="F10" t="str">
        <x:f>IF(C10&gt;0.1,"UP",IF(C10&lt;-0.1,"DOWN","FLAT"))</x:f>
        <x:v>DOWN</x:v>
      </x:c>
      <x:c r="G10" t="str">
        <x:v>DOWN</x:v>
      </x:c>
      <x:c r="H10" t="str">
        <x:f>IF(F10=G10,"PASS","FAIL")</x:f>
        <x:v>PASS</x:v>
      </x:c>
      <x:c r="I10" t="n">
        <x:v>3</x:v>
      </x:c>
      <x:c r="J10" t="n">
        <x:f>COUNTIFS('Source Audit'!$A:$A,A10,'Source Audit'!$P:$P,"PASS")</x:f>
        <x:v>3</x:v>
      </x:c>
      <x:c r="K10" t="str">
        <x:f>IF(AND(H10="PASS",J10=I10),"PASS","FAIL")</x:f>
        <x:v>PASS</x:v>
      </x:c>
    </x:row>
    <x:row r="11">
      <x:c r="A11" t="str">
        <x:v>2018-08-14</x:v>
      </x:c>
      <x:c r="B11" t="str">
        <x:v>HD</x:v>
      </x:c>
      <x:c r="C11" s="20" t="n">
        <x:v>-1.2</x:v>
      </x:c>
      <x:c r="D11" s="20" t="n">
        <x:v>1.37</x:v>
      </x:c>
      <x:c r="E11" t="str">
        <x:v>ret_1day_pct</x:v>
      </x:c>
      <x:c r="F11" t="str">
        <x:f>IF(C11&gt;0.1,"UP",IF(C11&lt;-0.1,"DOWN","FLAT"))</x:f>
        <x:v>DOWN</x:v>
      </x:c>
      <x:c r="G11" t="str">
        <x:v>DOWN</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HD rebuilt from scratch under the corrected verification protocol.</x:v>
      </x:c>
    </x:row>
    <x:row r="3">
      <x:c r="A3" s="12" t="str">
        <x:v>Identity source</x:v>
      </x:c>
      <x:c r="B3" s="12" t="str">
        <x:v>Ticker/company, exact earnings dates and all return fields come from group_observations.csv.</x:v>
      </x:c>
    </x:row>
    <x:row r="4">
      <x:c r="A4" s="12" t="str">
        <x:v>Reaction basis</x:v>
      </x:c>
      <x:c r="B4" s="12" t="str">
        <x:v>Home Depot released earnings before the U.S. market open and held calls at 9:00 a.m. ET. ret_1day_pct is therefore the primary same-session earnings reaction.</x:v>
      </x:c>
    </x:row>
    <x:row r="5">
      <x:c r="A5" s="12" t="str">
        <x:v>Narrative</x:v>
      </x:c>
      <x:c r="B5" s="12" t="str">
        <x:v>Short Prior Context, detailed Current Earnings Release, and three concise event-specific Possible Drivers.</x:v>
      </x:c>
    </x:row>
    <x:row r="6">
      <x:c r="A6" s="12" t="str">
        <x:v>Sources</x:v>
      </x:c>
      <x:c r="B6" s="12" t="str">
        <x:v>Home Depot Investor Relations anchors factual results; each observation includes a contemporaneous open reaction source.</x:v>
      </x:c>
    </x:row>
    <x:row r="7">
      <x:c r="A7" s="12" t="str">
        <x:v>Timing</x:v>
      </x:c>
      <x:c r="B7" s="12" t="str">
        <x:v>Prior = -100..-1 days; release = day 0; reaction = day 0..+3.</x:v>
      </x:c>
    </x:row>
    <x:row r="8">
      <x:c r="A8" s="12" t="str">
        <x:v>Restrictions</x:v>
      </x:c>
      <x:c r="B8" s="12" t="str">
        <x:v>No WSJ, Reuters, Dow Jones or MarketWatch-syndicated article is included.</x:v>
      </x:c>
    </x:row>
    <x:row r="9">
      <x:c r="A9" s="12" t="str">
        <x:v>Causality</x:v>
      </x:c>
      <x:c r="B9" s="12" t="str">
        <x:v>When the stock moves against a strong report and no permitted source gives a clean causal attribution, the workbook explicitly labels the interpretation as uncertain rather than inventing an earnings driver.</x:v>
      </x:c>
    </x:row>
    <x:row r="10">
      <x:c r="A10" s="12" t="str">
        <x:v>QA</x:v>
      </x:c>
      <x:c r="B10" s="12" t="str">
        <x:v>Event QA mechanically recomputes direction from ret_1day_pct and requires three PASS source-audit rows per event.</x:v>
      </x:c>
    </x:row>
  </x:sheetData>
  <x:pageMargins left="0.7" right="0.7" top="0.75" bottom="0.75" header="0.3" footer="0.3"/>
</x:worksheet>
</file>