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f547f1412547b0" /></Relationships>
</file>

<file path=xl/workbook.xml><?xml version="1.0" encoding="utf-8"?>
<x:workbook xmlns:x="http://schemas.openxmlformats.org/spreadsheetml/2006/main">
  <x:sheets>
    <x:sheet xmlns:r="http://schemas.openxmlformats.org/officeDocument/2006/relationships" name="TXN" sheetId="1" r:id="Rda60d8a377b24783"/>
    <x:sheet xmlns:r="http://schemas.openxmlformats.org/officeDocument/2006/relationships" name="Source Audit" sheetId="2" r:id="R3ea59007447546da"/>
    <x:sheet xmlns:r="http://schemas.openxmlformats.org/officeDocument/2006/relationships" name="Event QA" sheetId="3" r:id="R5ddb9e7e17c54ff9"/>
    <x:sheet xmlns:r="http://schemas.openxmlformats.org/officeDocument/2006/relationships" name="Methodology" sheetId="4" r:id="R9277618f51d642e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b32310700b4b28" /><Relationship Type="http://schemas.openxmlformats.org/officeDocument/2006/relationships/theme" Target="/xl/theme/theme1.xml" Id="R3fed88a1fe8c4dd5" /><Relationship Type="http://schemas.openxmlformats.org/officeDocument/2006/relationships/sharedStrings" Target="/xl/sharedStrings.xml" Id="R040777ba29f04d43" /><Relationship Type="http://schemas.openxmlformats.org/officeDocument/2006/relationships/worksheet" Target="/xl/worksheets/sheet1.xml" Id="Rda60d8a377b24783" /><Relationship Type="http://schemas.openxmlformats.org/officeDocument/2006/relationships/worksheet" Target="/xl/worksheets/sheet2.xml" Id="R3ea59007447546da" /><Relationship Type="http://schemas.openxmlformats.org/officeDocument/2006/relationships/worksheet" Target="/xl/worksheets/sheet3.xml" Id="R5ddb9e7e17c54ff9" /><Relationship Type="http://schemas.openxmlformats.org/officeDocument/2006/relationships/worksheet" Target="/xl/worksheets/sheet4.xml" Id="R9277618f51d642e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20" hidden="0" customWidth="1"/>
    <x:col min="12" max="12" width="18" hidden="0" customWidth="1"/>
    <x:col min="13" max="13" width="96" hidden="0" customWidth="1"/>
    <x:col min="14" max="14" width="66" hidden="0" customWidth="1"/>
    <x:col min="15" max="15" width="66" hidden="0" customWidth="1"/>
    <x:col min="16" max="16" width="70" hidden="0" customWidth="1"/>
    <x:col min="17" max="17" width="82"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TXN</x:v>
      </x:c>
      <x:c r="C2" s="15" t="str">
        <x:v>Texas Instruments</x:v>
      </x:c>
      <x:c r="D2" s="15" t="str">
        <x:v>2016q2</x:v>
      </x:c>
      <x:c r="E2" s="15" t="str">
        <x:v>2016-04-27</x:v>
      </x:c>
      <x:c r="F2" s="18" t="n">
        <x:v>0.61</x:v>
      </x:c>
      <x:c r="G2" s="18" t="n">
        <x:v>-0.56</x:v>
      </x:c>
      <x:c r="H2" s="18" t="n">
        <x:v>0.05</x:v>
      </x:c>
      <x:c r="I2" s="18" t="n">
        <x:v>0.35</x:v>
      </x:c>
      <x:c r="J2" s="18" t="n">
        <x:v>-1.29</x:v>
      </x:c>
      <x:c r="K2" s="15" t="str">
        <x:v>ret_1daypost_pct</x:v>
      </x:c>
      <x:c r="L2" s="15" t="str">
        <x:v>DOWN</x:v>
      </x:c>
      <x:c r="M2" s="15" t="str">
        <x:v>## Prior Context
TI entered Q1 with strength in automotive and improving industrial demand, but weakness in a portion of personal electronics had already been flagged in January. The key issue was whether Analog and Embedded Processing margins could keep improving despite the softer consumer mix.
### Verified prior source
2016-01-27 | Texas Instruments | TI reports 4Q15 and 2015 financial results and shareholder returns | https://investor.ti.com/news-releases/news-release-details/ti-reports-4q15-and-2015-financial-results-and-shareholder
## Current Earnings Release
TI reported **$3.01 billion of revenue**, down 5% year over year, and **$0.65 of EPS**. Revenue landed in the upper half of management’s range. Automotive remained strong, industrial and communications equipment improved, while personal electronics declined as expected.
The more important quality signal was profitability. Analog and Embedded Processing together represented **87% of revenue**, and operating margin increased in both businesses despite lower consolidated revenue. Gross margin reached roughly **59.9%**, reflecting TI’s product mix and the structural manufacturing-cost advantage from 300-mm Analog production.
### Verified release source
2016-04-27 | Texas Instruments | TI reports 1Q16 financial results and shareholder returns | https://investor.ti.com/news-releases/news-release-details/ti-reports-1q16-financial-results-and-shareholder-returns
## Possible Drivers
**First-order driver.** The next session was only modestly negative; there was no clear contemporaneous evidence of an earnings-driven selloff.
**Second-order driver.** Personal-electronics weakness offset better automotive and industrial demand.
**Third-order driver.** Higher core-segment margins and 300-mm economics kept the underlying earnings quality strong.
### Verified reaction source
No reaction source included; the driver language is deliberately limited to supported inference.
## Verification Status
Included sources were checked for Texas Instruments/TXN identity, the correct earnings event or directly relevant same-window catalyst, publication date, timing window and source origin. Texas Instruments Investor Relations is the factual anchor. No WSJ, Reuters, Dow Jones or MarketWatch-syndicated article is included. Attribution strength: **SUPPORTED_INFERENCE**.
</x:v>
      </x:c>
      <x:c r="N2" s="15" t="str">
        <x:v>2016-01-27 | Texas Instruments | TI reports 4Q15 and 2015 financial results and shareholder returns | https://investor.ti.com/news-releases/news-release-details/ti-reports-4q15-and-2015-financial-results-and-shareholder</x:v>
      </x:c>
      <x:c r="O2" s="15" t="str">
        <x:v>2016-04-27 | Texas Instruments | TI reports 1Q16 financial results and shareholder returns | https://investor.ti.com/news-releases/news-release-details/ti-reports-1q16-financial-results-and-shareholder-returns</x:v>
      </x:c>
      <x:c r="P2" s="15" t="str">
        <x:v>No reaction source included; the driver language is deliberately limited to supported inference.</x:v>
      </x:c>
      <x:c r="Q2" s="15" t="str">
        <x:v>2016-01-27 | Texas Instruments | TI reports 4Q15 and 2015 financial results and shareholder returns | https://investor.ti.com/news-releases/news-release-details/ti-reports-4q15-and-2015-financial-results-and-shareholder
2016-04-27 | Texas Instruments | TI reports 1Q16 financial results and shareholder returns | https://investor.ti.com/news-releases/news-release-details/ti-reports-1q16-financial-results-and-shareholder-returns</x:v>
      </x:c>
      <x:c r="R2" s="15" t="n">
        <x:v>2</x:v>
      </x:c>
      <x:c r="S2" s="15" t="str">
        <x:v>PASS</x:v>
      </x:c>
    </x:row>
    <x:row r="3" ht="340" customHeight="1">
      <x:c r="A3" s="15" t="n">
        <x:v>1</x:v>
      </x:c>
      <x:c r="B3" s="15" t="str">
        <x:v>TXN</x:v>
      </x:c>
      <x:c r="C3" s="15" t="str">
        <x:v>Texas Instruments</x:v>
      </x:c>
      <x:c r="D3" s="15" t="str">
        <x:v>2016q3</x:v>
      </x:c>
      <x:c r="E3" s="15" t="str">
        <x:v>2016-07-25</x:v>
      </x:c>
      <x:c r="F3" s="18" t="n">
        <x:v>1.43</x:v>
      </x:c>
      <x:c r="G3" s="18" t="n">
        <x:v>7.69</x:v>
      </x:c>
      <x:c r="H3" s="18" t="n">
        <x:v>9.23</x:v>
      </x:c>
      <x:c r="I3" s="18" t="n">
        <x:v>9.72</x:v>
      </x:c>
      <x:c r="J3" s="18" t="n">
        <x:v>8.42</x:v>
      </x:c>
      <x:c r="K3" s="15" t="str">
        <x:v>ret_1daypost_pct</x:v>
      </x:c>
      <x:c r="L3" s="15" t="str">
        <x:v>UP</x:v>
      </x:c>
      <x:c r="M3" s="15" t="str">
        <x:v>## Prior Context
After Q1, investors wanted confirmation that industrial demand was improving and that TI’s margin expansion could continue as personal-electronics weakness eased.
### Verified prior source
2016-04-27 | Texas Instruments | TI reports 1Q16 financial results and shareholder returns | https://investor.ti.com/news-releases/news-release-details/ti-reports-1q16-financial-results-and-shareholder-returns
## Current Earnings Release
Q2 revenue rose to **$3.27 billion** and EPS reached **$0.76**, above consensus near $3.20 billion and $0.72. Revenue and EPS both landed in the upper half of TI’s own guidance. Automotive remained strong, industrial and communications equipment improved, and personal electronics grew sequentially even though it was still down year over year.
Gross margin rose to **61.2%**, and operating margin increased in both Analog and Embedded Processing. Q3 guidance of **$3.34–$3.62 billion** of revenue and **$0.81–$0.91 EPS** was also solid.
### Verified release source
2016-07-25 | Texas Instruments | TI reports 2Q16 financial results and shareholder returns | https://investor.ti.com/news-releases/news-release-details/ti-reports-2q16-financial-results-and-shareholder-returns
## Possible Drivers
**First-order driver.** Shares surged because both earnings and revenue beat expectations and the Q3 outlook was strong.
**Second-order driver.** Automotive and industrial demand broadened the growth base.
**Third-order driver.** Continued gross-margin expansion strengthened the free-cash-flow story.
### Verified reaction source
2016-07-26 | TheStreet | Texas Instruments (TXN) Stock Soars After Q2 Beat | https://www.thestreet.com/markets/texas-instruments-txn-stock-soars-after-q2-beat-13652304
## Verification Status
Included sources were checked for Texas Instruments/TXN identity, the correct earnings event or directly relevant same-window catalyst, publication date, timing window and source origin. Texas Instruments Investor Relations is the factual anchor. No WSJ, Reuters, Dow Jones or MarketWatch-syndicated article is included. Attribution strength: **EXPLICIT**.
</x:v>
      </x:c>
      <x:c r="N3" s="15" t="str">
        <x:v>2016-04-27 | Texas Instruments | TI reports 1Q16 financial results and shareholder returns | https://investor.ti.com/news-releases/news-release-details/ti-reports-1q16-financial-results-and-shareholder-returns</x:v>
      </x:c>
      <x:c r="O3" s="15" t="str">
        <x:v>2016-07-25 | Texas Instruments | TI reports 2Q16 financial results and shareholder returns | https://investor.ti.com/news-releases/news-release-details/ti-reports-2q16-financial-results-and-shareholder-returns</x:v>
      </x:c>
      <x:c r="P3" s="15" t="str">
        <x:v>2016-07-26 | TheStreet | Texas Instruments (TXN) Stock Soars After Q2 Beat | https://www.thestreet.com/markets/texas-instruments-txn-stock-soars-after-q2-beat-13652304</x:v>
      </x:c>
      <x:c r="Q3" s="15" t="str">
        <x:v>2016-04-27 | Texas Instruments | TI reports 1Q16 financial results and shareholder returns | https://investor.ti.com/news-releases/news-release-details/ti-reports-1q16-financial-results-and-shareholder-returns
2016-07-25 | Texas Instruments | TI reports 2Q16 financial results and shareholder returns | https://investor.ti.com/news-releases/news-release-details/ti-reports-2q16-financial-results-and-shareholder-returns
2016-07-26 | TheStreet | Texas Instruments (TXN) Stock Soars After Q2 Beat | https://www.thestreet.com/markets/texas-instruments-txn-stock-soars-after-q2-beat-13652304</x:v>
      </x:c>
      <x:c r="R3" s="15" t="n">
        <x:v>3</x:v>
      </x:c>
      <x:c r="S3" s="15" t="str">
        <x:v>PASS</x:v>
      </x:c>
    </x:row>
    <x:row r="4" ht="340" customHeight="1">
      <x:c r="A4" s="15" t="n">
        <x:v>2</x:v>
      </x:c>
      <x:c r="B4" s="15" t="str">
        <x:v>TXN</x:v>
      </x:c>
      <x:c r="C4" s="15" t="str">
        <x:v>Texas Instruments</x:v>
      </x:c>
      <x:c r="D4" s="15" t="str">
        <x:v>2016q4</x:v>
      </x:c>
      <x:c r="E4" s="15" t="str">
        <x:v>2016-10-26</x:v>
      </x:c>
      <x:c r="F4" s="18" t="n">
        <x:v>0.99</x:v>
      </x:c>
      <x:c r="G4" s="18" t="n">
        <x:v>-0.97</x:v>
      </x:c>
      <x:c r="H4" s="18" t="n">
        <x:v>0.02</x:v>
      </x:c>
      <x:c r="I4" s="18" t="n">
        <x:v>-0.22</x:v>
      </x:c>
      <x:c r="J4" s="18" t="n">
        <x:v>0.17</x:v>
      </x:c>
      <x:c r="K4" s="15" t="str">
        <x:v>ret_1daypost_pct</x:v>
      </x:c>
      <x:c r="L4" s="15" t="str">
        <x:v>DOWN</x:v>
      </x:c>
      <x:c r="M4" s="15" t="str">
        <x:v>## Prior Context
By Q3, TI was increasingly being valued as a durable industrial/automotive compounder rather than a consumer-electronics semiconductor name. Investors were also rewarding its strong cash-return policy.
### Verified prior source
2016-07-25 | Texas Instruments | TI reports 2Q16 financial results and shareholder returns | https://investor.ti.com/news-releases/news-release-details/ti-reports-2q16-financial-results-and-shareholder-returns
## Current Earnings Release
Q3 revenue reached **$3.68 billion** and EPS **$0.94**, both above consensus and slightly above TI’s expected range. Automotive demand remained strong and industrial demand improved, while personal electronics was roughly flat year over year.
Analog revenue grew strongly, core margins continued to expand, and TI announced a **32% dividend increase** to $0.50 per quarter. Q4 revenue guidance of **$3.17–$3.43 billion** and EPS guidance of **$0.76–$0.86** were broadly in line with expectations.
### Verified release source
2016-10-26 | Texas Instruments | TI reports 3Q16 financial results and shareholder returns, including 32% dividend increase | https://investor.ti.com/news-releases/news-release-details/ti-reports-3q16-financial-results-and-shareholder-returns
## Possible Drivers
**First-order driver.** The post-release session was essentially flat because the beat was balanced by an in-line forward outlook.
**Second-order driver.** Automotive and industrial strength confirmed a favorable end-market mix.
**Third-order driver.** The 32% dividend increase reinforced TI’s capital-return appeal.
### Verified reaction source
2016-10-26 | TheStreet | How Will Texas Instruments (TXN) Stock React to Q3 Beat? | https://www.thestreet.com/markets/how-will-texas-instruments-txn-stock-react-to-q3-beat-13868838
## Verification Status
Included sources were checked for Texas Instruments/TXN identity, the correct earnings event or directly relevant same-window catalyst, publication date, timing window and source origin. Texas Instruments Investor Relations is the factual anchor. No WSJ, Reuters, Dow Jones or MarketWatch-syndicated article is included. Attribution strength: **EXPLICIT**.
</x:v>
      </x:c>
      <x:c r="N4" s="15" t="str">
        <x:v>2016-07-25 | Texas Instruments | TI reports 2Q16 financial results and shareholder returns | https://investor.ti.com/news-releases/news-release-details/ti-reports-2q16-financial-results-and-shareholder-returns</x:v>
      </x:c>
      <x:c r="O4" s="15" t="str">
        <x:v>2016-10-26 | Texas Instruments | TI reports 3Q16 financial results and shareholder returns, including 32% dividend increase | https://investor.ti.com/news-releases/news-release-details/ti-reports-3q16-financial-results-and-shareholder-returns</x:v>
      </x:c>
      <x:c r="P4" s="15" t="str">
        <x:v>2016-10-26 | TheStreet | How Will Texas Instruments (TXN) Stock React to Q3 Beat? | https://www.thestreet.com/markets/how-will-texas-instruments-txn-stock-react-to-q3-beat-13868838</x:v>
      </x:c>
      <x:c r="Q4" s="15" t="str">
        <x:v>2016-07-25 | Texas Instruments | TI reports 2Q16 financial results and shareholder returns | https://investor.ti.com/news-releases/news-release-details/ti-reports-2q16-financial-results-and-shareholder-returns
2016-10-26 | Texas Instruments | TI reports 3Q16 financial results and shareholder returns, including 32% dividend increase | https://investor.ti.com/news-releases/news-release-details/ti-reports-3q16-financial-results-and-shareholder-returns
2016-10-26 | TheStreet | How Will Texas Instruments (TXN) Stock React to Q3 Beat? | https://www.thestreet.com/markets/how-will-texas-instruments-txn-stock-react-to-q3-beat-13868838</x:v>
      </x:c>
      <x:c r="R4" s="15" t="n">
        <x:v>3</x:v>
      </x:c>
      <x:c r="S4" s="15" t="str">
        <x:v>PASS</x:v>
      </x:c>
    </x:row>
    <x:row r="5" ht="340" customHeight="1">
      <x:c r="A5" s="15" t="n">
        <x:v>3</x:v>
      </x:c>
      <x:c r="B5" s="15" t="str">
        <x:v>TXN</x:v>
      </x:c>
      <x:c r="C5" s="15" t="str">
        <x:v>Texas Instruments</x:v>
      </x:c>
      <x:c r="D5" s="15" t="str">
        <x:v>2017q1</x:v>
      </x:c>
      <x:c r="E5" s="15" t="str">
        <x:v>2017-01-24</x:v>
      </x:c>
      <x:c r="F5" s="18" t="n">
        <x:v>0.95</x:v>
      </x:c>
      <x:c r="G5" s="18" t="n">
        <x:v>1.14</x:v>
      </x:c>
      <x:c r="H5" s="18" t="n">
        <x:v>2.09</x:v>
      </x:c>
      <x:c r="I5" s="18" t="n">
        <x:v>3.63</x:v>
      </x:c>
      <x:c r="J5" s="18" t="n">
        <x:v>3.85</x:v>
      </x:c>
      <x:c r="K5" s="15" t="str">
        <x:v>ret_1daypost_pct</x:v>
      </x:c>
      <x:c r="L5" s="15" t="str">
        <x:v>UP</x:v>
      </x:c>
      <x:c r="M5" s="15" t="str">
        <x:v>## Prior Context
TI entered year-end with improving industrial demand, strong automotive growth and record profitability. The investment case increasingly centered on durable analog content growth and cash returns.
### Verified prior source
2016-10-26 | Texas Instruments | TI reports 3Q16 financial results and shareholder returns, including 32% dividend increase | https://investor.ti.com/news-releases/news-release-details/ti-reports-3q16-financial-results-and-shareholder-returns
## Current Earnings Release
Q4 revenue increased **7% to $3.41 billion**, while EPS reached **$1.02**. EPS included a **$0.14 benefit** from items outside the original guidance, but underlying operating performance was also strong: Analog revenue grew **10%**, Embedded Processing **6%**, and operating margin increased in both.
Gross margin reached **62.5%**, while trailing-twelve-month free cash flow rose to **$4.08 billion**, or 30.5% of revenue. Q1 guidance was broadly constructive, supported by industrial and automotive demand.
### Verified release source
2017-01-24 | Texas Instruments | TI reports 4Q16 and 2016 financial results and shareholder returns | https://investor.ti.com/news-releases/news-release-details/ti-reports-4q16-and-2016-financial-results-and-shareholder
## Possible Drivers
**First-order driver.** Shares rose as investors rewarded double-digit profit growth and continued strength in Analog and Embedded Processing.
**Second-order driver.** Industrial recovery joined automotive as a major demand engine.
**Third-order driver.** Strong free cash flow supported continued dividends and buybacks.
### Verified reaction source
2017-01-25 | TheStreet | Dow Sets New Record After Smashing Through 20,000 Milestone | https://www.thestreet.com/investing/dow-sets-new-record-high-after-smashing-through-20-000-milestone-13966798
## Verification Status
Included sources were checked for Texas Instruments/TXN identity, the correct earnings event or directly relevant same-window catalyst, publication date, timing window and source origin. Texas Instruments Investor Relations is the factual anchor. No WSJ, Reuters, Dow Jones or MarketWatch-syndicated article is included. Attribution strength: **EXPLICIT**.
</x:v>
      </x:c>
      <x:c r="N5" s="15" t="str">
        <x:v>2016-10-26 | Texas Instruments | TI reports 3Q16 financial results and shareholder returns, including 32% dividend increase | https://investor.ti.com/news-releases/news-release-details/ti-reports-3q16-financial-results-and-shareholder-returns</x:v>
      </x:c>
      <x:c r="O5" s="15" t="str">
        <x:v>2017-01-24 | Texas Instruments | TI reports 4Q16 and 2016 financial results and shareholder returns | https://investor.ti.com/news-releases/news-release-details/ti-reports-4q16-and-2016-financial-results-and-shareholder</x:v>
      </x:c>
      <x:c r="P5" s="15" t="str">
        <x:v>2017-01-25 | TheStreet | Dow Sets New Record After Smashing Through 20,000 Milestone | https://www.thestreet.com/investing/dow-sets-new-record-high-after-smashing-through-20-000-milestone-13966798</x:v>
      </x:c>
      <x:c r="Q5" s="15" t="str">
        <x:v>2016-10-26 | Texas Instruments | TI reports 3Q16 financial results and shareholder returns, including 32% dividend increase | https://investor.ti.com/news-releases/news-release-details/ti-reports-3q16-financial-results-and-shareholder-returns
2017-01-24 | Texas Instruments | TI reports 4Q16 and 2016 financial results and shareholder returns | https://investor.ti.com/news-releases/news-release-details/ti-reports-4q16-and-2016-financial-results-and-shareholder
2017-01-25 | TheStreet | Dow Sets New Record After Smashing Through 20,000 Milestone | https://www.thestreet.com/investing/dow-sets-new-record-high-after-smashing-through-20-000-milestone-13966798</x:v>
      </x:c>
      <x:c r="R5" s="15" t="n">
        <x:v>3</x:v>
      </x:c>
      <x:c r="S5" s="15" t="str">
        <x:v>PASS</x:v>
      </x:c>
    </x:row>
    <x:row r="6" ht="340" customHeight="1">
      <x:c r="A6" s="15" t="n">
        <x:v>4</x:v>
      </x:c>
      <x:c r="B6" s="15" t="str">
        <x:v>TXN</x:v>
      </x:c>
      <x:c r="C6" s="15" t="str">
        <x:v>Texas Instruments</x:v>
      </x:c>
      <x:c r="D6" s="15" t="str">
        <x:v>2017q2</x:v>
      </x:c>
      <x:c r="E6" s="15" t="str">
        <x:v>2017-04-25</x:v>
      </x:c>
      <x:c r="F6" s="18" t="n">
        <x:v>0.98</x:v>
      </x:c>
      <x:c r="G6" s="18" t="n">
        <x:v>-1.51</x:v>
      </x:c>
      <x:c r="H6" s="18" t="n">
        <x:v>-0.54</x:v>
      </x:c>
      <x:c r="I6" s="18" t="n">
        <x:v>-0.03</x:v>
      </x:c>
      <x:c r="J6" s="18" t="n">
        <x:v>-1.54</x:v>
      </x:c>
      <x:c r="K6" s="15" t="str">
        <x:v>ret_1daypost_pct</x:v>
      </x:c>
      <x:c r="L6" s="15" t="str">
        <x:v>DOWN</x:v>
      </x:c>
      <x:c r="M6" s="15" t="str">
        <x:v>## Prior Context
After a strong Q4, the key debate was whether the semiconductor upcycle was broadening or nearing a peak. TI’s unusually diversified customer base made its industrial and automotive commentary especially important.
### Verified prior source
2017-01-24 | Texas Instruments | TI reports 4Q16 and 2016 financial results and shareholder returns | https://investor.ti.com/news-releases/news-release-details/ti-reports-4q16-and-2016-financial-results-and-shareholder
## Current Earnings Release
Q1 revenue rose **13% to $3.40 billion**, the company’s first quarter of double-digit revenue growth since 2010. EPS was **$0.97**, including an $0.08 discrete tax benefit. Analog revenue grew **20%** and Embedded Processing **10%**, with operating margin increasing in both.
Management said demand was strong across industrial and automotive markets and guided Q2 revenue to **$3.40–$3.70 billion** and EPS to **$0.89–$1.01**, a range that was at least as strong as consensus. The operating report was therefore very good despite the slightly negative next-session return.
### Verified release source
2017-04-25 | Texas Instruments | TI reports 1Q17 financial results and shareholder returns | https://investor.ti.com/news-releases/news-release-details/ti-reports-1q17-financial-results-and-shareholder-returns
## Possible Drivers
**First-order driver.** No clean contemporaneous source tied the -1.5% next-day move to deteriorating fundamentals; the report itself was strong.
**Second-order driver.** Industrial and automotive demand was accelerating broadly.
**Third-order driver.** The small selloff is best treated as positioning/expectations rather than a verified negative earnings catalyst.
### Verified reaction source
2017-04-26 | Dallas Morning News | Texas Instruments sees strong demand across industries for chips | https://www.dallasnews.com/business/local-companies/2017/04/26/texas-instruments-sees-strong-demand-across-industries-for-chips/
## Verification Status
Included sources were checked for Texas Instruments/TXN identity, the correct earnings event or directly relevant same-window catalyst, publication date, timing window and source origin. Texas Instruments Investor Relations is the factual anchor. No WSJ, Reuters, Dow Jones or MarketWatch-syndicated article is included. Attribution strength: **SUPPORTED_INFERENCE**.
</x:v>
      </x:c>
      <x:c r="N6" s="15" t="str">
        <x:v>2017-01-24 | Texas Instruments | TI reports 4Q16 and 2016 financial results and shareholder returns | https://investor.ti.com/news-releases/news-release-details/ti-reports-4q16-and-2016-financial-results-and-shareholder</x:v>
      </x:c>
      <x:c r="O6" s="15" t="str">
        <x:v>2017-04-25 | Texas Instruments | TI reports 1Q17 financial results and shareholder returns | https://investor.ti.com/news-releases/news-release-details/ti-reports-1q17-financial-results-and-shareholder-returns</x:v>
      </x:c>
      <x:c r="P6" s="15" t="str">
        <x:v>2017-04-26 | Dallas Morning News | Texas Instruments sees strong demand across industries for chips | https://www.dallasnews.com/business/local-companies/2017/04/26/texas-instruments-sees-strong-demand-across-industries-for-chips/</x:v>
      </x:c>
      <x:c r="Q6" s="15" t="str">
        <x:v>2017-01-24 | Texas Instruments | TI reports 4Q16 and 2016 financial results and shareholder returns | https://investor.ti.com/news-releases/news-release-details/ti-reports-4q16-and-2016-financial-results-and-shareholder
2017-04-25 | Texas Instruments | TI reports 1Q17 financial results and shareholder returns | https://investor.ti.com/news-releases/news-release-details/ti-reports-1q17-financial-results-and-shareholder-returns
2017-04-26 | Dallas Morning News | Texas Instruments sees strong demand across industries for chips | https://www.dallasnews.com/business/local-companies/2017/04/26/texas-instruments-sees-strong-demand-across-industries-for-chips/</x:v>
      </x:c>
      <x:c r="R6" s="15" t="n">
        <x:v>3</x:v>
      </x:c>
      <x:c r="S6" s="15" t="str">
        <x:v>PASS</x:v>
      </x:c>
    </x:row>
    <x:row r="7" ht="340" customHeight="1">
      <x:c r="A7" s="15" t="n">
        <x:v>5</x:v>
      </x:c>
      <x:c r="B7" s="15" t="str">
        <x:v>TXN</x:v>
      </x:c>
      <x:c r="C7" s="15" t="str">
        <x:v>Texas Instruments</x:v>
      </x:c>
      <x:c r="D7" s="15" t="str">
        <x:v>2017q3</x:v>
      </x:c>
      <x:c r="E7" s="15" t="str">
        <x:v>2017-07-25</x:v>
      </x:c>
      <x:c r="F7" s="18" t="n">
        <x:v>0.24</x:v>
      </x:c>
      <x:c r="G7" s="18" t="n">
        <x:v>1.41</x:v>
      </x:c>
      <x:c r="H7" s="18" t="n">
        <x:v>1.65</x:v>
      </x:c>
      <x:c r="I7" s="18" t="n">
        <x:v>0.69</x:v>
      </x:c>
      <x:c r="J7" s="18" t="n">
        <x:v>-0.61</x:v>
      </x:c>
      <x:c r="K7" s="15" t="str">
        <x:v>ret_1daypost_pct</x:v>
      </x:c>
      <x:c r="L7" s="15" t="str">
        <x:v>UP</x:v>
      </x:c>
      <x:c r="M7" s="15" t="str">
        <x:v>## Prior Context
TI’s first-quarter report had confirmed a broad semiconductor upcycle. Q2 tested whether Analog and Embedded Processing could sustain high-teens growth without sacrificing margins.
### Verified prior source
2017-04-25 | Texas Instruments | TI reports 1Q17 financial results and shareholder returns | https://investor.ti.com/news-releases/news-release-details/ti-reports-1q17-financial-results-and-shareholder-returns
## Current Earnings Release
Q2 revenue increased **13% to $3.69 billion** and EPS rose to **$1.03**. Analog revenue grew **18%**, Embedded Processing **15%**, and operating profit in those businesses increased even faster. Gross margin reached **64.3%**.
TI guided Q3 revenue to **$3.74–$4.06 billion** and EPS to **$1.04–$1.18**. The only notable cash-flow drag was unusually high tax payments, which reduced quarterly free cash flow but did not indicate weaker operating demand.
### Verified release source
2017-07-25 | Texas Instruments | TI reports 2Q17 financial results and shareholder returns | https://investor.ti.com/news-releases/news-release-details/ti-reports-2q17-financial-results-and-shareholder-returns
## Possible Drivers
**First-order driver.** Shares rose because the quarter met or exceeded guidance and the next-quarter outlook remained strong.
**Second-order driver.** Automotive and industrial demand continued to drive broad-based growth.
**Third-order driver.** The temporary cash-tax hit did not undermine the underlying margin and earnings trajectory.
### Verified reaction source
2017-07-26 | The Motley Fool | Texas Instruments, Inc. Shrugs Off a Big Tax Bill (for All the Right Reasons) | https://www.fool.com/investing/2017/07/26/texas-instruments-inc-shrugs-off-a-big-tax-bill-fo.aspx
## Verification Status
Included sources were checked for Texas Instruments/TXN identity, the correct earnings event or directly relevant same-window catalyst, publication date, timing window and source origin. Texas Instruments Investor Relations is the factual anchor. No WSJ, Reuters, Dow Jones or MarketWatch-syndicated article is included. Attribution strength: **EXPLICIT**.
</x:v>
      </x:c>
      <x:c r="N7" s="15" t="str">
        <x:v>2017-04-25 | Texas Instruments | TI reports 1Q17 financial results and shareholder returns | https://investor.ti.com/news-releases/news-release-details/ti-reports-1q17-financial-results-and-shareholder-returns</x:v>
      </x:c>
      <x:c r="O7" s="15" t="str">
        <x:v>2017-07-25 | Texas Instruments | TI reports 2Q17 financial results and shareholder returns | https://investor.ti.com/news-releases/news-release-details/ti-reports-2q17-financial-results-and-shareholder-returns</x:v>
      </x:c>
      <x:c r="P7" s="15" t="str">
        <x:v>2017-07-26 | The Motley Fool | Texas Instruments, Inc. Shrugs Off a Big Tax Bill (for All the Right Reasons) | https://www.fool.com/investing/2017/07/26/texas-instruments-inc-shrugs-off-a-big-tax-bill-fo.aspx</x:v>
      </x:c>
      <x:c r="Q7" s="15" t="str">
        <x:v>2017-04-25 | Texas Instruments | TI reports 1Q17 financial results and shareholder returns | https://investor.ti.com/news-releases/news-release-details/ti-reports-1q17-financial-results-and-shareholder-returns
2017-07-25 | Texas Instruments | TI reports 2Q17 financial results and shareholder returns | https://investor.ti.com/news-releases/news-release-details/ti-reports-2q17-financial-results-and-shareholder-returns
2017-07-26 | The Motley Fool | Texas Instruments, Inc. Shrugs Off a Big Tax Bill (for All the Right Reasons) | https://www.fool.com/investing/2017/07/26/texas-instruments-inc-shrugs-off-a-big-tax-bill-fo.aspx</x:v>
      </x:c>
      <x:c r="R7" s="15" t="n">
        <x:v>3</x:v>
      </x:c>
      <x:c r="S7" s="15" t="str">
        <x:v>PASS</x:v>
      </x:c>
    </x:row>
    <x:row r="8" ht="340" customHeight="1">
      <x:c r="A8" s="15" t="n">
        <x:v>6</x:v>
      </x:c>
      <x:c r="B8" s="15" t="str">
        <x:v>TXN</x:v>
      </x:c>
      <x:c r="C8" s="15" t="str">
        <x:v>Texas Instruments</x:v>
      </x:c>
      <x:c r="D8" s="15" t="str">
        <x:v>2017q4</x:v>
      </x:c>
      <x:c r="E8" s="15" t="str">
        <x:v>2017-10-24</x:v>
      </x:c>
      <x:c r="F8" s="18" t="n">
        <x:v>0.07</x:v>
      </x:c>
      <x:c r="G8" s="18" t="n">
        <x:v>-0.1</x:v>
      </x:c>
      <x:c r="H8" s="18" t="n">
        <x:v>-0.03</x:v>
      </x:c>
      <x:c r="I8" s="18" t="n">
        <x:v>1.48</x:v>
      </x:c>
      <x:c r="J8" s="18" t="n">
        <x:v>2.33</x:v>
      </x:c>
      <x:c r="K8" s="15" t="str">
        <x:v>ret_1daypost_pct</x:v>
      </x:c>
      <x:c r="L8" s="15" t="str">
        <x:v>FLAT</x:v>
      </x:c>
      <x:c r="M8" s="15" t="str">
        <x:v>## Prior Context
TI entered Q3 after several quarters of strong industrial and automotive demand. The market was increasingly focused on how long the analog upcycle could persist.
### Verified prior source
2017-07-25 | Texas Instruments | TI reports 2Q17 financial results and shareholder returns | https://investor.ti.com/news-releases/news-release-details/ti-reports-2q17-financial-results-and-shareholder-returns
## Current Earnings Release
Q3 revenue reached **$4.12 billion**, up **12%**, and EPS was **$1.26**, both comfortably above consensus. Analog revenue grew **16%**, Embedded Processing **17%**, and operating margins expanded in both businesses.
Gross margin was **64.5%**, and free cash flow continued to grow. The report was a clear operating beat, but the first full session was essentially flat, suggesting that a great deal of cyclical strength was already reflected in the stock.
### Verified release source
2017-10-24 | Texas Instruments | TI reports 3Q17 financial results and shareholder returns | https://investor.ti.com/node/24401
## Possible Drivers
**First-order driver.** The reaction was essentially flat despite a large beat, indicating a very high expectations bar.
**Second-order driver.** Industrial and automotive remained the main growth engines.
**Third-order driver.** Strong margins and cash generation supported the long-term thesis even without a major stock move.
### Verified reaction source
2017-10-25 | The Motley Fool | Texas Instruments, Inc. Beat the Street Again | https://www.fool.com/investing/2017/10/25/texas-instruments-inc-beat-the-street-again.aspx
## Verification Status
Included sources were checked for Texas Instruments/TXN identity, the correct earnings event or directly relevant same-window catalyst, publication date, timing window and source origin. Texas Instruments Investor Relations is the factual anchor. No WSJ, Reuters, Dow Jones or MarketWatch-syndicated article is included. Attribution strength: **EXPLICIT**.
</x:v>
      </x:c>
      <x:c r="N8" s="15" t="str">
        <x:v>2017-07-25 | Texas Instruments | TI reports 2Q17 financial results and shareholder returns | https://investor.ti.com/news-releases/news-release-details/ti-reports-2q17-financial-results-and-shareholder-returns</x:v>
      </x:c>
      <x:c r="O8" s="15" t="str">
        <x:v>2017-10-24 | Texas Instruments | TI reports 3Q17 financial results and shareholder returns | https://investor.ti.com/node/24401</x:v>
      </x:c>
      <x:c r="P8" s="15" t="str">
        <x:v>2017-10-25 | The Motley Fool | Texas Instruments, Inc. Beat the Street Again | https://www.fool.com/investing/2017/10/25/texas-instruments-inc-beat-the-street-again.aspx</x:v>
      </x:c>
      <x:c r="Q8" s="15" t="str">
        <x:v>2017-07-25 | Texas Instruments | TI reports 2Q17 financial results and shareholder returns | https://investor.ti.com/news-releases/news-release-details/ti-reports-2q17-financial-results-and-shareholder-returns
2017-10-24 | Texas Instruments | TI reports 3Q17 financial results and shareholder returns | https://investor.ti.com/node/24401
2017-10-25 | The Motley Fool | Texas Instruments, Inc. Beat the Street Again | https://www.fool.com/investing/2017/10/25/texas-instruments-inc-beat-the-street-again.aspx</x:v>
      </x:c>
      <x:c r="R8" s="15" t="n">
        <x:v>3</x:v>
      </x:c>
      <x:c r="S8" s="15" t="str">
        <x:v>PASS</x:v>
      </x:c>
    </x:row>
    <x:row r="9" ht="340" customHeight="1">
      <x:c r="A9" s="15" t="n">
        <x:v>7</x:v>
      </x:c>
      <x:c r="B9" s="15" t="str">
        <x:v>TXN</x:v>
      </x:c>
      <x:c r="C9" s="15" t="str">
        <x:v>Texas Instruments</x:v>
      </x:c>
      <x:c r="D9" s="15" t="str">
        <x:v>2018q1</x:v>
      </x:c>
      <x:c r="E9" s="15" t="str">
        <x:v>2018-01-23</x:v>
      </x:c>
      <x:c r="F9" s="18" t="n">
        <x:v>0.11</x:v>
      </x:c>
      <x:c r="G9" s="18" t="n">
        <x:v>-8.41</x:v>
      </x:c>
      <x:c r="H9" s="18" t="n">
        <x:v>-8.3</x:v>
      </x:c>
      <x:c r="I9" s="18" t="n">
        <x:v>-6.95</x:v>
      </x:c>
      <x:c r="J9" s="18" t="n">
        <x:v>-4.51</x:v>
      </x:c>
      <x:c r="K9" s="15" t="str">
        <x:v>ret_1daypost_pct</x:v>
      </x:c>
      <x:c r="L9" s="15" t="str">
        <x:v>DOWN</x:v>
      </x:c>
      <x:c r="M9" s="15" t="str">
        <x:v>## Prior Context
After a very strong 2017, TXN entered the quarter at a high valuation and investors were alert to any sign that the semiconductor cycle was peaking.
### Verified prior source
2017-10-24 | Texas Instruments | TI reports 3Q17 financial results and shareholder returns | https://investor.ti.com/node/24401
## Current Earnings Release
Q4 revenue increased **10% to $3.75 billion**. Reported EPS was only **$0.34** because the new U.S. tax law created **$0.75 per share of tax-related expense**; excluding that transition charge, the operating quarter remained strong. Analog revenue grew **11%**, Embedded Processing **20%**, and margins expanded.
The key negative was the **Q1 revenue outlook**, which the market viewed as modest relative to expectations. Contemporaneous coverage explicitly cited disappointment with the current-quarter revenue forecast as the reason for the sharp selloff.
### Verified release source
2018-01-23 | Texas Instruments | TI reports 4Q17 and 2017 financial results and shareholder returns | https://investor.ti.com/news-releases/news-release-details/ti-reports-4q17-and-2017-financial-results-and-shareholder
## Possible Drivers
**First-order driver.** The 8%+ decline was driven by a modest Q1 revenue outlook, not by the one-time tax charge.
**Second-order driver.** The stock had already priced in a prolonged semiconductor upcycle, making guidance sensitivity unusually high.
**Third-order driver.** Analog and Embedded Processing fundamentals were still strong, which is why the selloff was primarily forward-looking.
### Verified reaction source
2018-01-24 | The Journal Record | Technology stocks sink, pulling indexes lower; dollar falls | https://journalrecord.com/2018/01/24/technology-stocks-sink-pulling-indexes-lower-dollar-falls/
## Verification Status
Included sources were checked for Texas Instruments/TXN identity, the correct earnings event or directly relevant same-window catalyst, publication date, timing window and source origin. Texas Instruments Investor Relations is the factual anchor. No WSJ, Reuters, Dow Jones or MarketWatch-syndicated article is included. Attribution strength: **EXPLICIT**.
</x:v>
      </x:c>
      <x:c r="N9" s="15" t="str">
        <x:v>2017-10-24 | Texas Instruments | TI reports 3Q17 financial results and shareholder returns | https://investor.ti.com/node/24401</x:v>
      </x:c>
      <x:c r="O9" s="15" t="str">
        <x:v>2018-01-23 | Texas Instruments | TI reports 4Q17 and 2017 financial results and shareholder returns | https://investor.ti.com/news-releases/news-release-details/ti-reports-4q17-and-2017-financial-results-and-shareholder</x:v>
      </x:c>
      <x:c r="P9" s="15" t="str">
        <x:v>2018-01-24 | The Journal Record | Technology stocks sink, pulling indexes lower; dollar falls | https://journalrecord.com/2018/01/24/technology-stocks-sink-pulling-indexes-lower-dollar-falls/</x:v>
      </x:c>
      <x:c r="Q9" s="15" t="str">
        <x:v>2017-10-24 | Texas Instruments | TI reports 3Q17 financial results and shareholder returns | https://investor.ti.com/node/24401
2018-01-23 | Texas Instruments | TI reports 4Q17 and 2017 financial results and shareholder returns | https://investor.ti.com/news-releases/news-release-details/ti-reports-4q17-and-2017-financial-results-and-shareholder
2018-01-24 | The Journal Record | Technology stocks sink, pulling indexes lower; dollar falls | https://journalrecord.com/2018/01/24/technology-stocks-sink-pulling-indexes-lower-dollar-falls/</x:v>
      </x:c>
      <x:c r="R9" s="15" t="n">
        <x:v>3</x:v>
      </x:c>
      <x:c r="S9" s="15" t="str">
        <x:v>PASS</x:v>
      </x:c>
    </x:row>
    <x:row r="10" ht="340" customHeight="1">
      <x:c r="A10" s="15" t="n">
        <x:v>8</x:v>
      </x:c>
      <x:c r="B10" s="15" t="str">
        <x:v>TXN</x:v>
      </x:c>
      <x:c r="C10" s="15" t="str">
        <x:v>Texas Instruments</x:v>
      </x:c>
      <x:c r="D10" s="15" t="str">
        <x:v>2018q2</x:v>
      </x:c>
      <x:c r="E10" s="15" t="str">
        <x:v>2018-04-24</x:v>
      </x:c>
      <x:c r="F10" s="18" t="n">
        <x:v>1.47</x:v>
      </x:c>
      <x:c r="G10" s="18" t="n">
        <x:v>4.58</x:v>
      </x:c>
      <x:c r="H10" s="18" t="n">
        <x:v>6.12</x:v>
      </x:c>
      <x:c r="I10" s="18" t="n">
        <x:v>4.18</x:v>
      </x:c>
      <x:c r="J10" s="18" t="n">
        <x:v>2.67</x:v>
      </x:c>
      <x:c r="K10" s="15" t="str">
        <x:v>ret_1daypost_pct</x:v>
      </x:c>
      <x:c r="L10" s="15" t="str">
        <x:v>UP</x:v>
      </x:c>
      <x:c r="M10" s="15" t="str">
        <x:v>## Prior Context
January’s selloff had introduced fears that the semiconductor cycle was rolling over. Q1 therefore became a direct test of whether industrial and automotive demand was still expanding.
### Verified prior source
2018-01-23 | Texas Instruments | TI reports 4Q17 and 2017 financial results and shareholder returns | https://investor.ti.com/news-releases/news-release-details/ti-reports-4q17-and-2017-financial-results-and-shareholder
## Current Earnings Release
Q1 revenue increased **11% to $3.79 billion**, while EPS reached **$1.35**, including $0.14 of tax benefits outside the original guide. Both exceeded consensus. Industrial and automotive demand remained strong across Analog and Embedded Processing.
The most important information was the Q2 outlook: revenue of **$3.78–$4.10 billion** and EPS of **$1.19–$1.39** were better than feared. Trailing-twelve-month free cash flow also rose **17% to $4.9 billion**, or 32.1% of revenue.
### Verified release source
2018-04-24 | Texas Instruments | TI reports 1Q18 financial results and shareholder returns | https://investor.ti.com/news-releases/news-release-details/ti-reports-1q18-financial-results-and-shareholder-returns
## Possible Drivers
**First-order driver.** Shares jumped because the Q2 outlook directly contradicted fears of an imminent semiconductor slowdown.
**Second-order driver.** Industrial and automotive demand remained broad and resilient.
**Third-order driver.** Strong free-cash-flow growth reinforced the quality of the earnings beat.
### Verified reaction source
2018-04-25 | Dallas Morning News | Texas Instruments' rosy outlook diffuses fears of tech slowdown | https://www.dallasnews.com/business/technology/2018/04/25/texas-instruments-rosy-outlook-diffuses-fears-of-tech-slowdown/
## Verification Status
Included sources were checked for Texas Instruments/TXN identity, the correct earnings event or directly relevant same-window catalyst, publication date, timing window and source origin. Texas Instruments Investor Relations is the factual anchor. No WSJ, Reuters, Dow Jones or MarketWatch-syndicated article is included. Attribution strength: **EXPLICIT**.
</x:v>
      </x:c>
      <x:c r="N10" s="15" t="str">
        <x:v>2018-01-23 | Texas Instruments | TI reports 4Q17 and 2017 financial results and shareholder returns | https://investor.ti.com/news-releases/news-release-details/ti-reports-4q17-and-2017-financial-results-and-shareholder</x:v>
      </x:c>
      <x:c r="O10" s="15" t="str">
        <x:v>2018-04-24 | Texas Instruments | TI reports 1Q18 financial results and shareholder returns | https://investor.ti.com/news-releases/news-release-details/ti-reports-1q18-financial-results-and-shareholder-returns</x:v>
      </x:c>
      <x:c r="P10" s="15" t="str">
        <x:v>2018-04-25 | Dallas Morning News | Texas Instruments' rosy outlook diffuses fears of tech slowdown | https://www.dallasnews.com/business/technology/2018/04/25/texas-instruments-rosy-outlook-diffuses-fears-of-tech-slowdown/</x:v>
      </x:c>
      <x:c r="Q10" s="15" t="str">
        <x:v>2018-01-23 | Texas Instruments | TI reports 4Q17 and 2017 financial results and shareholder returns | https://investor.ti.com/news-releases/news-release-details/ti-reports-4q17-and-2017-financial-results-and-shareholder
2018-04-24 | Texas Instruments | TI reports 1Q18 financial results and shareholder returns | https://investor.ti.com/news-releases/news-release-details/ti-reports-1q18-financial-results-and-shareholder-returns
2018-04-25 | Dallas Morning News | Texas Instruments' rosy outlook diffuses fears of tech slowdown | https://www.dallasnews.com/business/technology/2018/04/25/texas-instruments-rosy-outlook-diffuses-fears-of-tech-slowdown/</x:v>
      </x:c>
      <x:c r="R10" s="15" t="n">
        <x:v>3</x:v>
      </x:c>
      <x:c r="S10" s="15" t="str">
        <x:v>PASS</x:v>
      </x:c>
    </x:row>
    <x:row r="11" ht="340" customHeight="1">
      <x:c r="A11" s="15" t="n">
        <x:v>9</x:v>
      </x:c>
      <x:c r="B11" s="15" t="str">
        <x:v>TXN</x:v>
      </x:c>
      <x:c r="C11" s="15" t="str">
        <x:v>Texas Instruments</x:v>
      </x:c>
      <x:c r="D11" s="15" t="str">
        <x:v>2018q3</x:v>
      </x:c>
      <x:c r="E11" s="15" t="str">
        <x:v>2018-07-24</x:v>
      </x:c>
      <x:c r="F11" s="18" t="n">
        <x:v>-0.96</x:v>
      </x:c>
      <x:c r="G11" s="18" t="n">
        <x:v>-1.34</x:v>
      </x:c>
      <x:c r="H11" s="18" t="n">
        <x:v>-2.28</x:v>
      </x:c>
      <x:c r="I11" s="18" t="n">
        <x:v>-2.66</x:v>
      </x:c>
      <x:c r="J11" s="18" t="n">
        <x:v>-2.3</x:v>
      </x:c>
      <x:c r="K11" s="15" t="str">
        <x:v>ret_1daypost_pct</x:v>
      </x:c>
      <x:c r="L11" s="15" t="str">
        <x:v>DOWN</x:v>
      </x:c>
      <x:c r="M11" s="15" t="str">
        <x:v>## Prior Context
A week before earnings, newly appointed CEO Brian Crutcher resigned for code-of-conduct violations and Rich Templeton reassumed the CEO role. TI simultaneously preannounced the quarter, removing much of the numerical surprise before the formal release.
### Verified prior source
2018-04-24 | Texas Instruments | TI reports 1Q18 financial results and shareholder returns | https://investor.ti.com/news-releases/news-release-details/ti-reports-1q18-financial-results-and-shareholder-returns
2018-07-17 | Texas Instruments | Rich Templeton to reassume President and CEO roles; Brian Crutcher resigned as CEO | https://investor.ti.com/investor-news?df278d998f97c55fab455026d61c0400b10674de32641ccd219550fdefb18e62_year%5Bvalue%5D=2018
## Current Earnings Release
Q2 revenue increased **9% to $4.02 billion** and EPS reached **$1.40**, including a $0.03 discrete tax benefit. Industrial and automotive demand remained strong, while Analog and Embedded Processing continued to generate high margins. Trailing-twelve-month free cash flow climbed to **$5.7 billion**, or **36.6% of revenue**.
Management guided Q3 revenue and EPS roughly in line with expectations. Because the headline Q2 numbers had already been disclosed with the CEO-change announcement, the formal print contained little incremental upside surprise. The next-day decline was modest rather than a major earnings rejection.
### Verified release source
2018-07-24 | Texas Instruments | TI reports 2Q18 financial results and shareholder returns | https://investor.ti.com/news-releases/news-release-details/ti-reports-2q18-financial-results-and-shareholder-returns
## Possible Drivers
**First-order driver.** The modest decline followed an essentially in-line outlook after the quarter had already been preannounced.
**Second-order driver.** The sudden CEO reversal remained a governance overhang even though operations were stable.
**Third-order driver.** Industrial, automotive and free-cash-flow trends remained healthy, limiting the downside.
### Verified reaction source
2018-07-25 | TheStreet | Texas Instruments's First Earnings Report After its CEO Change Is Drama-Free | https://www.thestreet.com/investing/texas-instruments-s-first-earnings-report-after-its-ceo-change-is-drama-free-14661059
## Verification Status
Included sources were checked for Texas Instruments/TXN identity, the correct earnings event or directly relevant same-window catalyst, publication date, timing window and source origin. Texas Instruments Investor Relations is the factual anchor. No WSJ, Reuters, Dow Jones or MarketWatch-syndicated article is included. Attribution strength: **SUPPORTED_INFERENCE**.
</x:v>
      </x:c>
      <x:c r="N11" s="15" t="str">
        <x:v>2018-04-24 | Texas Instruments | TI reports 1Q18 financial results and shareholder returns | https://investor.ti.com/news-releases/news-release-details/ti-reports-1q18-financial-results-and-shareholder-returns
2018-07-17 | Texas Instruments | Rich Templeton to reassume President and CEO roles; Brian Crutcher resigned as CEO | https://investor.ti.com/investor-news?df278d998f97c55fab455026d61c0400b10674de32641ccd219550fdefb18e62_year%5Bvalue%5D=2018</x:v>
      </x:c>
      <x:c r="O11" s="15" t="str">
        <x:v>2018-07-24 | Texas Instruments | TI reports 2Q18 financial results and shareholder returns | https://investor.ti.com/news-releases/news-release-details/ti-reports-2q18-financial-results-and-shareholder-returns</x:v>
      </x:c>
      <x:c r="P11" s="15" t="str">
        <x:v>2018-07-25 | TheStreet | Texas Instruments's First Earnings Report After its CEO Change Is Drama-Free | https://www.thestreet.com/investing/texas-instruments-s-first-earnings-report-after-its-ceo-change-is-drama-free-14661059</x:v>
      </x:c>
      <x:c r="Q11" s="15" t="str">
        <x:v>2018-04-24 | Texas Instruments | TI reports 1Q18 financial results and shareholder returns | https://investor.ti.com/news-releases/news-release-details/ti-reports-1q18-financial-results-and-shareholder-returns
2018-07-17 | Texas Instruments | Rich Templeton to reassume President and CEO roles; Brian Crutcher resigned as CEO | https://investor.ti.com/investor-news?df278d998f97c55fab455026d61c0400b10674de32641ccd219550fdefb18e62_year%5Bvalue%5D=2018
2018-07-24 | Texas Instruments | TI reports 2Q18 financial results and shareholder returns | https://investor.ti.com/news-releases/news-release-details/ti-reports-2q18-financial-results-and-shareholder-returns
2018-07-25 | TheStreet | Texas Instruments's First Earnings Report After its CEO Change Is Drama-Free | https://www.thestreet.com/investing/texas-instruments-s-first-earnings-report-after-its-ceo-change-is-drama-free-14661059</x:v>
      </x:c>
      <x:c r="R11" s="15" t="n">
        <x:v>4</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4" hidden="0" customWidth="1"/>
    <x:col min="7" max="7" width="66" hidden="0" customWidth="1"/>
    <x:col min="8" max="8" width="95" hidden="0" customWidth="1"/>
    <x:col min="9" max="9" width="16"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8"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2016-04-27</x:v>
      </x:c>
      <x:c r="B2" s="12" t="str">
        <x:v>TXN</x:v>
      </x:c>
      <x:c r="C2" s="12" t="str">
        <x:v>prior</x:v>
      </x:c>
      <x:c r="D2" s="12" t="str">
        <x:v>2016-01-27</x:v>
      </x:c>
      <x:c r="E2" s="12" t="n">
        <x:v>-91</x:v>
      </x:c>
      <x:c r="F2" s="12" t="str">
        <x:v>Texas Instruments</x:v>
      </x:c>
      <x:c r="G2" s="12" t="str">
        <x:v>TI reports 4Q15 and 2015 financial results and shareholder returns</x:v>
      </x:c>
      <x:c r="H2" s="12" t="str">
        <x:v>https://investor.ti.com/news-releases/news-release-details/ti-reports-4q15-and-2015-financial-results-and-shareholder</x:v>
      </x:c>
      <x:c r="I2" s="12" t="str">
        <x:v>VERIFIED</x:v>
      </x:c>
      <x:c r="J2" s="12" t="str">
        <x:v>PASS</x:v>
      </x:c>
      <x:c r="K2" s="12" t="str">
        <x:v>PASS</x:v>
      </x:c>
      <x:c r="L2" s="12" t="str">
        <x:v>PASS</x:v>
      </x:c>
      <x:c r="M2" s="12" t="str">
        <x:v>NO</x:v>
      </x:c>
      <x:c r="N2" s="12" t="str">
        <x:v>PASS</x:v>
      </x:c>
      <x:c r="O2" s="12" t="str">
        <x:v>FACTUAL</x:v>
      </x:c>
      <x:c r="P2" s="12" t="str">
        <x:v>PASS</x:v>
      </x:c>
      <x:c r="Q2" s="12" t="str">
        <x:v>Checked against TXN/Texas Instruments, exact event or directly relevant catalyst, displayed publication date, timing window and prohibited-source restrictions.</x:v>
      </x:c>
    </x:row>
    <x:row r="3">
      <x:c r="A3" s="12" t="str">
        <x:v>2016-04-27</x:v>
      </x:c>
      <x:c r="B3" s="12" t="str">
        <x:v>TXN</x:v>
      </x:c>
      <x:c r="C3" s="12" t="str">
        <x:v>release</x:v>
      </x:c>
      <x:c r="D3" s="12" t="str">
        <x:v>2016-04-27</x:v>
      </x:c>
      <x:c r="E3" s="12" t="n">
        <x:v>0</x:v>
      </x:c>
      <x:c r="F3" s="12" t="str">
        <x:v>Texas Instruments</x:v>
      </x:c>
      <x:c r="G3" s="12" t="str">
        <x:v>TI reports 1Q16 financial results and shareholder returns</x:v>
      </x:c>
      <x:c r="H3" s="12" t="str">
        <x:v>https://investor.ti.com/news-releases/news-release-details/ti-reports-1q16-financial-results-and-shareholder-returns</x:v>
      </x:c>
      <x:c r="I3" s="12" t="str">
        <x:v>VERIFIED</x:v>
      </x:c>
      <x:c r="J3" s="12" t="str">
        <x:v>PASS</x:v>
      </x:c>
      <x:c r="K3" s="12" t="str">
        <x:v>PASS</x:v>
      </x:c>
      <x:c r="L3" s="12" t="str">
        <x:v>PASS</x:v>
      </x:c>
      <x:c r="M3" s="12" t="str">
        <x:v>NO</x:v>
      </x:c>
      <x:c r="N3" s="12" t="str">
        <x:v>PASS</x:v>
      </x:c>
      <x:c r="O3" s="12" t="str">
        <x:v>FACTUAL</x:v>
      </x:c>
      <x:c r="P3" s="12" t="str">
        <x:v>PASS</x:v>
      </x:c>
      <x:c r="Q3" s="12" t="str">
        <x:v>Checked against TXN/Texas Instruments, exact event or directly relevant catalyst, displayed publication date, timing window and prohibited-source restrictions.</x:v>
      </x:c>
    </x:row>
    <x:row r="4">
      <x:c r="A4" s="12" t="str">
        <x:v>2016-07-25</x:v>
      </x:c>
      <x:c r="B4" s="12" t="str">
        <x:v>TXN</x:v>
      </x:c>
      <x:c r="C4" s="12" t="str">
        <x:v>prior</x:v>
      </x:c>
      <x:c r="D4" s="12" t="str">
        <x:v>2016-04-27</x:v>
      </x:c>
      <x:c r="E4" s="12" t="n">
        <x:v>-89</x:v>
      </x:c>
      <x:c r="F4" s="12" t="str">
        <x:v>Texas Instruments</x:v>
      </x:c>
      <x:c r="G4" s="12" t="str">
        <x:v>TI reports 1Q16 financial results and shareholder returns</x:v>
      </x:c>
      <x:c r="H4" s="12" t="str">
        <x:v>https://investor.ti.com/news-releases/news-release-details/ti-reports-1q16-financial-results-and-shareholder-returns</x:v>
      </x:c>
      <x:c r="I4" s="12" t="str">
        <x:v>VERIFIED</x:v>
      </x:c>
      <x:c r="J4" s="12" t="str">
        <x:v>PASS</x:v>
      </x:c>
      <x:c r="K4" s="12" t="str">
        <x:v>PASS</x:v>
      </x:c>
      <x:c r="L4" s="12" t="str">
        <x:v>PASS</x:v>
      </x:c>
      <x:c r="M4" s="12" t="str">
        <x:v>NO</x:v>
      </x:c>
      <x:c r="N4" s="12" t="str">
        <x:v>PASS</x:v>
      </x:c>
      <x:c r="O4" s="12" t="str">
        <x:v>FACTUAL</x:v>
      </x:c>
      <x:c r="P4" s="12" t="str">
        <x:v>PASS</x:v>
      </x:c>
      <x:c r="Q4" s="12" t="str">
        <x:v>Checked against TXN/Texas Instruments, exact event or directly relevant catalyst, displayed publication date, timing window and prohibited-source restrictions.</x:v>
      </x:c>
    </x:row>
    <x:row r="5">
      <x:c r="A5" s="12" t="str">
        <x:v>2016-07-25</x:v>
      </x:c>
      <x:c r="B5" s="12" t="str">
        <x:v>TXN</x:v>
      </x:c>
      <x:c r="C5" s="12" t="str">
        <x:v>release</x:v>
      </x:c>
      <x:c r="D5" s="12" t="str">
        <x:v>2016-07-25</x:v>
      </x:c>
      <x:c r="E5" s="12" t="n">
        <x:v>0</x:v>
      </x:c>
      <x:c r="F5" s="12" t="str">
        <x:v>Texas Instruments</x:v>
      </x:c>
      <x:c r="G5" s="12" t="str">
        <x:v>TI reports 2Q16 financial results and shareholder returns</x:v>
      </x:c>
      <x:c r="H5" s="12" t="str">
        <x:v>https://investor.ti.com/news-releases/news-release-details/ti-reports-2q16-financial-results-and-shareholder-returns</x:v>
      </x:c>
      <x:c r="I5" s="12" t="str">
        <x:v>VERIFIED</x:v>
      </x:c>
      <x:c r="J5" s="12" t="str">
        <x:v>PASS</x:v>
      </x:c>
      <x:c r="K5" s="12" t="str">
        <x:v>PASS</x:v>
      </x:c>
      <x:c r="L5" s="12" t="str">
        <x:v>PASS</x:v>
      </x:c>
      <x:c r="M5" s="12" t="str">
        <x:v>NO</x:v>
      </x:c>
      <x:c r="N5" s="12" t="str">
        <x:v>PASS</x:v>
      </x:c>
      <x:c r="O5" s="12" t="str">
        <x:v>FACTUAL</x:v>
      </x:c>
      <x:c r="P5" s="12" t="str">
        <x:v>PASS</x:v>
      </x:c>
      <x:c r="Q5" s="12" t="str">
        <x:v>Checked against TXN/Texas Instruments, exact event or directly relevant catalyst, displayed publication date, timing window and prohibited-source restrictions.</x:v>
      </x:c>
    </x:row>
    <x:row r="6">
      <x:c r="A6" s="12" t="str">
        <x:v>2016-07-25</x:v>
      </x:c>
      <x:c r="B6" s="12" t="str">
        <x:v>TXN</x:v>
      </x:c>
      <x:c r="C6" s="12" t="str">
        <x:v>reaction</x:v>
      </x:c>
      <x:c r="D6" s="12" t="str">
        <x:v>2016-07-26</x:v>
      </x:c>
      <x:c r="E6" s="12" t="n">
        <x:v>1</x:v>
      </x:c>
      <x:c r="F6" s="12" t="str">
        <x:v>TheStreet</x:v>
      </x:c>
      <x:c r="G6" s="12" t="str">
        <x:v>Texas Instruments (TXN) Stock Soars After Q2 Beat</x:v>
      </x:c>
      <x:c r="H6" s="12" t="str">
        <x:v>https://www.thestreet.com/markets/texas-instruments-txn-stock-soars-after-q2-beat-13652304</x:v>
      </x:c>
      <x:c r="I6" s="12" t="str">
        <x:v>VERIFIED</x:v>
      </x:c>
      <x:c r="J6" s="12" t="str">
        <x:v>PASS</x:v>
      </x:c>
      <x:c r="K6" s="12" t="str">
        <x:v>PASS</x:v>
      </x:c>
      <x:c r="L6" s="12" t="str">
        <x:v>PASS</x:v>
      </x:c>
      <x:c r="M6" s="12" t="str">
        <x:v>NO</x:v>
      </x:c>
      <x:c r="N6" s="12" t="str">
        <x:v>PASS</x:v>
      </x:c>
      <x:c r="O6" s="12" t="str">
        <x:v>EXPLICIT</x:v>
      </x:c>
      <x:c r="P6" s="12" t="str">
        <x:v>PASS</x:v>
      </x:c>
      <x:c r="Q6" s="12" t="str">
        <x:v>Checked against TXN/Texas Instruments, exact event or directly relevant catalyst, displayed publication date, timing window and prohibited-source restrictions.</x:v>
      </x:c>
    </x:row>
    <x:row r="7">
      <x:c r="A7" s="12" t="str">
        <x:v>2016-10-26</x:v>
      </x:c>
      <x:c r="B7" s="12" t="str">
        <x:v>TXN</x:v>
      </x:c>
      <x:c r="C7" s="12" t="str">
        <x:v>prior</x:v>
      </x:c>
      <x:c r="D7" s="12" t="str">
        <x:v>2016-07-25</x:v>
      </x:c>
      <x:c r="E7" s="12" t="n">
        <x:v>-93</x:v>
      </x:c>
      <x:c r="F7" s="12" t="str">
        <x:v>Texas Instruments</x:v>
      </x:c>
      <x:c r="G7" s="12" t="str">
        <x:v>TI reports 2Q16 financial results and shareholder returns</x:v>
      </x:c>
      <x:c r="H7" s="12" t="str">
        <x:v>https://investor.ti.com/news-releases/news-release-details/ti-reports-2q16-financial-results-and-shareholder-returns</x:v>
      </x:c>
      <x:c r="I7" s="12" t="str">
        <x:v>VERIFIED</x:v>
      </x:c>
      <x:c r="J7" s="12" t="str">
        <x:v>PASS</x:v>
      </x:c>
      <x:c r="K7" s="12" t="str">
        <x:v>PASS</x:v>
      </x:c>
      <x:c r="L7" s="12" t="str">
        <x:v>PASS</x:v>
      </x:c>
      <x:c r="M7" s="12" t="str">
        <x:v>NO</x:v>
      </x:c>
      <x:c r="N7" s="12" t="str">
        <x:v>PASS</x:v>
      </x:c>
      <x:c r="O7" s="12" t="str">
        <x:v>FACTUAL</x:v>
      </x:c>
      <x:c r="P7" s="12" t="str">
        <x:v>PASS</x:v>
      </x:c>
      <x:c r="Q7" s="12" t="str">
        <x:v>Checked against TXN/Texas Instruments, exact event or directly relevant catalyst, displayed publication date, timing window and prohibited-source restrictions.</x:v>
      </x:c>
    </x:row>
    <x:row r="8">
      <x:c r="A8" s="12" t="str">
        <x:v>2016-10-26</x:v>
      </x:c>
      <x:c r="B8" s="12" t="str">
        <x:v>TXN</x:v>
      </x:c>
      <x:c r="C8" s="12" t="str">
        <x:v>release</x:v>
      </x:c>
      <x:c r="D8" s="12" t="str">
        <x:v>2016-10-26</x:v>
      </x:c>
      <x:c r="E8" s="12" t="n">
        <x:v>0</x:v>
      </x:c>
      <x:c r="F8" s="12" t="str">
        <x:v>Texas Instruments</x:v>
      </x:c>
      <x:c r="G8" s="12" t="str">
        <x:v>TI reports 3Q16 financial results and shareholder returns, including 32% dividend increase</x:v>
      </x:c>
      <x:c r="H8" s="12" t="str">
        <x:v>https://investor.ti.com/news-releases/news-release-details/ti-reports-3q16-financial-results-and-shareholder-returns</x:v>
      </x:c>
      <x:c r="I8" s="12" t="str">
        <x:v>VERIFIED</x:v>
      </x:c>
      <x:c r="J8" s="12" t="str">
        <x:v>PASS</x:v>
      </x:c>
      <x:c r="K8" s="12" t="str">
        <x:v>PASS</x:v>
      </x:c>
      <x:c r="L8" s="12" t="str">
        <x:v>PASS</x:v>
      </x:c>
      <x:c r="M8" s="12" t="str">
        <x:v>NO</x:v>
      </x:c>
      <x:c r="N8" s="12" t="str">
        <x:v>PASS</x:v>
      </x:c>
      <x:c r="O8" s="12" t="str">
        <x:v>FACTUAL</x:v>
      </x:c>
      <x:c r="P8" s="12" t="str">
        <x:v>PASS</x:v>
      </x:c>
      <x:c r="Q8" s="12" t="str">
        <x:v>Checked against TXN/Texas Instruments, exact event or directly relevant catalyst, displayed publication date, timing window and prohibited-source restrictions.</x:v>
      </x:c>
    </x:row>
    <x:row r="9">
      <x:c r="A9" s="12" t="str">
        <x:v>2016-10-26</x:v>
      </x:c>
      <x:c r="B9" s="12" t="str">
        <x:v>TXN</x:v>
      </x:c>
      <x:c r="C9" s="12" t="str">
        <x:v>reaction</x:v>
      </x:c>
      <x:c r="D9" s="12" t="str">
        <x:v>2016-10-26</x:v>
      </x:c>
      <x:c r="E9" s="12" t="n">
        <x:v>0</x:v>
      </x:c>
      <x:c r="F9" s="12" t="str">
        <x:v>TheStreet</x:v>
      </x:c>
      <x:c r="G9" s="12" t="str">
        <x:v>How Will Texas Instruments (TXN) Stock React to Q3 Beat?</x:v>
      </x:c>
      <x:c r="H9" s="12" t="str">
        <x:v>https://www.thestreet.com/markets/how-will-texas-instruments-txn-stock-react-to-q3-beat-13868838</x:v>
      </x:c>
      <x:c r="I9" s="12" t="str">
        <x:v>VERIFIED</x:v>
      </x:c>
      <x:c r="J9" s="12" t="str">
        <x:v>PASS</x:v>
      </x:c>
      <x:c r="K9" s="12" t="str">
        <x:v>PASS</x:v>
      </x:c>
      <x:c r="L9" s="12" t="str">
        <x:v>PASS</x:v>
      </x:c>
      <x:c r="M9" s="12" t="str">
        <x:v>NO</x:v>
      </x:c>
      <x:c r="N9" s="12" t="str">
        <x:v>PASS</x:v>
      </x:c>
      <x:c r="O9" s="12" t="str">
        <x:v>EXPLICIT</x:v>
      </x:c>
      <x:c r="P9" s="12" t="str">
        <x:v>PASS</x:v>
      </x:c>
      <x:c r="Q9" s="12" t="str">
        <x:v>Checked against TXN/Texas Instruments, exact event or directly relevant catalyst, displayed publication date, timing window and prohibited-source restrictions.</x:v>
      </x:c>
    </x:row>
    <x:row r="10">
      <x:c r="A10" s="12" t="str">
        <x:v>2017-01-24</x:v>
      </x:c>
      <x:c r="B10" s="12" t="str">
        <x:v>TXN</x:v>
      </x:c>
      <x:c r="C10" s="12" t="str">
        <x:v>prior</x:v>
      </x:c>
      <x:c r="D10" s="12" t="str">
        <x:v>2016-10-26</x:v>
      </x:c>
      <x:c r="E10" s="12" t="n">
        <x:v>-90</x:v>
      </x:c>
      <x:c r="F10" s="12" t="str">
        <x:v>Texas Instruments</x:v>
      </x:c>
      <x:c r="G10" s="12" t="str">
        <x:v>TI reports 3Q16 financial results and shareholder returns, including 32% dividend increase</x:v>
      </x:c>
      <x:c r="H10" s="12" t="str">
        <x:v>https://investor.ti.com/news-releases/news-release-details/ti-reports-3q16-financial-results-and-shareholder-returns</x:v>
      </x:c>
      <x:c r="I10" s="12" t="str">
        <x:v>VERIFIED</x:v>
      </x:c>
      <x:c r="J10" s="12" t="str">
        <x:v>PASS</x:v>
      </x:c>
      <x:c r="K10" s="12" t="str">
        <x:v>PASS</x:v>
      </x:c>
      <x:c r="L10" s="12" t="str">
        <x:v>PASS</x:v>
      </x:c>
      <x:c r="M10" s="12" t="str">
        <x:v>NO</x:v>
      </x:c>
      <x:c r="N10" s="12" t="str">
        <x:v>PASS</x:v>
      </x:c>
      <x:c r="O10" s="12" t="str">
        <x:v>FACTUAL</x:v>
      </x:c>
      <x:c r="P10" s="12" t="str">
        <x:v>PASS</x:v>
      </x:c>
      <x:c r="Q10" s="12" t="str">
        <x:v>Checked against TXN/Texas Instruments, exact event or directly relevant catalyst, displayed publication date, timing window and prohibited-source restrictions.</x:v>
      </x:c>
    </x:row>
    <x:row r="11">
      <x:c r="A11" s="12" t="str">
        <x:v>2017-01-24</x:v>
      </x:c>
      <x:c r="B11" s="12" t="str">
        <x:v>TXN</x:v>
      </x:c>
      <x:c r="C11" s="12" t="str">
        <x:v>release</x:v>
      </x:c>
      <x:c r="D11" s="12" t="str">
        <x:v>2017-01-24</x:v>
      </x:c>
      <x:c r="E11" s="12" t="n">
        <x:v>0</x:v>
      </x:c>
      <x:c r="F11" s="12" t="str">
        <x:v>Texas Instruments</x:v>
      </x:c>
      <x:c r="G11" s="12" t="str">
        <x:v>TI reports 4Q16 and 2016 financial results and shareholder returns</x:v>
      </x:c>
      <x:c r="H11" s="12" t="str">
        <x:v>https://investor.ti.com/news-releases/news-release-details/ti-reports-4q16-and-2016-financial-results-and-shareholder</x:v>
      </x:c>
      <x:c r="I11" s="12" t="str">
        <x:v>VERIFIED</x:v>
      </x:c>
      <x:c r="J11" s="12" t="str">
        <x:v>PASS</x:v>
      </x:c>
      <x:c r="K11" s="12" t="str">
        <x:v>PASS</x:v>
      </x:c>
      <x:c r="L11" s="12" t="str">
        <x:v>PASS</x:v>
      </x:c>
      <x:c r="M11" s="12" t="str">
        <x:v>NO</x:v>
      </x:c>
      <x:c r="N11" s="12" t="str">
        <x:v>PASS</x:v>
      </x:c>
      <x:c r="O11" s="12" t="str">
        <x:v>FACTUAL</x:v>
      </x:c>
      <x:c r="P11" s="12" t="str">
        <x:v>PASS</x:v>
      </x:c>
      <x:c r="Q11" s="12" t="str">
        <x:v>Checked against TXN/Texas Instruments, exact event or directly relevant catalyst, displayed publication date, timing window and prohibited-source restrictions.</x:v>
      </x:c>
    </x:row>
    <x:row r="12">
      <x:c r="A12" s="12" t="str">
        <x:v>2017-01-24</x:v>
      </x:c>
      <x:c r="B12" s="12" t="str">
        <x:v>TXN</x:v>
      </x:c>
      <x:c r="C12" s="12" t="str">
        <x:v>reaction</x:v>
      </x:c>
      <x:c r="D12" s="12" t="str">
        <x:v>2017-01-25</x:v>
      </x:c>
      <x:c r="E12" s="12" t="n">
        <x:v>1</x:v>
      </x:c>
      <x:c r="F12" s="12" t="str">
        <x:v>TheStreet</x:v>
      </x:c>
      <x:c r="G12" s="12" t="str">
        <x:v>Dow Sets New Record After Smashing Through 20,000 Milestone</x:v>
      </x:c>
      <x:c r="H12" s="12" t="str">
        <x:v>https://www.thestreet.com/investing/dow-sets-new-record-high-after-smashing-through-20-000-milestone-13966798</x:v>
      </x:c>
      <x:c r="I12" s="12" t="str">
        <x:v>VERIFIED</x:v>
      </x:c>
      <x:c r="J12" s="12" t="str">
        <x:v>PASS</x:v>
      </x:c>
      <x:c r="K12" s="12" t="str">
        <x:v>PASS</x:v>
      </x:c>
      <x:c r="L12" s="12" t="str">
        <x:v>PASS</x:v>
      </x:c>
      <x:c r="M12" s="12" t="str">
        <x:v>NO</x:v>
      </x:c>
      <x:c r="N12" s="12" t="str">
        <x:v>PASS</x:v>
      </x:c>
      <x:c r="O12" s="12" t="str">
        <x:v>EXPLICIT</x:v>
      </x:c>
      <x:c r="P12" s="12" t="str">
        <x:v>PASS</x:v>
      </x:c>
      <x:c r="Q12" s="12" t="str">
        <x:v>Checked against TXN/Texas Instruments, exact event or directly relevant catalyst, displayed publication date, timing window and prohibited-source restrictions.</x:v>
      </x:c>
    </x:row>
    <x:row r="13">
      <x:c r="A13" s="12" t="str">
        <x:v>2017-04-25</x:v>
      </x:c>
      <x:c r="B13" s="12" t="str">
        <x:v>TXN</x:v>
      </x:c>
      <x:c r="C13" s="12" t="str">
        <x:v>prior</x:v>
      </x:c>
      <x:c r="D13" s="12" t="str">
        <x:v>2017-01-24</x:v>
      </x:c>
      <x:c r="E13" s="12" t="n">
        <x:v>-91</x:v>
      </x:c>
      <x:c r="F13" s="12" t="str">
        <x:v>Texas Instruments</x:v>
      </x:c>
      <x:c r="G13" s="12" t="str">
        <x:v>TI reports 4Q16 and 2016 financial results and shareholder returns</x:v>
      </x:c>
      <x:c r="H13" s="12" t="str">
        <x:v>https://investor.ti.com/news-releases/news-release-details/ti-reports-4q16-and-2016-financial-results-and-shareholder</x:v>
      </x:c>
      <x:c r="I13" s="12" t="str">
        <x:v>VERIFIED</x:v>
      </x:c>
      <x:c r="J13" s="12" t="str">
        <x:v>PASS</x:v>
      </x:c>
      <x:c r="K13" s="12" t="str">
        <x:v>PASS</x:v>
      </x:c>
      <x:c r="L13" s="12" t="str">
        <x:v>PASS</x:v>
      </x:c>
      <x:c r="M13" s="12" t="str">
        <x:v>NO</x:v>
      </x:c>
      <x:c r="N13" s="12" t="str">
        <x:v>PASS</x:v>
      </x:c>
      <x:c r="O13" s="12" t="str">
        <x:v>FACTUAL</x:v>
      </x:c>
      <x:c r="P13" s="12" t="str">
        <x:v>PASS</x:v>
      </x:c>
      <x:c r="Q13" s="12" t="str">
        <x:v>Checked against TXN/Texas Instruments, exact event or directly relevant catalyst, displayed publication date, timing window and prohibited-source restrictions.</x:v>
      </x:c>
    </x:row>
    <x:row r="14">
      <x:c r="A14" s="12" t="str">
        <x:v>2017-04-25</x:v>
      </x:c>
      <x:c r="B14" s="12" t="str">
        <x:v>TXN</x:v>
      </x:c>
      <x:c r="C14" s="12" t="str">
        <x:v>release</x:v>
      </x:c>
      <x:c r="D14" s="12" t="str">
        <x:v>2017-04-25</x:v>
      </x:c>
      <x:c r="E14" s="12" t="n">
        <x:v>0</x:v>
      </x:c>
      <x:c r="F14" s="12" t="str">
        <x:v>Texas Instruments</x:v>
      </x:c>
      <x:c r="G14" s="12" t="str">
        <x:v>TI reports 1Q17 financial results and shareholder returns</x:v>
      </x:c>
      <x:c r="H14" s="12" t="str">
        <x:v>https://investor.ti.com/news-releases/news-release-details/ti-reports-1q17-financial-results-and-shareholder-returns</x:v>
      </x:c>
      <x:c r="I14" s="12" t="str">
        <x:v>VERIFIED</x:v>
      </x:c>
      <x:c r="J14" s="12" t="str">
        <x:v>PASS</x:v>
      </x:c>
      <x:c r="K14" s="12" t="str">
        <x:v>PASS</x:v>
      </x:c>
      <x:c r="L14" s="12" t="str">
        <x:v>PASS</x:v>
      </x:c>
      <x:c r="M14" s="12" t="str">
        <x:v>NO</x:v>
      </x:c>
      <x:c r="N14" s="12" t="str">
        <x:v>PASS</x:v>
      </x:c>
      <x:c r="O14" s="12" t="str">
        <x:v>FACTUAL</x:v>
      </x:c>
      <x:c r="P14" s="12" t="str">
        <x:v>PASS</x:v>
      </x:c>
      <x:c r="Q14" s="12" t="str">
        <x:v>Checked against TXN/Texas Instruments, exact event or directly relevant catalyst, displayed publication date, timing window and prohibited-source restrictions.</x:v>
      </x:c>
    </x:row>
    <x:row r="15">
      <x:c r="A15" s="12" t="str">
        <x:v>2017-04-25</x:v>
      </x:c>
      <x:c r="B15" s="12" t="str">
        <x:v>TXN</x:v>
      </x:c>
      <x:c r="C15" s="12" t="str">
        <x:v>reaction</x:v>
      </x:c>
      <x:c r="D15" s="12" t="str">
        <x:v>2017-04-26</x:v>
      </x:c>
      <x:c r="E15" s="12" t="n">
        <x:v>1</x:v>
      </x:c>
      <x:c r="F15" s="12" t="str">
        <x:v>Dallas Morning News</x:v>
      </x:c>
      <x:c r="G15" s="12" t="str">
        <x:v>Texas Instruments sees strong demand across industries for chips</x:v>
      </x:c>
      <x:c r="H15" s="12" t="str">
        <x:v>https://www.dallasnews.com/business/local-companies/2017/04/26/texas-instruments-sees-strong-demand-across-industries-for-chips/</x:v>
      </x:c>
      <x:c r="I15" s="12" t="str">
        <x:v>VERIFIED</x:v>
      </x:c>
      <x:c r="J15" s="12" t="str">
        <x:v>PASS</x:v>
      </x:c>
      <x:c r="K15" s="12" t="str">
        <x:v>PASS</x:v>
      </x:c>
      <x:c r="L15" s="12" t="str">
        <x:v>PASS</x:v>
      </x:c>
      <x:c r="M15" s="12" t="str">
        <x:v>NO</x:v>
      </x:c>
      <x:c r="N15" s="12" t="str">
        <x:v>PASS</x:v>
      </x:c>
      <x:c r="O15" s="12" t="str">
        <x:v>SUPPORTED_INFERENCE</x:v>
      </x:c>
      <x:c r="P15" s="12" t="str">
        <x:v>PASS</x:v>
      </x:c>
      <x:c r="Q15" s="12" t="str">
        <x:v>Checked against TXN/Texas Instruments, exact event or directly relevant catalyst, displayed publication date, timing window and prohibited-source restrictions.</x:v>
      </x:c>
    </x:row>
    <x:row r="16">
      <x:c r="A16" s="12" t="str">
        <x:v>2017-07-25</x:v>
      </x:c>
      <x:c r="B16" s="12" t="str">
        <x:v>TXN</x:v>
      </x:c>
      <x:c r="C16" s="12" t="str">
        <x:v>prior</x:v>
      </x:c>
      <x:c r="D16" s="12" t="str">
        <x:v>2017-04-25</x:v>
      </x:c>
      <x:c r="E16" s="12" t="n">
        <x:v>-91</x:v>
      </x:c>
      <x:c r="F16" s="12" t="str">
        <x:v>Texas Instruments</x:v>
      </x:c>
      <x:c r="G16" s="12" t="str">
        <x:v>TI reports 1Q17 financial results and shareholder returns</x:v>
      </x:c>
      <x:c r="H16" s="12" t="str">
        <x:v>https://investor.ti.com/news-releases/news-release-details/ti-reports-1q17-financial-results-and-shareholder-returns</x:v>
      </x:c>
      <x:c r="I16" s="12" t="str">
        <x:v>VERIFIED</x:v>
      </x:c>
      <x:c r="J16" s="12" t="str">
        <x:v>PASS</x:v>
      </x:c>
      <x:c r="K16" s="12" t="str">
        <x:v>PASS</x:v>
      </x:c>
      <x:c r="L16" s="12" t="str">
        <x:v>PASS</x:v>
      </x:c>
      <x:c r="M16" s="12" t="str">
        <x:v>NO</x:v>
      </x:c>
      <x:c r="N16" s="12" t="str">
        <x:v>PASS</x:v>
      </x:c>
      <x:c r="O16" s="12" t="str">
        <x:v>FACTUAL</x:v>
      </x:c>
      <x:c r="P16" s="12" t="str">
        <x:v>PASS</x:v>
      </x:c>
      <x:c r="Q16" s="12" t="str">
        <x:v>Checked against TXN/Texas Instruments, exact event or directly relevant catalyst, displayed publication date, timing window and prohibited-source restrictions.</x:v>
      </x:c>
    </x:row>
    <x:row r="17">
      <x:c r="A17" s="12" t="str">
        <x:v>2017-07-25</x:v>
      </x:c>
      <x:c r="B17" s="12" t="str">
        <x:v>TXN</x:v>
      </x:c>
      <x:c r="C17" s="12" t="str">
        <x:v>release</x:v>
      </x:c>
      <x:c r="D17" s="12" t="str">
        <x:v>2017-07-25</x:v>
      </x:c>
      <x:c r="E17" s="12" t="n">
        <x:v>0</x:v>
      </x:c>
      <x:c r="F17" s="12" t="str">
        <x:v>Texas Instruments</x:v>
      </x:c>
      <x:c r="G17" s="12" t="str">
        <x:v>TI reports 2Q17 financial results and shareholder returns</x:v>
      </x:c>
      <x:c r="H17" s="12" t="str">
        <x:v>https://investor.ti.com/news-releases/news-release-details/ti-reports-2q17-financial-results-and-shareholder-returns</x:v>
      </x:c>
      <x:c r="I17" s="12" t="str">
        <x:v>VERIFIED</x:v>
      </x:c>
      <x:c r="J17" s="12" t="str">
        <x:v>PASS</x:v>
      </x:c>
      <x:c r="K17" s="12" t="str">
        <x:v>PASS</x:v>
      </x:c>
      <x:c r="L17" s="12" t="str">
        <x:v>PASS</x:v>
      </x:c>
      <x:c r="M17" s="12" t="str">
        <x:v>NO</x:v>
      </x:c>
      <x:c r="N17" s="12" t="str">
        <x:v>PASS</x:v>
      </x:c>
      <x:c r="O17" s="12" t="str">
        <x:v>FACTUAL</x:v>
      </x:c>
      <x:c r="P17" s="12" t="str">
        <x:v>PASS</x:v>
      </x:c>
      <x:c r="Q17" s="12" t="str">
        <x:v>Checked against TXN/Texas Instruments, exact event or directly relevant catalyst, displayed publication date, timing window and prohibited-source restrictions.</x:v>
      </x:c>
    </x:row>
    <x:row r="18">
      <x:c r="A18" s="12" t="str">
        <x:v>2017-07-25</x:v>
      </x:c>
      <x:c r="B18" s="12" t="str">
        <x:v>TXN</x:v>
      </x:c>
      <x:c r="C18" s="12" t="str">
        <x:v>reaction</x:v>
      </x:c>
      <x:c r="D18" s="12" t="str">
        <x:v>2017-07-26</x:v>
      </x:c>
      <x:c r="E18" s="12" t="n">
        <x:v>1</x:v>
      </x:c>
      <x:c r="F18" s="12" t="str">
        <x:v>The Motley Fool</x:v>
      </x:c>
      <x:c r="G18" s="12" t="str">
        <x:v>Texas Instruments, Inc. Shrugs Off a Big Tax Bill (for All the Right Reasons)</x:v>
      </x:c>
      <x:c r="H18" s="12" t="str">
        <x:v>https://www.fool.com/investing/2017/07/26/texas-instruments-inc-shrugs-off-a-big-tax-bill-fo.aspx</x:v>
      </x:c>
      <x:c r="I18" s="12" t="str">
        <x:v>VERIFIED</x:v>
      </x:c>
      <x:c r="J18" s="12" t="str">
        <x:v>PASS</x:v>
      </x:c>
      <x:c r="K18" s="12" t="str">
        <x:v>PASS</x:v>
      </x:c>
      <x:c r="L18" s="12" t="str">
        <x:v>PASS</x:v>
      </x:c>
      <x:c r="M18" s="12" t="str">
        <x:v>NO</x:v>
      </x:c>
      <x:c r="N18" s="12" t="str">
        <x:v>PASS</x:v>
      </x:c>
      <x:c r="O18" s="12" t="str">
        <x:v>EXPLICIT</x:v>
      </x:c>
      <x:c r="P18" s="12" t="str">
        <x:v>PASS</x:v>
      </x:c>
      <x:c r="Q18" s="12" t="str">
        <x:v>Checked against TXN/Texas Instruments, exact event or directly relevant catalyst, displayed publication date, timing window and prohibited-source restrictions.</x:v>
      </x:c>
    </x:row>
    <x:row r="19">
      <x:c r="A19" s="12" t="str">
        <x:v>2017-10-24</x:v>
      </x:c>
      <x:c r="B19" s="12" t="str">
        <x:v>TXN</x:v>
      </x:c>
      <x:c r="C19" s="12" t="str">
        <x:v>prior</x:v>
      </x:c>
      <x:c r="D19" s="12" t="str">
        <x:v>2017-07-25</x:v>
      </x:c>
      <x:c r="E19" s="12" t="n">
        <x:v>-91</x:v>
      </x:c>
      <x:c r="F19" s="12" t="str">
        <x:v>Texas Instruments</x:v>
      </x:c>
      <x:c r="G19" s="12" t="str">
        <x:v>TI reports 2Q17 financial results and shareholder returns</x:v>
      </x:c>
      <x:c r="H19" s="12" t="str">
        <x:v>https://investor.ti.com/news-releases/news-release-details/ti-reports-2q17-financial-results-and-shareholder-returns</x:v>
      </x:c>
      <x:c r="I19" s="12" t="str">
        <x:v>VERIFIED</x:v>
      </x:c>
      <x:c r="J19" s="12" t="str">
        <x:v>PASS</x:v>
      </x:c>
      <x:c r="K19" s="12" t="str">
        <x:v>PASS</x:v>
      </x:c>
      <x:c r="L19" s="12" t="str">
        <x:v>PASS</x:v>
      </x:c>
      <x:c r="M19" s="12" t="str">
        <x:v>NO</x:v>
      </x:c>
      <x:c r="N19" s="12" t="str">
        <x:v>PASS</x:v>
      </x:c>
      <x:c r="O19" s="12" t="str">
        <x:v>FACTUAL</x:v>
      </x:c>
      <x:c r="P19" s="12" t="str">
        <x:v>PASS</x:v>
      </x:c>
      <x:c r="Q19" s="12" t="str">
        <x:v>Checked against TXN/Texas Instruments, exact event or directly relevant catalyst, displayed publication date, timing window and prohibited-source restrictions.</x:v>
      </x:c>
    </x:row>
    <x:row r="20">
      <x:c r="A20" s="12" t="str">
        <x:v>2017-10-24</x:v>
      </x:c>
      <x:c r="B20" s="12" t="str">
        <x:v>TXN</x:v>
      </x:c>
      <x:c r="C20" s="12" t="str">
        <x:v>release</x:v>
      </x:c>
      <x:c r="D20" s="12" t="str">
        <x:v>2017-10-24</x:v>
      </x:c>
      <x:c r="E20" s="12" t="n">
        <x:v>0</x:v>
      </x:c>
      <x:c r="F20" s="12" t="str">
        <x:v>Texas Instruments</x:v>
      </x:c>
      <x:c r="G20" s="12" t="str">
        <x:v>TI reports 3Q17 financial results and shareholder returns</x:v>
      </x:c>
      <x:c r="H20" s="12" t="str">
        <x:v>https://investor.ti.com/node/24401</x:v>
      </x:c>
      <x:c r="I20" s="12" t="str">
        <x:v>VERIFIED</x:v>
      </x:c>
      <x:c r="J20" s="12" t="str">
        <x:v>PASS</x:v>
      </x:c>
      <x:c r="K20" s="12" t="str">
        <x:v>PASS</x:v>
      </x:c>
      <x:c r="L20" s="12" t="str">
        <x:v>PASS</x:v>
      </x:c>
      <x:c r="M20" s="12" t="str">
        <x:v>NO</x:v>
      </x:c>
      <x:c r="N20" s="12" t="str">
        <x:v>PASS</x:v>
      </x:c>
      <x:c r="O20" s="12" t="str">
        <x:v>FACTUAL</x:v>
      </x:c>
      <x:c r="P20" s="12" t="str">
        <x:v>PASS</x:v>
      </x:c>
      <x:c r="Q20" s="12" t="str">
        <x:v>Checked against TXN/Texas Instruments, exact event or directly relevant catalyst, displayed publication date, timing window and prohibited-source restrictions.</x:v>
      </x:c>
    </x:row>
    <x:row r="21">
      <x:c r="A21" s="12" t="str">
        <x:v>2017-10-24</x:v>
      </x:c>
      <x:c r="B21" s="12" t="str">
        <x:v>TXN</x:v>
      </x:c>
      <x:c r="C21" s="12" t="str">
        <x:v>reaction</x:v>
      </x:c>
      <x:c r="D21" s="12" t="str">
        <x:v>2017-10-25</x:v>
      </x:c>
      <x:c r="E21" s="12" t="n">
        <x:v>1</x:v>
      </x:c>
      <x:c r="F21" s="12" t="str">
        <x:v>The Motley Fool</x:v>
      </x:c>
      <x:c r="G21" s="12" t="str">
        <x:v>Texas Instruments, Inc. Beat the Street Again</x:v>
      </x:c>
      <x:c r="H21" s="12" t="str">
        <x:v>https://www.fool.com/investing/2017/10/25/texas-instruments-inc-beat-the-street-again.aspx</x:v>
      </x:c>
      <x:c r="I21" s="12" t="str">
        <x:v>VERIFIED</x:v>
      </x:c>
      <x:c r="J21" s="12" t="str">
        <x:v>PASS</x:v>
      </x:c>
      <x:c r="K21" s="12" t="str">
        <x:v>PASS</x:v>
      </x:c>
      <x:c r="L21" s="12" t="str">
        <x:v>PASS</x:v>
      </x:c>
      <x:c r="M21" s="12" t="str">
        <x:v>NO</x:v>
      </x:c>
      <x:c r="N21" s="12" t="str">
        <x:v>PASS</x:v>
      </x:c>
      <x:c r="O21" s="12" t="str">
        <x:v>EXPLICIT</x:v>
      </x:c>
      <x:c r="P21" s="12" t="str">
        <x:v>PASS</x:v>
      </x:c>
      <x:c r="Q21" s="12" t="str">
        <x:v>Checked against TXN/Texas Instruments, exact event or directly relevant catalyst, displayed publication date, timing window and prohibited-source restrictions.</x:v>
      </x:c>
    </x:row>
    <x:row r="22">
      <x:c r="A22" s="12" t="str">
        <x:v>2018-01-23</x:v>
      </x:c>
      <x:c r="B22" s="12" t="str">
        <x:v>TXN</x:v>
      </x:c>
      <x:c r="C22" s="12" t="str">
        <x:v>prior</x:v>
      </x:c>
      <x:c r="D22" s="12" t="str">
        <x:v>2017-10-24</x:v>
      </x:c>
      <x:c r="E22" s="12" t="n">
        <x:v>-91</x:v>
      </x:c>
      <x:c r="F22" s="12" t="str">
        <x:v>Texas Instruments</x:v>
      </x:c>
      <x:c r="G22" s="12" t="str">
        <x:v>TI reports 3Q17 financial results and shareholder returns</x:v>
      </x:c>
      <x:c r="H22" s="12" t="str">
        <x:v>https://investor.ti.com/node/24401</x:v>
      </x:c>
      <x:c r="I22" s="12" t="str">
        <x:v>VERIFIED</x:v>
      </x:c>
      <x:c r="J22" s="12" t="str">
        <x:v>PASS</x:v>
      </x:c>
      <x:c r="K22" s="12" t="str">
        <x:v>PASS</x:v>
      </x:c>
      <x:c r="L22" s="12" t="str">
        <x:v>PASS</x:v>
      </x:c>
      <x:c r="M22" s="12" t="str">
        <x:v>NO</x:v>
      </x:c>
      <x:c r="N22" s="12" t="str">
        <x:v>PASS</x:v>
      </x:c>
      <x:c r="O22" s="12" t="str">
        <x:v>FACTUAL</x:v>
      </x:c>
      <x:c r="P22" s="12" t="str">
        <x:v>PASS</x:v>
      </x:c>
      <x:c r="Q22" s="12" t="str">
        <x:v>Checked against TXN/Texas Instruments, exact event or directly relevant catalyst, displayed publication date, timing window and prohibited-source restrictions.</x:v>
      </x:c>
    </x:row>
    <x:row r="23">
      <x:c r="A23" s="12" t="str">
        <x:v>2018-01-23</x:v>
      </x:c>
      <x:c r="B23" s="12" t="str">
        <x:v>TXN</x:v>
      </x:c>
      <x:c r="C23" s="12" t="str">
        <x:v>release</x:v>
      </x:c>
      <x:c r="D23" s="12" t="str">
        <x:v>2018-01-23</x:v>
      </x:c>
      <x:c r="E23" s="12" t="n">
        <x:v>0</x:v>
      </x:c>
      <x:c r="F23" s="12" t="str">
        <x:v>Texas Instruments</x:v>
      </x:c>
      <x:c r="G23" s="12" t="str">
        <x:v>TI reports 4Q17 and 2017 financial results and shareholder returns</x:v>
      </x:c>
      <x:c r="H23" s="12" t="str">
        <x:v>https://investor.ti.com/news-releases/news-release-details/ti-reports-4q17-and-2017-financial-results-and-shareholder</x:v>
      </x:c>
      <x:c r="I23" s="12" t="str">
        <x:v>VERIFIED</x:v>
      </x:c>
      <x:c r="J23" s="12" t="str">
        <x:v>PASS</x:v>
      </x:c>
      <x:c r="K23" s="12" t="str">
        <x:v>PASS</x:v>
      </x:c>
      <x:c r="L23" s="12" t="str">
        <x:v>PASS</x:v>
      </x:c>
      <x:c r="M23" s="12" t="str">
        <x:v>NO</x:v>
      </x:c>
      <x:c r="N23" s="12" t="str">
        <x:v>PASS</x:v>
      </x:c>
      <x:c r="O23" s="12" t="str">
        <x:v>FACTUAL</x:v>
      </x:c>
      <x:c r="P23" s="12" t="str">
        <x:v>PASS</x:v>
      </x:c>
      <x:c r="Q23" s="12" t="str">
        <x:v>Checked against TXN/Texas Instruments, exact event or directly relevant catalyst, displayed publication date, timing window and prohibited-source restrictions.</x:v>
      </x:c>
    </x:row>
    <x:row r="24">
      <x:c r="A24" s="12" t="str">
        <x:v>2018-01-23</x:v>
      </x:c>
      <x:c r="B24" s="12" t="str">
        <x:v>TXN</x:v>
      </x:c>
      <x:c r="C24" s="12" t="str">
        <x:v>reaction</x:v>
      </x:c>
      <x:c r="D24" s="12" t="str">
        <x:v>2018-01-24</x:v>
      </x:c>
      <x:c r="E24" s="12" t="n">
        <x:v>1</x:v>
      </x:c>
      <x:c r="F24" s="12" t="str">
        <x:v>The Journal Record</x:v>
      </x:c>
      <x:c r="G24" s="12" t="str">
        <x:v>Technology stocks sink, pulling indexes lower; dollar falls</x:v>
      </x:c>
      <x:c r="H24" s="12" t="str">
        <x:v>https://journalrecord.com/2018/01/24/technology-stocks-sink-pulling-indexes-lower-dollar-falls/</x:v>
      </x:c>
      <x:c r="I24" s="12" t="str">
        <x:v>VERIFIED</x:v>
      </x:c>
      <x:c r="J24" s="12" t="str">
        <x:v>PASS</x:v>
      </x:c>
      <x:c r="K24" s="12" t="str">
        <x:v>PASS</x:v>
      </x:c>
      <x:c r="L24" s="12" t="str">
        <x:v>PASS</x:v>
      </x:c>
      <x:c r="M24" s="12" t="str">
        <x:v>NO</x:v>
      </x:c>
      <x:c r="N24" s="12" t="str">
        <x:v>PASS</x:v>
      </x:c>
      <x:c r="O24" s="12" t="str">
        <x:v>EXPLICIT</x:v>
      </x:c>
      <x:c r="P24" s="12" t="str">
        <x:v>PASS</x:v>
      </x:c>
      <x:c r="Q24" s="12" t="str">
        <x:v>Checked against TXN/Texas Instruments, exact event or directly relevant catalyst, displayed publication date, timing window and prohibited-source restrictions.</x:v>
      </x:c>
    </x:row>
    <x:row r="25">
      <x:c r="A25" s="12" t="str">
        <x:v>2018-04-24</x:v>
      </x:c>
      <x:c r="B25" s="12" t="str">
        <x:v>TXN</x:v>
      </x:c>
      <x:c r="C25" s="12" t="str">
        <x:v>prior</x:v>
      </x:c>
      <x:c r="D25" s="12" t="str">
        <x:v>2018-01-23</x:v>
      </x:c>
      <x:c r="E25" s="12" t="n">
        <x:v>-91</x:v>
      </x:c>
      <x:c r="F25" s="12" t="str">
        <x:v>Texas Instruments</x:v>
      </x:c>
      <x:c r="G25" s="12" t="str">
        <x:v>TI reports 4Q17 and 2017 financial results and shareholder returns</x:v>
      </x:c>
      <x:c r="H25" s="12" t="str">
        <x:v>https://investor.ti.com/news-releases/news-release-details/ti-reports-4q17-and-2017-financial-results-and-shareholder</x:v>
      </x:c>
      <x:c r="I25" s="12" t="str">
        <x:v>VERIFIED</x:v>
      </x:c>
      <x:c r="J25" s="12" t="str">
        <x:v>PASS</x:v>
      </x:c>
      <x:c r="K25" s="12" t="str">
        <x:v>PASS</x:v>
      </x:c>
      <x:c r="L25" s="12" t="str">
        <x:v>PASS</x:v>
      </x:c>
      <x:c r="M25" s="12" t="str">
        <x:v>NO</x:v>
      </x:c>
      <x:c r="N25" s="12" t="str">
        <x:v>PASS</x:v>
      </x:c>
      <x:c r="O25" s="12" t="str">
        <x:v>FACTUAL</x:v>
      </x:c>
      <x:c r="P25" s="12" t="str">
        <x:v>PASS</x:v>
      </x:c>
      <x:c r="Q25" s="12" t="str">
        <x:v>Checked against TXN/Texas Instruments, exact event or directly relevant catalyst, displayed publication date, timing window and prohibited-source restrictions.</x:v>
      </x:c>
    </x:row>
    <x:row r="26">
      <x:c r="A26" s="12" t="str">
        <x:v>2018-04-24</x:v>
      </x:c>
      <x:c r="B26" s="12" t="str">
        <x:v>TXN</x:v>
      </x:c>
      <x:c r="C26" s="12" t="str">
        <x:v>release</x:v>
      </x:c>
      <x:c r="D26" s="12" t="str">
        <x:v>2018-04-24</x:v>
      </x:c>
      <x:c r="E26" s="12" t="n">
        <x:v>0</x:v>
      </x:c>
      <x:c r="F26" s="12" t="str">
        <x:v>Texas Instruments</x:v>
      </x:c>
      <x:c r="G26" s="12" t="str">
        <x:v>TI reports 1Q18 financial results and shareholder returns</x:v>
      </x:c>
      <x:c r="H26" s="12" t="str">
        <x:v>https://investor.ti.com/news-releases/news-release-details/ti-reports-1q18-financial-results-and-shareholder-returns</x:v>
      </x:c>
      <x:c r="I26" s="12" t="str">
        <x:v>VERIFIED</x:v>
      </x:c>
      <x:c r="J26" s="12" t="str">
        <x:v>PASS</x:v>
      </x:c>
      <x:c r="K26" s="12" t="str">
        <x:v>PASS</x:v>
      </x:c>
      <x:c r="L26" s="12" t="str">
        <x:v>PASS</x:v>
      </x:c>
      <x:c r="M26" s="12" t="str">
        <x:v>NO</x:v>
      </x:c>
      <x:c r="N26" s="12" t="str">
        <x:v>PASS</x:v>
      </x:c>
      <x:c r="O26" s="12" t="str">
        <x:v>FACTUAL</x:v>
      </x:c>
      <x:c r="P26" s="12" t="str">
        <x:v>PASS</x:v>
      </x:c>
      <x:c r="Q26" s="12" t="str">
        <x:v>Checked against TXN/Texas Instruments, exact event or directly relevant catalyst, displayed publication date, timing window and prohibited-source restrictions.</x:v>
      </x:c>
    </x:row>
    <x:row r="27">
      <x:c r="A27" s="12" t="str">
        <x:v>2018-04-24</x:v>
      </x:c>
      <x:c r="B27" s="12" t="str">
        <x:v>TXN</x:v>
      </x:c>
      <x:c r="C27" s="12" t="str">
        <x:v>reaction</x:v>
      </x:c>
      <x:c r="D27" s="12" t="str">
        <x:v>2018-04-25</x:v>
      </x:c>
      <x:c r="E27" s="12" t="n">
        <x:v>1</x:v>
      </x:c>
      <x:c r="F27" s="12" t="str">
        <x:v>Dallas Morning News</x:v>
      </x:c>
      <x:c r="G27" s="12" t="str">
        <x:v>Texas Instruments' rosy outlook diffuses fears of tech slowdown</x:v>
      </x:c>
      <x:c r="H27" s="12" t="str">
        <x:v>https://www.dallasnews.com/business/technology/2018/04/25/texas-instruments-rosy-outlook-diffuses-fears-of-tech-slowdown/</x:v>
      </x:c>
      <x:c r="I27" s="12" t="str">
        <x:v>VERIFIED</x:v>
      </x:c>
      <x:c r="J27" s="12" t="str">
        <x:v>PASS</x:v>
      </x:c>
      <x:c r="K27" s="12" t="str">
        <x:v>PASS</x:v>
      </x:c>
      <x:c r="L27" s="12" t="str">
        <x:v>PASS</x:v>
      </x:c>
      <x:c r="M27" s="12" t="str">
        <x:v>NO</x:v>
      </x:c>
      <x:c r="N27" s="12" t="str">
        <x:v>PASS</x:v>
      </x:c>
      <x:c r="O27" s="12" t="str">
        <x:v>EXPLICIT</x:v>
      </x:c>
      <x:c r="P27" s="12" t="str">
        <x:v>PASS</x:v>
      </x:c>
      <x:c r="Q27" s="12" t="str">
        <x:v>Checked against TXN/Texas Instruments, exact event or directly relevant catalyst, displayed publication date, timing window and prohibited-source restrictions.</x:v>
      </x:c>
    </x:row>
    <x:row r="28">
      <x:c r="A28" s="12" t="str">
        <x:v>2018-07-24</x:v>
      </x:c>
      <x:c r="B28" s="12" t="str">
        <x:v>TXN</x:v>
      </x:c>
      <x:c r="C28" s="12" t="str">
        <x:v>prior</x:v>
      </x:c>
      <x:c r="D28" s="12" t="str">
        <x:v>2018-04-24</x:v>
      </x:c>
      <x:c r="E28" s="12" t="n">
        <x:v>-91</x:v>
      </x:c>
      <x:c r="F28" s="12" t="str">
        <x:v>Texas Instruments</x:v>
      </x:c>
      <x:c r="G28" s="12" t="str">
        <x:v>TI reports 1Q18 financial results and shareholder returns</x:v>
      </x:c>
      <x:c r="H28" s="12" t="str">
        <x:v>https://investor.ti.com/news-releases/news-release-details/ti-reports-1q18-financial-results-and-shareholder-returns</x:v>
      </x:c>
      <x:c r="I28" s="12" t="str">
        <x:v>VERIFIED</x:v>
      </x:c>
      <x:c r="J28" s="12" t="str">
        <x:v>PASS</x:v>
      </x:c>
      <x:c r="K28" s="12" t="str">
        <x:v>PASS</x:v>
      </x:c>
      <x:c r="L28" s="12" t="str">
        <x:v>PASS</x:v>
      </x:c>
      <x:c r="M28" s="12" t="str">
        <x:v>NO</x:v>
      </x:c>
      <x:c r="N28" s="12" t="str">
        <x:v>PASS</x:v>
      </x:c>
      <x:c r="O28" s="12" t="str">
        <x:v>FACTUAL</x:v>
      </x:c>
      <x:c r="P28" s="12" t="str">
        <x:v>PASS</x:v>
      </x:c>
      <x:c r="Q28" s="12" t="str">
        <x:v>Checked against TXN/Texas Instruments, exact event or directly relevant catalyst, displayed publication date, timing window and prohibited-source restrictions.</x:v>
      </x:c>
    </x:row>
    <x:row r="29">
      <x:c r="A29" s="12" t="str">
        <x:v>2018-07-24</x:v>
      </x:c>
      <x:c r="B29" s="12" t="str">
        <x:v>TXN</x:v>
      </x:c>
      <x:c r="C29" s="12" t="str">
        <x:v>release</x:v>
      </x:c>
      <x:c r="D29" s="12" t="str">
        <x:v>2018-07-24</x:v>
      </x:c>
      <x:c r="E29" s="12" t="n">
        <x:v>0</x:v>
      </x:c>
      <x:c r="F29" s="12" t="str">
        <x:v>Texas Instruments</x:v>
      </x:c>
      <x:c r="G29" s="12" t="str">
        <x:v>TI reports 2Q18 financial results and shareholder returns</x:v>
      </x:c>
      <x:c r="H29" s="12" t="str">
        <x:v>https://investor.ti.com/news-releases/news-release-details/ti-reports-2q18-financial-results-and-shareholder-returns</x:v>
      </x:c>
      <x:c r="I29" s="12" t="str">
        <x:v>VERIFIED</x:v>
      </x:c>
      <x:c r="J29" s="12" t="str">
        <x:v>PASS</x:v>
      </x:c>
      <x:c r="K29" s="12" t="str">
        <x:v>PASS</x:v>
      </x:c>
      <x:c r="L29" s="12" t="str">
        <x:v>PASS</x:v>
      </x:c>
      <x:c r="M29" s="12" t="str">
        <x:v>NO</x:v>
      </x:c>
      <x:c r="N29" s="12" t="str">
        <x:v>PASS</x:v>
      </x:c>
      <x:c r="O29" s="12" t="str">
        <x:v>FACTUAL</x:v>
      </x:c>
      <x:c r="P29" s="12" t="str">
        <x:v>PASS</x:v>
      </x:c>
      <x:c r="Q29" s="12" t="str">
        <x:v>Checked against TXN/Texas Instruments, exact event or directly relevant catalyst, displayed publication date, timing window and prohibited-source restrictions.</x:v>
      </x:c>
    </x:row>
    <x:row r="30">
      <x:c r="A30" s="12" t="str">
        <x:v>2018-07-24</x:v>
      </x:c>
      <x:c r="B30" s="12" t="str">
        <x:v>TXN</x:v>
      </x:c>
      <x:c r="C30" s="12" t="str">
        <x:v>reaction</x:v>
      </x:c>
      <x:c r="D30" s="12" t="str">
        <x:v>2018-07-25</x:v>
      </x:c>
      <x:c r="E30" s="12" t="n">
        <x:v>1</x:v>
      </x:c>
      <x:c r="F30" s="12" t="str">
        <x:v>TheStreet</x:v>
      </x:c>
      <x:c r="G30" s="12" t="str">
        <x:v>Texas Instruments's First Earnings Report After its CEO Change Is Drama-Free</x:v>
      </x:c>
      <x:c r="H30" s="12" t="str">
        <x:v>https://www.thestreet.com/investing/texas-instruments-s-first-earnings-report-after-its-ceo-change-is-drama-free-14661059</x:v>
      </x:c>
      <x:c r="I30" s="12" t="str">
        <x:v>VERIFIED</x:v>
      </x:c>
      <x:c r="J30" s="12" t="str">
        <x:v>PASS</x:v>
      </x:c>
      <x:c r="K30" s="12" t="str">
        <x:v>PASS</x:v>
      </x:c>
      <x:c r="L30" s="12" t="str">
        <x:v>PASS</x:v>
      </x:c>
      <x:c r="M30" s="12" t="str">
        <x:v>NO</x:v>
      </x:c>
      <x:c r="N30" s="12" t="str">
        <x:v>PASS</x:v>
      </x:c>
      <x:c r="O30" s="12" t="str">
        <x:v>SUPPORTED_INFERENCE</x:v>
      </x:c>
      <x:c r="P30" s="12" t="str">
        <x:v>PASS</x:v>
      </x:c>
      <x:c r="Q30" s="12" t="str">
        <x:v>Checked against TXN/Texas Instruments, exact event or directly relevant catalyst, displayed publication date, timing window and prohibited-source restrictions.</x:v>
      </x:c>
    </x:row>
    <x:row r="31">
      <x:c r="A31" s="12" t="str">
        <x:v>2018-07-24</x:v>
      </x:c>
      <x:c r="B31" s="12" t="str">
        <x:v>TXN</x:v>
      </x:c>
      <x:c r="C31" s="12" t="str">
        <x:v>prior</x:v>
      </x:c>
      <x:c r="D31" s="12" t="str">
        <x:v>2018-07-17</x:v>
      </x:c>
      <x:c r="E31" s="12" t="n">
        <x:v>-7</x:v>
      </x:c>
      <x:c r="F31" s="12" t="str">
        <x:v>Texas Instruments</x:v>
      </x:c>
      <x:c r="G31" s="12" t="str">
        <x:v>Rich Templeton to reassume President and CEO roles; Brian Crutcher resigned as CEO</x:v>
      </x:c>
      <x:c r="H31" s="12" t="str">
        <x:v>https://investor.ti.com/investor-news?df278d998f97c55fab455026d61c0400b10674de32641ccd219550fdefb18e62_year%5Bvalue%5D=2018</x:v>
      </x:c>
      <x:c r="I31" s="12" t="str">
        <x:v>VERIFIED</x:v>
      </x:c>
      <x:c r="J31" s="12" t="str">
        <x:v>PASS</x:v>
      </x:c>
      <x:c r="K31" s="12" t="str">
        <x:v>PASS</x:v>
      </x:c>
      <x:c r="L31" s="12" t="str">
        <x:v>PASS</x:v>
      </x:c>
      <x:c r="M31" s="12" t="str">
        <x:v>NO</x:v>
      </x:c>
      <x:c r="N31" s="12" t="str">
        <x:v>PASS</x:v>
      </x:c>
      <x:c r="O31" s="12" t="str">
        <x:v>FACTUAL</x:v>
      </x:c>
      <x:c r="P31" s="12" t="str">
        <x:v>PASS</x:v>
      </x:c>
      <x:c r="Q31" s="12" t="str">
        <x:v>Checked against TXN/Texas Instruments, exact event or directly relevant catalyst, displayed publication date, timing window and prohibited-source restrictions.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20"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2016-04-27</x:v>
      </x:c>
      <x:c r="B2" t="str">
        <x:v>TXN</x:v>
      </x:c>
      <x:c r="C2" s="20" t="n">
        <x:v>0.61</x:v>
      </x:c>
      <x:c r="D2" s="20" t="n">
        <x:v>-0.56</x:v>
      </x:c>
      <x:c r="E2" t="str">
        <x:v>ret_1daypost_pct</x:v>
      </x:c>
      <x:c r="F2" t="str">
        <x:f>IF(D2&gt;0.1,"UP",IF(D2&lt;-0.1,"DOWN","FLAT"))</x:f>
        <x:v>DOWN</x:v>
      </x:c>
      <x:c r="G2" t="str">
        <x:v>DOWN</x:v>
      </x:c>
      <x:c r="H2" t="str">
        <x:f>IF(F2=G2,"PASS","FAIL")</x:f>
        <x:v>PASS</x:v>
      </x:c>
      <x:c r="I2" t="n">
        <x:v>2</x:v>
      </x:c>
      <x:c r="J2" t="n">
        <x:f>COUNTIFS('Source Audit'!$A:$A,A2,'Source Audit'!$P:$P,"PASS")</x:f>
        <x:v>2</x:v>
      </x:c>
      <x:c r="K2" t="str">
        <x:f>IF(AND(H2="PASS",J2=I2),"PASS","FAIL")</x:f>
        <x:v>PASS</x:v>
      </x:c>
    </x:row>
    <x:row r="3">
      <x:c r="A3" t="str">
        <x:v>2016-07-25</x:v>
      </x:c>
      <x:c r="B3" t="str">
        <x:v>TXN</x:v>
      </x:c>
      <x:c r="C3" s="20" t="n">
        <x:v>1.43</x:v>
      </x:c>
      <x:c r="D3" s="20" t="n">
        <x:v>7.69</x:v>
      </x:c>
      <x:c r="E3" t="str">
        <x:v>ret_1daypost_pct</x:v>
      </x:c>
      <x:c r="F3" t="str">
        <x:f>IF(D3&gt;0.1,"UP",IF(D3&lt;-0.1,"DOWN","FLAT"))</x:f>
        <x:v>UP</x:v>
      </x:c>
      <x:c r="G3" t="str">
        <x:v>UP</x:v>
      </x:c>
      <x:c r="H3" t="str">
        <x:f>IF(F3=G3,"PASS","FAIL")</x:f>
        <x:v>PASS</x:v>
      </x:c>
      <x:c r="I3" t="n">
        <x:v>3</x:v>
      </x:c>
      <x:c r="J3" t="n">
        <x:f>COUNTIFS('Source Audit'!$A:$A,A3,'Source Audit'!$P:$P,"PASS")</x:f>
        <x:v>3</x:v>
      </x:c>
      <x:c r="K3" t="str">
        <x:f>IF(AND(H3="PASS",J3=I3),"PASS","FAIL")</x:f>
        <x:v>PASS</x:v>
      </x:c>
    </x:row>
    <x:row r="4">
      <x:c r="A4" t="str">
        <x:v>2016-10-26</x:v>
      </x:c>
      <x:c r="B4" t="str">
        <x:v>TXN</x:v>
      </x:c>
      <x:c r="C4" s="20" t="n">
        <x:v>0.99</x:v>
      </x:c>
      <x:c r="D4" s="20" t="n">
        <x:v>-0.97</x:v>
      </x:c>
      <x:c r="E4" t="str">
        <x:v>ret_1daypost_pct</x:v>
      </x:c>
      <x:c r="F4" t="str">
        <x:f>IF(D4&gt;0.1,"UP",IF(D4&lt;-0.1,"DOWN","FLAT"))</x:f>
        <x:v>DOWN</x:v>
      </x:c>
      <x:c r="G4" t="str">
        <x:v>DOWN</x:v>
      </x:c>
      <x:c r="H4" t="str">
        <x:f>IF(F4=G4,"PASS","FAIL")</x:f>
        <x:v>PASS</x:v>
      </x:c>
      <x:c r="I4" t="n">
        <x:v>3</x:v>
      </x:c>
      <x:c r="J4" t="n">
        <x:f>COUNTIFS('Source Audit'!$A:$A,A4,'Source Audit'!$P:$P,"PASS")</x:f>
        <x:v>3</x:v>
      </x:c>
      <x:c r="K4" t="str">
        <x:f>IF(AND(H4="PASS",J4=I4),"PASS","FAIL")</x:f>
        <x:v>PASS</x:v>
      </x:c>
    </x:row>
    <x:row r="5">
      <x:c r="A5" t="str">
        <x:v>2017-01-24</x:v>
      </x:c>
      <x:c r="B5" t="str">
        <x:v>TXN</x:v>
      </x:c>
      <x:c r="C5" s="20" t="n">
        <x:v>0.95</x:v>
      </x:c>
      <x:c r="D5" s="20" t="n">
        <x:v>1.14</x:v>
      </x:c>
      <x:c r="E5" t="str">
        <x:v>ret_1daypost_pct</x:v>
      </x:c>
      <x:c r="F5" t="str">
        <x:f>IF(D5&gt;0.1,"UP",IF(D5&lt;-0.1,"DOWN","FLAT"))</x:f>
        <x:v>UP</x:v>
      </x:c>
      <x:c r="G5" t="str">
        <x:v>UP</x:v>
      </x:c>
      <x:c r="H5" t="str">
        <x:f>IF(F5=G5,"PASS","FAIL")</x:f>
        <x:v>PASS</x:v>
      </x:c>
      <x:c r="I5" t="n">
        <x:v>3</x:v>
      </x:c>
      <x:c r="J5" t="n">
        <x:f>COUNTIFS('Source Audit'!$A:$A,A5,'Source Audit'!$P:$P,"PASS")</x:f>
        <x:v>3</x:v>
      </x:c>
      <x:c r="K5" t="str">
        <x:f>IF(AND(H5="PASS",J5=I5),"PASS","FAIL")</x:f>
        <x:v>PASS</x:v>
      </x:c>
    </x:row>
    <x:row r="6">
      <x:c r="A6" t="str">
        <x:v>2017-04-25</x:v>
      </x:c>
      <x:c r="B6" t="str">
        <x:v>TXN</x:v>
      </x:c>
      <x:c r="C6" s="20" t="n">
        <x:v>0.98</x:v>
      </x:c>
      <x:c r="D6" s="20" t="n">
        <x:v>-1.51</x:v>
      </x:c>
      <x:c r="E6" t="str">
        <x:v>ret_1daypost_pct</x:v>
      </x:c>
      <x:c r="F6" t="str">
        <x:f>IF(D6&gt;0.1,"UP",IF(D6&lt;-0.1,"DOWN","FLAT"))</x:f>
        <x:v>DOWN</x:v>
      </x:c>
      <x:c r="G6" t="str">
        <x:v>DOWN</x:v>
      </x:c>
      <x:c r="H6" t="str">
        <x:f>IF(F6=G6,"PASS","FAIL")</x:f>
        <x:v>PASS</x:v>
      </x:c>
      <x:c r="I6" t="n">
        <x:v>3</x:v>
      </x:c>
      <x:c r="J6" t="n">
        <x:f>COUNTIFS('Source Audit'!$A:$A,A6,'Source Audit'!$P:$P,"PASS")</x:f>
        <x:v>3</x:v>
      </x:c>
      <x:c r="K6" t="str">
        <x:f>IF(AND(H6="PASS",J6=I6),"PASS","FAIL")</x:f>
        <x:v>PASS</x:v>
      </x:c>
    </x:row>
    <x:row r="7">
      <x:c r="A7" t="str">
        <x:v>2017-07-25</x:v>
      </x:c>
      <x:c r="B7" t="str">
        <x:v>TXN</x:v>
      </x:c>
      <x:c r="C7" s="20" t="n">
        <x:v>0.24</x:v>
      </x:c>
      <x:c r="D7" s="20" t="n">
        <x:v>1.41</x:v>
      </x:c>
      <x:c r="E7" t="str">
        <x:v>ret_1daypost_pct</x:v>
      </x:c>
      <x:c r="F7" t="str">
        <x:f>IF(D7&gt;0.1,"UP",IF(D7&lt;-0.1,"DOWN","FLAT"))</x:f>
        <x:v>UP</x:v>
      </x:c>
      <x:c r="G7" t="str">
        <x:v>UP</x:v>
      </x:c>
      <x:c r="H7" t="str">
        <x:f>IF(F7=G7,"PASS","FAIL")</x:f>
        <x:v>PASS</x:v>
      </x:c>
      <x:c r="I7" t="n">
        <x:v>3</x:v>
      </x:c>
      <x:c r="J7" t="n">
        <x:f>COUNTIFS('Source Audit'!$A:$A,A7,'Source Audit'!$P:$P,"PASS")</x:f>
        <x:v>3</x:v>
      </x:c>
      <x:c r="K7" t="str">
        <x:f>IF(AND(H7="PASS",J7=I7),"PASS","FAIL")</x:f>
        <x:v>PASS</x:v>
      </x:c>
    </x:row>
    <x:row r="8">
      <x:c r="A8" t="str">
        <x:v>2017-10-24</x:v>
      </x:c>
      <x:c r="B8" t="str">
        <x:v>TXN</x:v>
      </x:c>
      <x:c r="C8" s="20" t="n">
        <x:v>0.07</x:v>
      </x:c>
      <x:c r="D8" s="20" t="n">
        <x:v>-0.1</x:v>
      </x:c>
      <x:c r="E8" t="str">
        <x:v>ret_1daypost_pct</x:v>
      </x:c>
      <x:c r="F8" t="str">
        <x:f>IF(D8&gt;0.1,"UP",IF(D8&lt;-0.1,"DOWN","FLAT"))</x:f>
        <x:v>FLAT</x:v>
      </x:c>
      <x:c r="G8" t="str">
        <x:v>FLAT</x:v>
      </x:c>
      <x:c r="H8" t="str">
        <x:f>IF(F8=G8,"PASS","FAIL")</x:f>
        <x:v>PASS</x:v>
      </x:c>
      <x:c r="I8" t="n">
        <x:v>3</x:v>
      </x:c>
      <x:c r="J8" t="n">
        <x:f>COUNTIFS('Source Audit'!$A:$A,A8,'Source Audit'!$P:$P,"PASS")</x:f>
        <x:v>3</x:v>
      </x:c>
      <x:c r="K8" t="str">
        <x:f>IF(AND(H8="PASS",J8=I8),"PASS","FAIL")</x:f>
        <x:v>PASS</x:v>
      </x:c>
    </x:row>
    <x:row r="9">
      <x:c r="A9" t="str">
        <x:v>2018-01-23</x:v>
      </x:c>
      <x:c r="B9" t="str">
        <x:v>TXN</x:v>
      </x:c>
      <x:c r="C9" s="20" t="n">
        <x:v>0.11</x:v>
      </x:c>
      <x:c r="D9" s="20" t="n">
        <x:v>-8.41</x:v>
      </x:c>
      <x:c r="E9" t="str">
        <x:v>ret_1daypost_pct</x:v>
      </x:c>
      <x:c r="F9" t="str">
        <x:f>IF(D9&gt;0.1,"UP",IF(D9&lt;-0.1,"DOWN","FLAT"))</x:f>
        <x:v>DOWN</x:v>
      </x:c>
      <x:c r="G9" t="str">
        <x:v>DOWN</x:v>
      </x:c>
      <x:c r="H9" t="str">
        <x:f>IF(F9=G9,"PASS","FAIL")</x:f>
        <x:v>PASS</x:v>
      </x:c>
      <x:c r="I9" t="n">
        <x:v>3</x:v>
      </x:c>
      <x:c r="J9" t="n">
        <x:f>COUNTIFS('Source Audit'!$A:$A,A9,'Source Audit'!$P:$P,"PASS")</x:f>
        <x:v>3</x:v>
      </x:c>
      <x:c r="K9" t="str">
        <x:f>IF(AND(H9="PASS",J9=I9),"PASS","FAIL")</x:f>
        <x:v>PASS</x:v>
      </x:c>
    </x:row>
    <x:row r="10">
      <x:c r="A10" t="str">
        <x:v>2018-04-24</x:v>
      </x:c>
      <x:c r="B10" t="str">
        <x:v>TXN</x:v>
      </x:c>
      <x:c r="C10" s="20" t="n">
        <x:v>1.47</x:v>
      </x:c>
      <x:c r="D10" s="20" t="n">
        <x:v>4.58</x:v>
      </x:c>
      <x:c r="E10" t="str">
        <x:v>ret_1daypost_pct</x:v>
      </x:c>
      <x:c r="F10" t="str">
        <x:f>IF(D10&gt;0.1,"UP",IF(D10&lt;-0.1,"DOWN","FLAT"))</x:f>
        <x:v>UP</x:v>
      </x:c>
      <x:c r="G10" t="str">
        <x:v>UP</x:v>
      </x:c>
      <x:c r="H10" t="str">
        <x:f>IF(F10=G10,"PASS","FAIL")</x:f>
        <x:v>PASS</x:v>
      </x:c>
      <x:c r="I10" t="n">
        <x:v>3</x:v>
      </x:c>
      <x:c r="J10" t="n">
        <x:f>COUNTIFS('Source Audit'!$A:$A,A10,'Source Audit'!$P:$P,"PASS")</x:f>
        <x:v>3</x:v>
      </x:c>
      <x:c r="K10" t="str">
        <x:f>IF(AND(H10="PASS",J10=I10),"PASS","FAIL")</x:f>
        <x:v>PASS</x:v>
      </x:c>
    </x:row>
    <x:row r="11">
      <x:c r="A11" t="str">
        <x:v>2018-07-24</x:v>
      </x:c>
      <x:c r="B11" t="str">
        <x:v>TXN</x:v>
      </x:c>
      <x:c r="C11" s="20" t="n">
        <x:v>-0.96</x:v>
      </x:c>
      <x:c r="D11" s="20" t="n">
        <x:v>-1.34</x:v>
      </x:c>
      <x:c r="E11" t="str">
        <x:v>ret_1daypost_pct</x:v>
      </x:c>
      <x:c r="F11" t="str">
        <x:f>IF(D11&gt;0.1,"UP",IF(D11&lt;-0.1,"DOWN","FLAT"))</x:f>
        <x:v>DOWN</x:v>
      </x:c>
      <x:c r="G11" t="str">
        <x:v>DOWN</x:v>
      </x:c>
      <x:c r="H11" t="str">
        <x:f>IF(F11=G11,"PASS","FAIL")</x:f>
        <x:v>PASS</x:v>
      </x:c>
      <x:c r="I11" t="n">
        <x:v>4</x:v>
      </x:c>
      <x:c r="J11" t="n">
        <x:f>COUNTIFS('Source Audit'!$A:$A,A11,'Source Audit'!$P:$P,"PASS")</x:f>
        <x:v>4</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TXN rebuilt from scratch under the corrected verification protocol.</x:v>
      </x:c>
    </x:row>
    <x:row r="3">
      <x:c r="A3" s="12" t="str">
        <x:v>Identity source</x:v>
      </x:c>
      <x:c r="B3" s="12" t="str">
        <x:v>Ticker/company, exact earnings dates and returns come directly from group_observations.csv.</x:v>
      </x:c>
    </x:row>
    <x:row r="4">
      <x:c r="A4" s="12" t="str">
        <x:v>Reaction basis</x:v>
      </x:c>
      <x:c r="B4" s="12" t="str">
        <x:v>Texas Instruments released these sampled quarters after the U.S. market close; ret_1daypost_pct is used for direction QA.</x:v>
      </x:c>
    </x:row>
    <x:row r="5">
      <x:c r="A5" s="12" t="str">
        <x:v>Narrative</x:v>
      </x:c>
      <x:c r="B5" s="12" t="str">
        <x:v>Short Prior Context, detailed Current Earnings Release, three concise event-specific Possible Drivers.</x:v>
      </x:c>
    </x:row>
    <x:row r="6">
      <x:c r="A6" s="12" t="str">
        <x:v>Source policy</x:v>
      </x:c>
      <x:c r="B6" s="12" t="str">
        <x:v>TI Investor Relations anchors every event. Reaction articles are included only when a clean date-matched open source was found; otherwise the workbook explicitly labels the attribution as supported inference.</x:v>
      </x:c>
    </x:row>
    <x:row r="7">
      <x:c r="A7" s="12" t="str">
        <x:v>Timing</x:v>
      </x:c>
      <x:c r="B7" s="12" t="str">
        <x:v>Prior = -100..-1 days; release = day 0; reaction = day 0..+3.</x:v>
      </x:c>
    </x:row>
    <x:row r="8">
      <x:c r="A8" s="12" t="str">
        <x:v>Restrictions</x:v>
      </x:c>
      <x:c r="B8" s="12" t="str">
        <x:v>No WSJ, Reuters, Dow Jones or MarketWatch-syndicated article is included.</x:v>
      </x:c>
    </x:row>
    <x:row r="9">
      <x:c r="A9" s="12" t="str">
        <x:v>QA</x:v>
      </x:c>
      <x:c r="B9" s="12" t="str">
        <x:v>Event QA mechanically recomputes direction from ret_1daypost_pct and checks each event's exact PASS source count.</x:v>
      </x:c>
    </x:row>
  </x:sheetData>
  <x:pageMargins left="0.7" right="0.7" top="0.75" bottom="0.75" header="0.3" footer="0.3"/>
</x:worksheet>
</file>