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bb6ded82b94876" /></Relationships>
</file>

<file path=xl/workbook.xml><?xml version="1.0" encoding="utf-8"?>
<x:workbook xmlns:x="http://schemas.openxmlformats.org/spreadsheetml/2006/main">
  <x:sheets>
    <x:sheet xmlns:r="http://schemas.openxmlformats.org/officeDocument/2006/relationships" name="GE" sheetId="1" r:id="R7e512f2d265b4a16"/>
    <x:sheet xmlns:r="http://schemas.openxmlformats.org/officeDocument/2006/relationships" name="Source Audit" sheetId="2" r:id="R738b7471db9b43c4"/>
    <x:sheet xmlns:r="http://schemas.openxmlformats.org/officeDocument/2006/relationships" name="Event QA" sheetId="3" r:id="R63ec4293473d4598"/>
    <x:sheet xmlns:r="http://schemas.openxmlformats.org/officeDocument/2006/relationships" name="Methodology" sheetId="4" r:id="R2516270ce1a542e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990043390e4cdd" /><Relationship Type="http://schemas.openxmlformats.org/officeDocument/2006/relationships/theme" Target="/xl/theme/theme1.xml" Id="Rc2d21bd760ee4118" /><Relationship Type="http://schemas.openxmlformats.org/officeDocument/2006/relationships/sharedStrings" Target="/xl/sharedStrings.xml" Id="R87e1ab22799943e8" /><Relationship Type="http://schemas.openxmlformats.org/officeDocument/2006/relationships/worksheet" Target="/xl/worksheets/sheet1.xml" Id="R7e512f2d265b4a16" /><Relationship Type="http://schemas.openxmlformats.org/officeDocument/2006/relationships/worksheet" Target="/xl/worksheets/sheet2.xml" Id="R738b7471db9b43c4" /><Relationship Type="http://schemas.openxmlformats.org/officeDocument/2006/relationships/worksheet" Target="/xl/worksheets/sheet3.xml" Id="R63ec4293473d4598" /><Relationship Type="http://schemas.openxmlformats.org/officeDocument/2006/relationships/worksheet" Target="/xl/worksheets/sheet4.xml" Id="R2516270ce1a542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0"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6" hidden="0" customWidth="1"/>
    <x:col min="15" max="15" width="66" hidden="0" customWidth="1"/>
    <x:col min="16" max="16" width="70" hidden="0" customWidth="1"/>
    <x:col min="17" max="17" width="82"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50" customHeight="1">
      <x:c r="A2" s="15" t="n">
        <x:v>0</x:v>
      </x:c>
      <x:c r="B2" s="15" t="str">
        <x:v>GE</x:v>
      </x:c>
      <x:c r="C2" s="15" t="str">
        <x:v>General Electric</x:v>
      </x:c>
      <x:c r="D2" s="15" t="str">
        <x:v>2016q2</x:v>
      </x:c>
      <x:c r="E2" s="15" t="str">
        <x:v>2016-04-22</x:v>
      </x:c>
      <x:c r="F2" s="18" t="n">
        <x:v>-0.89</x:v>
      </x:c>
      <x:c r="G2" s="18" t="n">
        <x:v>0.02</x:v>
      </x:c>
      <x:c r="H2" s="18" t="n">
        <x:v>-0.88</x:v>
      </x:c>
      <x:c r="I2" s="18" t="n">
        <x:v>-0.89</x:v>
      </x:c>
      <x:c r="J2" s="18" t="n">
        <x:v>-0.68</x:v>
      </x:c>
      <x:c r="K2" s="15" t="str">
        <x:v>ret_1day_pct</x:v>
      </x:c>
      <x:c r="L2" s="15" t="str">
        <x:v>DOWN</x:v>
      </x:c>
      <x:c r="M2" s="15" t="str">
        <x:v>## Prior Context
GE was still in the middle of its transformation away from GE Capital and toward a more concentrated industrial company. Investors were watching whether Alstom integration and strength in Aviation/Power could offset weak Oil &amp; Gas and Transportation demand.
### Verified prior source
2016-01-22 | GE Investor Relations | GE 4th Quarter &amp; Total Year 2015 Earnings Webcast | https://www.ge.com/investor-relations/events-reports/ge-4th-quarter-total-year-2015-earnings-webcast
## Current Earnings Release
GE reported industrial operating plus Verticals EPS of **$0.21**, above the roughly $0.19 consensus, while adjusted industrial revenue was about **$27.6 billion**, roughly in line with expectations. Total industrial margins excluding Alstom improved to **12.8%**, and GE reaffirmed its full-year EPS framework.
The weaker details were in the underlying industrial indicators. **Organic industrial segment revenue declined 1%**, organic orders fell **7%**, and industrial operating profit declined **3%**. Oil &amp; Gas remained especially weak, while Industrial CFOA was only about **$0.4 billion**, down sharply year over year. The quarter therefore beat on EPS but did not resolve doubts about organic growth and cash generation.
### Verified release source
2016-04-22 | GE Investor Relations | GE 1st Quarter 2016 Earnings Webcast | https://www.ge.com/investor-relations/events-reports/ge-1st-quarter-2016-earnings-webcast
## Possible Drivers
**First-order driver.** The stock fell because weak organic revenue, orders and industrial profit outweighed the EPS beat.
**Second-order driver.** Oil &amp; Gas and Transportation weakness made the full-year organic-growth target look harder to reach.
**Third-order driver.** Alstom integration and better margins were positives, but they did not fully offset the weak underlying demand signals.
### Verified reaction source
2016-04-22 | TheStreet | GE Stock Lower Following Q1 Earnings | https://www.thestreet.com/markets/ge-stock-lower-following-q1-earnings-13541161
## Verification Status
Included sources were checked for GE identity, the correct earnings event, publication date, timing window and source origin. GE Investor Relations / SEC is the factual anchor. No WSJ, Reuters, Dow Jones or MarketWatch-syndicated article is included. Attribution strength: **EXPLICIT**.
</x:v>
      </x:c>
      <x:c r="N2" s="15" t="str">
        <x:v>2016-01-22 | GE Investor Relations | GE 4th Quarter &amp; Total Year 2015 Earnings Webcast | https://www.ge.com/investor-relations/events-reports/ge-4th-quarter-total-year-2015-earnings-webcast</x:v>
      </x:c>
      <x:c r="O2" s="15" t="str">
        <x:v>2016-04-22 | GE Investor Relations | GE 1st Quarter 2016 Earnings Webcast | https://www.ge.com/investor-relations/events-reports/ge-1st-quarter-2016-earnings-webcast</x:v>
      </x:c>
      <x:c r="P2" s="15" t="str">
        <x:v>2016-04-22 | TheStreet | GE Stock Lower Following Q1 Earnings | https://www.thestreet.com/markets/ge-stock-lower-following-q1-earnings-13541161</x:v>
      </x:c>
      <x:c r="Q2" s="15" t="str">
        <x:v>2016-01-22 | GE Investor Relations | GE 4th Quarter &amp; Total Year 2015 Earnings Webcast | https://www.ge.com/investor-relations/events-reports/ge-4th-quarter-total-year-2015-earnings-webcast
2016-04-22 | GE Investor Relations | GE 1st Quarter 2016 Earnings Webcast | https://www.ge.com/investor-relations/events-reports/ge-1st-quarter-2016-earnings-webcast
2016-04-22 | TheStreet | GE Stock Lower Following Q1 Earnings | https://www.thestreet.com/markets/ge-stock-lower-following-q1-earnings-13541161</x:v>
      </x:c>
      <x:c r="R2" s="15" t="n">
        <x:v>3</x:v>
      </x:c>
      <x:c r="S2" s="15" t="str">
        <x:v>PASS</x:v>
      </x:c>
    </x:row>
    <x:row r="3" ht="350" customHeight="1">
      <x:c r="A3" s="15" t="n">
        <x:v>1</x:v>
      </x:c>
      <x:c r="B3" s="15" t="str">
        <x:v>GE</x:v>
      </x:c>
      <x:c r="C3" s="15" t="str">
        <x:v>General Electric</x:v>
      </x:c>
      <x:c r="D3" s="15" t="str">
        <x:v>2016q3</x:v>
      </x:c>
      <x:c r="E3" s="15" t="str">
        <x:v>2016-07-22</x:v>
      </x:c>
      <x:c r="F3" s="18" t="n">
        <x:v>-2.08</x:v>
      </x:c>
      <x:c r="G3" s="18" t="n">
        <x:v>-0.99</x:v>
      </x:c>
      <x:c r="H3" s="18" t="n">
        <x:v>-3.05</x:v>
      </x:c>
      <x:c r="I3" s="18" t="n">
        <x:v>-3.29</x:v>
      </x:c>
      <x:c r="J3" s="18" t="n">
        <x:v>-4.43</x:v>
      </x:c>
      <x:c r="K3" s="15" t="str">
        <x:v>ret_1day_pct</x:v>
      </x:c>
      <x:c r="L3" s="15" t="str">
        <x:v>DOWN</x:v>
      </x:c>
      <x:c r="M3" s="15" t="str">
        <x:v>## Prior Context
After Q1, investors wanted stronger industrial cash generation and clearer evidence that GE could achieve its 2016 growth targets despite energy and transportation weakness.
### Verified prior source
2016-04-22 | GE Investor Relations | GE 1st Quarter 2016 Earnings Webcast | https://www.ge.com/investor-relations/events-reports/ge-1st-quarter-2016-earnings-webcast
## Current Earnings Release
Q2 revenue rose to **$33.5 billion** and adjusted EPS reached **$0.51**, both above consensus. Power, Aviation and Healthcare were strong, while the Appliance sale also contributed to reported profit. GE reaffirmed full-year earnings guidance and continued large shareholder returns.
The quality of the quarter was less impressive beneath the headline beat. Organic industrial revenue declined about **1%**, equipment orders were weak, Oil &amp; Gas revenue fell **22%**, and Transportation revenue fell **13%**. Contemporaneous coverage also highlighted a roughly **$1 billion shortfall in free cash flow versus expectations**. With the stock near a seven-year high going into the release, investors focused on these weaker internal indicators.
### Verified release source
2016-07-22 | GE Investor Relations | GE 2nd Quarter 2016 Earnings Webcast | https://www.ge.com/investor-relations/events-reports/ge-2nd-quarter-2016-earnings-webcast
## Possible Drivers
**First-order driver.** Shares fell despite the beat because cash flow and equipment orders were weaker than investors expected.
**Second-order driver.** Oil &amp; Gas and Transportation remained major cyclical drags.
**Third-order driver.** The strong pre-earnings run raised the expectations bar and encouraged profit-taking.
### Verified reaction source
2016-07-22 | TheStreet | GE on Track for $26 Billion Payout After Profit Beat in 'Volatile' Economy | https://www.thestreet.com/story/13647780/1/ge-on-track-for-26-billion-payout-after-profit-beat-in-volatile-economy.html
## Verification Status
Included sources were checked for GE identity, the correct earnings event, publication date, timing window and source origin. GE Investor Relations / SEC is the factual anchor. No WSJ, Reuters, Dow Jones or MarketWatch-syndicated article is included. Attribution strength: **EXPLICIT**.
</x:v>
      </x:c>
      <x:c r="N3" s="15" t="str">
        <x:v>2016-04-22 | GE Investor Relations | GE 1st Quarter 2016 Earnings Webcast | https://www.ge.com/investor-relations/events-reports/ge-1st-quarter-2016-earnings-webcast</x:v>
      </x:c>
      <x:c r="O3" s="15" t="str">
        <x:v>2016-07-22 | GE Investor Relations | GE 2nd Quarter 2016 Earnings Webcast | https://www.ge.com/investor-relations/events-reports/ge-2nd-quarter-2016-earnings-webcast</x:v>
      </x:c>
      <x:c r="P3" s="15" t="str">
        <x:v>2016-07-22 | TheStreet | GE on Track for $26 Billion Payout After Profit Beat in 'Volatile' Economy | https://www.thestreet.com/story/13647780/1/ge-on-track-for-26-billion-payout-after-profit-beat-in-volatile-economy.html</x:v>
      </x:c>
      <x:c r="Q3" s="15" t="str">
        <x:v>2016-04-22 | GE Investor Relations | GE 1st Quarter 2016 Earnings Webcast | https://www.ge.com/investor-relations/events-reports/ge-1st-quarter-2016-earnings-webcast
2016-07-22 | GE Investor Relations | GE 2nd Quarter 2016 Earnings Webcast | https://www.ge.com/investor-relations/events-reports/ge-2nd-quarter-2016-earnings-webcast
2016-07-22 | TheStreet | GE on Track for $26 Billion Payout After Profit Beat in 'Volatile' Economy | https://www.thestreet.com/story/13647780/1/ge-on-track-for-26-billion-payout-after-profit-beat-in-volatile-economy.html</x:v>
      </x:c>
      <x:c r="R3" s="15" t="n">
        <x:v>3</x:v>
      </x:c>
      <x:c r="S3" s="15" t="str">
        <x:v>PASS</x:v>
      </x:c>
    </x:row>
    <x:row r="4" ht="350" customHeight="1">
      <x:c r="A4" s="15" t="n">
        <x:v>2</x:v>
      </x:c>
      <x:c r="B4" s="15" t="str">
        <x:v>GE</x:v>
      </x:c>
      <x:c r="C4" s="15" t="str">
        <x:v>General Electric</x:v>
      </x:c>
      <x:c r="D4" s="15" t="str">
        <x:v>2016q4</x:v>
      </x:c>
      <x:c r="E4" s="15" t="str">
        <x:v>2016-10-21</x:v>
      </x:c>
      <x:c r="F4" s="18" t="n">
        <x:v>-0.3</x:v>
      </x:c>
      <x:c r="G4" s="18" t="n">
        <x:v>-0.65</x:v>
      </x:c>
      <x:c r="H4" s="18" t="n">
        <x:v>-0.95</x:v>
      </x:c>
      <x:c r="I4" s="18" t="n">
        <x:v>-0.75</x:v>
      </x:c>
      <x:c r="J4" s="18" t="n">
        <x:v>-0.21</x:v>
      </x:c>
      <x:c r="K4" s="15" t="str">
        <x:v>ret_1day_pct</x:v>
      </x:c>
      <x:c r="L4" s="15" t="str">
        <x:v>DOWN</x:v>
      </x:c>
      <x:c r="M4" s="15" t="str">
        <x:v>## Prior Context
GE had already shown that headline EPS could hold up even while organic industrial demand remained soft. Q3 therefore tested whether revenue growth was finally improving and whether guidance remained credible.
### Verified prior source
2016-07-22 | GE Investor Relations | GE 2nd Quarter 2016 Earnings Webcast | https://www.ge.com/investor-relations/events-reports/ge-2nd-quarter-2016-earnings-webcast
## Current Earnings Release
Q3 revenue increased **4% to $29.27 billion** but missed the roughly **$29.64 billion** consensus. Adjusted EPS of **$0.32** exceeded the approximately $0.30 expectation. GE narrowed its full-year EPS range to **$1.48–$1.52**, essentially surrounding consensus.
The key issue was still top-line quality. Revenue missed, while the industrial environment remained uneven. Stronger Aviation, Power and Healthcare could not fully eliminate weakness elsewhere. The quarter was therefore a mixed print: better earnings than expected, but weaker sales and limited evidence of broad organic acceleration.
### Verified release source
2016-10-21 | GE Investor Relations | GE 3rd Quarter 2016 Earnings Webcast | https://www.ge.com/investor-relations/events-reports/ge-3rd-quarter-2016-earnings-webcast
## Possible Drivers
**First-order driver.** The stock slipped because the revenue miss outweighed the modest EPS beat.
**Second-order driver.** Persistent uneven industrial demand kept investors skeptical about the quality of growth.
**Third-order driver.** Narrowed guidance reduced uncertainty but did not provide a meaningful upside catalyst.
### Verified reaction source
2016-10-21 | TheStreet | GE Stock Slides as Q3 Revenue Missed Estimates | https://www.thestreet.com/markets/ge-stock-slides-as-q3-revenue-missed-estimates-13862438
## Verification Status
Included sources were checked for GE identity, the correct earnings event, publication date, timing window and source origin. GE Investor Relations / SEC is the factual anchor. No WSJ, Reuters, Dow Jones or MarketWatch-syndicated article is included. Attribution strength: **EXPLICIT**.
</x:v>
      </x:c>
      <x:c r="N4" s="15" t="str">
        <x:v>2016-07-22 | GE Investor Relations | GE 2nd Quarter 2016 Earnings Webcast | https://www.ge.com/investor-relations/events-reports/ge-2nd-quarter-2016-earnings-webcast</x:v>
      </x:c>
      <x:c r="O4" s="15" t="str">
        <x:v>2016-10-21 | GE Investor Relations | GE 3rd Quarter 2016 Earnings Webcast | https://www.ge.com/investor-relations/events-reports/ge-3rd-quarter-2016-earnings-webcast</x:v>
      </x:c>
      <x:c r="P4" s="15" t="str">
        <x:v>2016-10-21 | TheStreet | GE Stock Slides as Q3 Revenue Missed Estimates | https://www.thestreet.com/markets/ge-stock-slides-as-q3-revenue-missed-estimates-13862438</x:v>
      </x:c>
      <x:c r="Q4" s="15" t="str">
        <x:v>2016-07-22 | GE Investor Relations | GE 2nd Quarter 2016 Earnings Webcast | https://www.ge.com/investor-relations/events-reports/ge-2nd-quarter-2016-earnings-webcast
2016-10-21 | GE Investor Relations | GE 3rd Quarter 2016 Earnings Webcast | https://www.ge.com/investor-relations/events-reports/ge-3rd-quarter-2016-earnings-webcast
2016-10-21 | TheStreet | GE Stock Slides as Q3 Revenue Missed Estimates | https://www.thestreet.com/markets/ge-stock-slides-as-q3-revenue-missed-estimates-13862438</x:v>
      </x:c>
      <x:c r="R4" s="15" t="n">
        <x:v>3</x:v>
      </x:c>
      <x:c r="S4" s="15" t="str">
        <x:v>PASS</x:v>
      </x:c>
    </x:row>
    <x:row r="5" ht="350" customHeight="1">
      <x:c r="A5" s="15" t="n">
        <x:v>3</x:v>
      </x:c>
      <x:c r="B5" s="15" t="str">
        <x:v>GE</x:v>
      </x:c>
      <x:c r="C5" s="15" t="str">
        <x:v>General Electric</x:v>
      </x:c>
      <x:c r="D5" s="15" t="str">
        <x:v>2017q1</x:v>
      </x:c>
      <x:c r="E5" s="15" t="str">
        <x:v>2017-01-20</x:v>
      </x:c>
      <x:c r="F5" s="18" t="n">
        <x:v>-2.54</x:v>
      </x:c>
      <x:c r="G5" s="18" t="n">
        <x:v>-2.36</x:v>
      </x:c>
      <x:c r="H5" s="18" t="n">
        <x:v>-4.84</x:v>
      </x:c>
      <x:c r="I5" s="18" t="n">
        <x:v>-4.53</x:v>
      </x:c>
      <x:c r="J5" s="18" t="n">
        <x:v>-4.13</x:v>
      </x:c>
      <x:c r="K5" s="15" t="str">
        <x:v>ret_1day_pct</x:v>
      </x:c>
      <x:c r="L5" s="15" t="str">
        <x:v>DOWN</x:v>
      </x:c>
      <x:c r="M5" s="15" t="str">
        <x:v>## Prior Context
GE entered 2017 after a year of weak organic growth and continued restructuring. Investors wanted evidence that the company’s large Power and Aviation franchises could produce faster organic expansion and stronger cash flow.
### Verified prior source
2016-10-21 | GE Investor Relations | GE 3rd Quarter 2016 Earnings Webcast | https://www.ge.com/investor-relations/events-reports/ge-3rd-quarter-2016-earnings-webcast
## Current Earnings Release
Fourth-quarter revenue was about **$33.1 billion**, slightly below consensus, while adjusted EPS of **$0.46** was essentially in line. Organic industrial segment revenue declined **1%**, and weakness remained concentrated in Oil &amp; Gas, where revenue fell about **22%**.
Power revenue increased strongly on a reported basis, helped by Alstom, and Aviation was a bright spot. But the market focused on the lack of underlying organic acceleration. GE reaffirmed 2017 EPS guidance of **$1.60–$1.70**, yet the quarter did little to increase confidence that the industrial portfolio was already inflecting.
### Verified release source
2017-01-20 | GE Investor Relations | GE 4th Quarter 2016 Earnings Webcast | https://www.ge.com/investor-relations/events-reports/ge-4th-quarter-2016-earnings-webcast
## Possible Drivers
**First-order driver.** Shares fell because revenue and industrial sales were slightly below expectations while EPS was merely in line.
**Second-order driver.** Oil &amp; Gas weakness continued to drag the portfolio.
**Third-order driver.** Reaffirmed 2017 guidance prevented a larger negative reaction but did not create upside.
### Verified reaction source
2017-01-20 | TheStreet Pro | General Electric: Steady as She Goes | https://pro.thestreet.com/portfolio/general-electric-steady-as-she-goes
## Verification Status
Included sources were checked for GE identity, the correct earnings event, publication date, timing window and source origin. GE Investor Relations / SEC is the factual anchor. No WSJ, Reuters, Dow Jones or MarketWatch-syndicated article is included. Attribution strength: **EXPLICIT**.
</x:v>
      </x:c>
      <x:c r="N5" s="15" t="str">
        <x:v>2016-10-21 | GE Investor Relations | GE 3rd Quarter 2016 Earnings Webcast | https://www.ge.com/investor-relations/events-reports/ge-3rd-quarter-2016-earnings-webcast</x:v>
      </x:c>
      <x:c r="O5" s="15" t="str">
        <x:v>2017-01-20 | GE Investor Relations | GE 4th Quarter 2016 Earnings Webcast | https://www.ge.com/investor-relations/events-reports/ge-4th-quarter-2016-earnings-webcast</x:v>
      </x:c>
      <x:c r="P5" s="15" t="str">
        <x:v>2017-01-20 | TheStreet Pro | General Electric: Steady as She Goes | https://pro.thestreet.com/portfolio/general-electric-steady-as-she-goes</x:v>
      </x:c>
      <x:c r="Q5" s="15" t="str">
        <x:v>2016-10-21 | GE Investor Relations | GE 3rd Quarter 2016 Earnings Webcast | https://www.ge.com/investor-relations/events-reports/ge-3rd-quarter-2016-earnings-webcast
2017-01-20 | GE Investor Relations | GE 4th Quarter 2016 Earnings Webcast | https://www.ge.com/investor-relations/events-reports/ge-4th-quarter-2016-earnings-webcast
2017-01-20 | TheStreet Pro | General Electric: Steady as She Goes | https://pro.thestreet.com/portfolio/general-electric-steady-as-she-goes</x:v>
      </x:c>
      <x:c r="R5" s="15" t="n">
        <x:v>3</x:v>
      </x:c>
      <x:c r="S5" s="15" t="str">
        <x:v>PASS</x:v>
      </x:c>
    </x:row>
    <x:row r="6" ht="350" customHeight="1">
      <x:c r="A6" s="15" t="n">
        <x:v>4</x:v>
      </x:c>
      <x:c r="B6" s="15" t="str">
        <x:v>GE</x:v>
      </x:c>
      <x:c r="C6" s="15" t="str">
        <x:v>General Electric</x:v>
      </x:c>
      <x:c r="D6" s="15" t="str">
        <x:v>2017q2</x:v>
      </x:c>
      <x:c r="E6" s="15" t="str">
        <x:v>2017-04-21</x:v>
      </x:c>
      <x:c r="F6" s="18" t="n">
        <x:v>-2.09</x:v>
      </x:c>
      <x:c r="G6" s="18" t="n">
        <x:v>-1.08</x:v>
      </x:c>
      <x:c r="H6" s="18" t="n">
        <x:v>-3.15</x:v>
      </x:c>
      <x:c r="I6" s="18" t="n">
        <x:v>-3.02</x:v>
      </x:c>
      <x:c r="J6" s="18" t="n">
        <x:v>-4.53</x:v>
      </x:c>
      <x:c r="K6" s="15" t="str">
        <x:v>ret_1day_pct</x:v>
      </x:c>
      <x:c r="L6" s="15" t="str">
        <x:v>DOWN</x:v>
      </x:c>
      <x:c r="M6" s="15" t="str">
        <x:v>## Prior Context
Cash generation had become one of the market’s most important measures of GE’s transformation. Investors were no longer satisfied with accounting earnings alone; they wanted industrial cash flow to validate the reported profit.
### Verified prior source
2017-01-20 | GE Investor Relations | GE 4th Quarter 2016 Earnings Webcast | https://www.ge.com/investor-relations/events-reports/ge-4th-quarter-2016-earnings-webcast
## Current Earnings Release
Q1 revenue was about **$27.66 billion** and adjusted EPS **$0.21**, both above consensus. Organic industrial revenue increased **7%**, orders rose **10%**, and industrial operating margin expanded about **130 basis points**. On the income statement, this was a strong quarter.
The problem was cash. Industrial CFOA was **negative $1.6 billion**, around **$1 billion worse than GE itself had expected**, largely because of working capital and billing timing. GE maintained its full-year cash-flow target, but investors had already become sensitive to the gap between reported earnings and cash conversion. The stock therefore fell despite the top- and bottom-line beat.
### Verified release source
2017-04-21 | GE Investor Relations | GE 1st Quarter 2017 Earnings Webcast | https://www.ge.com/investor-relations/events-reports/ge-1st-quarter-2017-earnings-webcast
2017-04-21 | GE | GE 1Q 2017 Earnings Press Release | https://www.ge.com/sites/default/files/ge_webcast_pressrelease_04212017.pdf
## Possible Drivers
**First-order driver.** The stock fell because industrial cash flow was roughly $1 billion worse than management expected.
**Second-order driver.** The revenue/EPS beat was strong, but investors questioned the quality of earnings without matching cash conversion.
**Third-order driver.** Reaffirmed full-year cash guidance limited the damage but required a very large second-half recovery.
### Verified reaction source
No independent reaction article included within the +0 to +3 day window; attribution is therefore labeled as supported inference rather than explicit news attribution.
## Verification Status
Included sources were checked for GE identity, the correct earnings event, publication date, timing window and source origin. GE Investor Relations / SEC is the factual anchor. No WSJ, Reuters, Dow Jones or MarketWatch-syndicated article is included. Attribution strength: **SUPPORTED_INFERENCE**.
</x:v>
      </x:c>
      <x:c r="N6" s="15" t="str">
        <x:v>2017-01-20 | GE Investor Relations | GE 4th Quarter 2016 Earnings Webcast | https://www.ge.com/investor-relations/events-reports/ge-4th-quarter-2016-earnings-webcast</x:v>
      </x:c>
      <x:c r="O6" s="15" t="str">
        <x:v>2017-04-21 | GE Investor Relations | GE 1st Quarter 2017 Earnings Webcast | https://www.ge.com/investor-relations/events-reports/ge-1st-quarter-2017-earnings-webcast
2017-04-21 | GE | GE 1Q 2017 Earnings Press Release | https://www.ge.com/sites/default/files/ge_webcast_pressrelease_04212017.pdf</x:v>
      </x:c>
      <x:c r="P6" s="15" t="str">
        <x:v>No independent reaction article included within the +0 to +3 day window; attribution is therefore labeled as supported inference rather than explicit news attribution.</x:v>
      </x:c>
      <x:c r="Q6" s="15" t="str">
        <x:v>2017-01-20 | GE Investor Relations | GE 4th Quarter 2016 Earnings Webcast | https://www.ge.com/investor-relations/events-reports/ge-4th-quarter-2016-earnings-webcast
2017-04-21 | GE Investor Relations | GE 1st Quarter 2017 Earnings Webcast | https://www.ge.com/investor-relations/events-reports/ge-1st-quarter-2017-earnings-webcast
2017-04-21 | GE | GE 1Q 2017 Earnings Press Release | https://www.ge.com/sites/default/files/ge_webcast_pressrelease_04212017.pdf</x:v>
      </x:c>
      <x:c r="R6" s="15" t="n">
        <x:v>3</x:v>
      </x:c>
      <x:c r="S6" s="15" t="str">
        <x:v>PASS</x:v>
      </x:c>
    </x:row>
    <x:row r="7" ht="350" customHeight="1">
      <x:c r="A7" s="15" t="n">
        <x:v>5</x:v>
      </x:c>
      <x:c r="B7" s="15" t="str">
        <x:v>GE</x:v>
      </x:c>
      <x:c r="C7" s="15" t="str">
        <x:v>General Electric</x:v>
      </x:c>
      <x:c r="D7" s="15" t="str">
        <x:v>2017q3</x:v>
      </x:c>
      <x:c r="E7" s="15" t="str">
        <x:v>2017-07-21</x:v>
      </x:c>
      <x:c r="F7" s="18" t="n">
        <x:v>-2.83</x:v>
      </x:c>
      <x:c r="G7" s="18" t="n">
        <x:v>-1.84</x:v>
      </x:c>
      <x:c r="H7" s="18" t="n">
        <x:v>-4.62</x:v>
      </x:c>
      <x:c r="I7" s="18" t="n">
        <x:v>-5.51</x:v>
      </x:c>
      <x:c r="J7" s="18" t="n">
        <x:v>-5.23</x:v>
      </x:c>
      <x:c r="K7" s="15" t="str">
        <x:v>ret_1day_pct</x:v>
      </x:c>
      <x:c r="L7" s="15" t="str">
        <x:v>DOWN</x:v>
      </x:c>
      <x:c r="M7" s="15" t="str">
        <x:v>## Prior Context
GE’s weak Q1 cash flow had increased pressure on Jeff Immelt just before his planned CEO transition to John Flannery. Q2 needed to demonstrate that cash generation was recovering fast enough to preserve full-year targets.
### Verified prior source
2017-04-21 | GE Investor Relations | GE 1st Quarter 2017 Earnings Webcast | https://www.ge.com/investor-relations/events-reports/ge-1st-quarter-2017-earnings-webcast
## Current Earnings Release
Q2 adjusted EPS was **$0.28**, above consensus near $0.25, and revenue of **$29.6 billion** also topped expectations. Industrial CFOA improved by about **$3.1 billion sequentially**, but first-half industrial cash flow was still slightly negative.
Management then lowered the tone of the outlook. Immelt said full-year EPS would likely land toward the **bottom of the prior $1.60–$1.70 range**, and industrial cash flow was expected at the **low end** of the $12–$14 billion framework. Oil &amp; Gas performance was also described as weaker than previously anticipated. The stock fell sharply despite the headline beat.
### Verified release source
2017-07-21 | GE Investor Relations | GE 2nd Quarter 2017 Earnings Webcast | https://www.ge.com/investor-relations/events-reports/ge-2nd-quarter-2017-earnings-webcast
## Possible Drivers
**First-order driver.** Shares fell because management effectively guided investors toward the low end of both earnings and cash-flow expectations.
**Second-order driver.** The profit beat was low quality, helped by lower corporate and restructuring expense rather than broad growth.
**Third-order driver.** The CEO transition increased uncertainty about how aggressively Flannery would reset targets.
### Verified reaction source
2017-07-21 | TheStreet | Stocks Come Off Lows but GE and Energy Sector Remain a Drag | https://www.thestreet.com/investing/stocks-hold-lower-as-ge-and-energy-sector-are-big-drags-14238619
## Verification Status
Included sources were checked for GE identity, the correct earnings event, publication date, timing window and source origin. GE Investor Relations / SEC is the factual anchor. No WSJ, Reuters, Dow Jones or MarketWatch-syndicated article is included. Attribution strength: **EXPLICIT**.
</x:v>
      </x:c>
      <x:c r="N7" s="15" t="str">
        <x:v>2017-04-21 | GE Investor Relations | GE 1st Quarter 2017 Earnings Webcast | https://www.ge.com/investor-relations/events-reports/ge-1st-quarter-2017-earnings-webcast</x:v>
      </x:c>
      <x:c r="O7" s="15" t="str">
        <x:v>2017-07-21 | GE Investor Relations | GE 2nd Quarter 2017 Earnings Webcast | https://www.ge.com/investor-relations/events-reports/ge-2nd-quarter-2017-earnings-webcast</x:v>
      </x:c>
      <x:c r="P7" s="15" t="str">
        <x:v>2017-07-21 | TheStreet | Stocks Come Off Lows but GE and Energy Sector Remain a Drag | https://www.thestreet.com/investing/stocks-hold-lower-as-ge-and-energy-sector-are-big-drags-14238619</x:v>
      </x:c>
      <x:c r="Q7" s="15" t="str">
        <x:v>2017-04-21 | GE Investor Relations | GE 1st Quarter 2017 Earnings Webcast | https://www.ge.com/investor-relations/events-reports/ge-1st-quarter-2017-earnings-webcast
2017-07-21 | GE Investor Relations | GE 2nd Quarter 2017 Earnings Webcast | https://www.ge.com/investor-relations/events-reports/ge-2nd-quarter-2017-earnings-webcast
2017-07-21 | TheStreet | Stocks Come Off Lows but GE and Energy Sector Remain a Drag | https://www.thestreet.com/investing/stocks-hold-lower-as-ge-and-energy-sector-are-big-drags-14238619</x:v>
      </x:c>
      <x:c r="R7" s="15" t="n">
        <x:v>3</x:v>
      </x:c>
      <x:c r="S7" s="15" t="str">
        <x:v>PASS</x:v>
      </x:c>
    </x:row>
    <x:row r="8" ht="350" customHeight="1">
      <x:c r="A8" s="15" t="n">
        <x:v>6</x:v>
      </x:c>
      <x:c r="B8" s="15" t="str">
        <x:v>GE</x:v>
      </x:c>
      <x:c r="C8" s="15" t="str">
        <x:v>General Electric</x:v>
      </x:c>
      <x:c r="D8" s="15" t="str">
        <x:v>2017q4</x:v>
      </x:c>
      <x:c r="E8" s="15" t="str">
        <x:v>2017-10-20</x:v>
      </x:c>
      <x:c r="F8" s="18" t="n">
        <x:v>0.64</x:v>
      </x:c>
      <x:c r="G8" s="18" t="n">
        <x:v>-5.91</x:v>
      </x:c>
      <x:c r="H8" s="18" t="n">
        <x:v>-5.31</x:v>
      </x:c>
      <x:c r="I8" s="18" t="n">
        <x:v>-3.41</x:v>
      </x:c>
      <x:c r="J8" s="18" t="n">
        <x:v>-6.61</x:v>
      </x:c>
      <x:c r="K8" s="15" t="str">
        <x:v>ret_1day_pct</x:v>
      </x:c>
      <x:c r="L8" s="15" t="str">
        <x:v>UP</x:v>
      </x:c>
      <x:c r="M8" s="15" t="str">
        <x:v>## Prior Context
This was John Flannery’s first earnings report as CEO, and investors expected a major reset. Power had deteriorated, industrial cash flow was far behind plan, and the dividend had become a central concern.
### Verified prior source
2017-07-21 | GE Investor Relations | GE 2nd Quarter 2017 Earnings Webcast | https://www.ge.com/investor-relations/events-reports/ge-2nd-quarter-2017-earnings-webcast
## Current Earnings Release
GE reported adjusted EPS of only **$0.29**, far below consensus near **$0.49**, even though revenue of **$33.47 billion** beat expectations. Power performance was especially poor, with weak market demand, execution problems, project delays and higher costs.
Management cut full-year EPS guidance to **$1.05–$1.10** from $1.60–$1.70 and reduced the industrial cash-flow target to about **$7 billion**. Flannery called the results “unacceptable.” The stock initially plunged more than 6% but recovered to finish the earnings day slightly higher. That same-day rebound did not mean the report was viewed positively: dividend fears and analyst downgrades drove a very large decline in the following session.
### Verified release source
2017-10-20 | GE Investor Relations | GE 3rd Quarter 2017 Earnings Webcast | https://www.ge.com/investor-relations/events-reports/ge-3rd-quarter-2017-earnings-webcast
## Possible Drivers
**First-order driver.** The same-day close was slightly positive only because the initial 6% plunge reversed; the earnings report itself was fundamentally very weak.
**Second-order driver.** Power deterioration and the collapse in cash-flow guidance put the dividend at risk.
**Third-order driver.** The negative interpretation persisted into the next session as analysts reassessed GE under the new CEO.
### Verified reaction source
2017-10-21 | The Motley Fool | Why General Electric Stock Dropped, Then Bounced Back, on Friday | https://www.fool.com/investing/2017/10/21/why-general-electric-stock-dropped-then-bounced-ba.aspx
2017-10-20 | TheStreet | 'Things Will Not Stay the Same at GE,' New CEO Vows After Dismal Earnings | https://www.thestreet.com/investing/stocks/ge-3q-earnings-miss-14349831
## Verification Status
Included sources were checked for GE identity, the correct earnings event, publication date, timing window and source origin. GE Investor Relations / SEC is the factual anchor. No WSJ, Reuters, Dow Jones or MarketWatch-syndicated article is included. Attribution strength: **EXPLICIT_PATH_REVERSAL**.
</x:v>
      </x:c>
      <x:c r="N8" s="15" t="str">
        <x:v>2017-07-21 | GE Investor Relations | GE 2nd Quarter 2017 Earnings Webcast | https://www.ge.com/investor-relations/events-reports/ge-2nd-quarter-2017-earnings-webcast</x:v>
      </x:c>
      <x:c r="O8" s="15" t="str">
        <x:v>2017-10-20 | GE Investor Relations | GE 3rd Quarter 2017 Earnings Webcast | https://www.ge.com/investor-relations/events-reports/ge-3rd-quarter-2017-earnings-webcast</x:v>
      </x:c>
      <x:c r="P8" s="15" t="str">
        <x:v>2017-10-21 | The Motley Fool | Why General Electric Stock Dropped, Then Bounced Back, on Friday | https://www.fool.com/investing/2017/10/21/why-general-electric-stock-dropped-then-bounced-ba.aspx
2017-10-20 | TheStreet | 'Things Will Not Stay the Same at GE,' New CEO Vows After Dismal Earnings | https://www.thestreet.com/investing/stocks/ge-3q-earnings-miss-14349831</x:v>
      </x:c>
      <x:c r="Q8" s="15" t="str">
        <x:v>2017-07-21 | GE Investor Relations | GE 2nd Quarter 2017 Earnings Webcast | https://www.ge.com/investor-relations/events-reports/ge-2nd-quarter-2017-earnings-webcast
2017-10-20 | GE Investor Relations | GE 3rd Quarter 2017 Earnings Webcast | https://www.ge.com/investor-relations/events-reports/ge-3rd-quarter-2017-earnings-webcast
2017-10-21 | The Motley Fool | Why General Electric Stock Dropped, Then Bounced Back, on Friday | https://www.fool.com/investing/2017/10/21/why-general-electric-stock-dropped-then-bounced-ba.aspx
2017-10-20 | TheStreet | 'Things Will Not Stay the Same at GE,' New CEO Vows After Dismal Earnings | https://www.thestreet.com/investing/stocks/ge-3q-earnings-miss-14349831</x:v>
      </x:c>
      <x:c r="R8" s="15" t="n">
        <x:v>4</x:v>
      </x:c>
      <x:c r="S8" s="15" t="str">
        <x:v>PASS</x:v>
      </x:c>
    </x:row>
    <x:row r="9" ht="350" customHeight="1">
      <x:c r="A9" s="15" t="n">
        <x:v>7</x:v>
      </x:c>
      <x:c r="B9" s="15" t="str">
        <x:v>GE</x:v>
      </x:c>
      <x:c r="C9" s="15" t="str">
        <x:v>General Electric</x:v>
      </x:c>
      <x:c r="D9" s="15" t="str">
        <x:v>2018q1</x:v>
      </x:c>
      <x:c r="E9" s="15" t="str">
        <x:v>2018-01-24</x:v>
      </x:c>
      <x:c r="F9" s="18" t="n">
        <x:v>-2.57</x:v>
      </x:c>
      <x:c r="G9" s="18" t="n">
        <x:v>-1.59</x:v>
      </x:c>
      <x:c r="H9" s="18" t="n">
        <x:v>-4.12</x:v>
      </x:c>
      <x:c r="I9" s="18" t="n">
        <x:v>-0.1</x:v>
      </x:c>
      <x:c r="J9" s="18" t="n">
        <x:v>0.19</x:v>
      </x:c>
      <x:c r="K9" s="15" t="str">
        <x:v>ret_1day_pct</x:v>
      </x:c>
      <x:c r="L9" s="15" t="str">
        <x:v>DOWN</x:v>
      </x:c>
      <x:c r="M9" s="15" t="str">
        <x:v>## Prior Context
By early 2018 GE had already cut its dividend and disclosed a massive insurance-reserve problem. Investors were focused on whether more balance-sheet or accounting problems would emerge under Flannery’s review.
### Verified prior source
2017-10-20 | GE Investor Relations | GE 3rd Quarter 2017 Earnings Webcast | https://www.ge.com/investor-relations/events-reports/ge-3rd-quarter-2017-earnings-webcast
## Current Earnings Release
GE reported adjusted EPS of **$0.27**, below consensus around $0.29, and revenue of about **$31.4 billion**, well below forecasts near $33.8 billion. Power segment profit fell **88%**, while Aviation and Healthcare remained strong.
The decisive additional disclosure came on the conference call: GE said the **SEC was investigating** the process behind its insurance-reserve increase as well as revenue recognition and controls for long-term service agreements. Shares initially opened higher but reversed sharply after that disclosure. The quarter therefore combined weak operating results with a new accounting/regulatory risk.
### Verified release source
2018-01-24 | SEC / GE | GE Announces Fourth Quarter 2017 Results | https://www.sec.gov/Archives/edgar/data/40545/000004054518000006/ge4q2017ex99.htm
## Possible Drivers
**First-order driver.** The stock fell after GE disclosed an SEC investigation tied to insurance reserves and revenue-recognition controls.
**Second-order driver.** Revenue and adjusted EPS both missed expectations.
**Third-order driver.** Power’s 88% profit decline reinforced fears that the turnaround would take years rather than quarters.
### Verified reaction source
2018-01-24 | TheStreet | GE Stock Erases Gains After Weak Earnings, SEC Probe | https://www.thestreet.com/investing/general-electric-stock-rising-despite-earnings-revenue-miss-14460454
## Verification Status
Included sources were checked for GE identity, the correct earnings event, publication date, timing window and source origin. GE Investor Relations / SEC is the factual anchor. No WSJ, Reuters, Dow Jones or MarketWatch-syndicated article is included. Attribution strength: **EXPLICIT**.
</x:v>
      </x:c>
      <x:c r="N9" s="15" t="str">
        <x:v>2017-10-20 | GE Investor Relations | GE 3rd Quarter 2017 Earnings Webcast | https://www.ge.com/investor-relations/events-reports/ge-3rd-quarter-2017-earnings-webcast</x:v>
      </x:c>
      <x:c r="O9" s="15" t="str">
        <x:v>2018-01-24 | SEC / GE | GE Announces Fourth Quarter 2017 Results | https://www.sec.gov/Archives/edgar/data/40545/000004054518000006/ge4q2017ex99.htm</x:v>
      </x:c>
      <x:c r="P9" s="15" t="str">
        <x:v>2018-01-24 | TheStreet | GE Stock Erases Gains After Weak Earnings, SEC Probe | https://www.thestreet.com/investing/general-electric-stock-rising-despite-earnings-revenue-miss-14460454</x:v>
      </x:c>
      <x:c r="Q9" s="15" t="str">
        <x:v>2017-10-20 | GE Investor Relations | GE 3rd Quarter 2017 Earnings Webcast | https://www.ge.com/investor-relations/events-reports/ge-3rd-quarter-2017-earnings-webcast
2018-01-24 | SEC / GE | GE Announces Fourth Quarter 2017 Results | https://www.sec.gov/Archives/edgar/data/40545/000004054518000006/ge4q2017ex99.htm
2018-01-24 | TheStreet | GE Stock Erases Gains After Weak Earnings, SEC Probe | https://www.thestreet.com/investing/general-electric-stock-rising-despite-earnings-revenue-miss-14460454</x:v>
      </x:c>
      <x:c r="R9" s="15" t="n">
        <x:v>3</x:v>
      </x:c>
      <x:c r="S9" s="15" t="str">
        <x:v>PASS</x:v>
      </x:c>
    </x:row>
    <x:row r="10" ht="350" customHeight="1">
      <x:c r="A10" s="15" t="n">
        <x:v>8</x:v>
      </x:c>
      <x:c r="B10" s="15" t="str">
        <x:v>GE</x:v>
      </x:c>
      <x:c r="C10" s="15" t="str">
        <x:v>General Electric</x:v>
      </x:c>
      <x:c r="D10" s="15" t="str">
        <x:v>2018q2</x:v>
      </x:c>
      <x:c r="E10" s="15" t="str">
        <x:v>2018-04-20</x:v>
      </x:c>
      <x:c r="F10" s="18" t="n">
        <x:v>4.68</x:v>
      </x:c>
      <x:c r="G10" s="18" t="n">
        <x:v>-0.09</x:v>
      </x:c>
      <x:c r="H10" s="18" t="n">
        <x:v>4.58</x:v>
      </x:c>
      <x:c r="I10" s="18" t="n">
        <x:v>7.67</x:v>
      </x:c>
      <x:c r="J10" s="18" t="n">
        <x:v>5.27</x:v>
      </x:c>
      <x:c r="K10" s="15" t="str">
        <x:v>ret_1day_pct</x:v>
      </x:c>
      <x:c r="L10" s="15" t="str">
        <x:v>UP</x:v>
      </x:c>
      <x:c r="M10" s="15" t="str">
        <x:v>## Prior Context
After the insurance charge, SEC investigation and accounting restatement, expectations for GE had been pushed very low. Investors mainly wanted evidence that the company could avoid another guidance cut and show stabilization in cash flow.
### Verified prior source
2018-01-24 | SEC / GE | GE Announces Fourth Quarter 2017 Results | https://www.sec.gov/Archives/edgar/data/40545/000004054518000006/ge4q2017ex99.htm
## Current Earnings Release
Q1 adjusted EPS was **$0.16**, above the roughly $0.12 consensus, while revenue rose about **7% to $28.66 billion**, also above expectations. Adjusted industrial free cash flow was **negative $1.7 billion**, but that was in line with plan and about $1.1 billion better than a year earlier.
Aviation and Healthcare were the strongest segments, while Power and Oil &amp; Gas remained difficult. Importantly, GE **reaffirmed full-year EPS and free-cash-flow guidance** rather than cutting it. Against extremely depressed expectations, a quarter that was merely “not another disaster” was enough to produce a large positive stock reaction.
### Verified release source
2018-04-20 | GE | GE Announces First Quarter 2018 Results | https://www.ge.com/sites/default/files/ge_webcast_pressrelease_04202018.pdf
## Possible Drivers
**First-order driver.** Shares jumped because GE beat revenue/EPS estimates and, crucially, did not cut 2018 guidance.
**Second-order driver.** Aviation and Healthcare demonstrated that valuable core franchises were still performing well.
**Third-order driver.** Better year-over-year industrial cash flow supported the idea that the turnaround was beginning to stabilize.
### Verified reaction source
2018-04-20 | TheStreet | GE Rises on Earnings and Revenue Beats Despite Weakness in Power | https://www.thestreet.com/investing/earnings/ge-rises-on-earnings-revenue-beat-14562744
## Verification Status
Included sources were checked for GE identity, the correct earnings event, publication date, timing window and source origin. GE Investor Relations / SEC is the factual anchor. No WSJ, Reuters, Dow Jones or MarketWatch-syndicated article is included. Attribution strength: **EXPLICIT**.
</x:v>
      </x:c>
      <x:c r="N10" s="15" t="str">
        <x:v>2018-01-24 | SEC / GE | GE Announces Fourth Quarter 2017 Results | https://www.sec.gov/Archives/edgar/data/40545/000004054518000006/ge4q2017ex99.htm</x:v>
      </x:c>
      <x:c r="O10" s="15" t="str">
        <x:v>2018-04-20 | GE | GE Announces First Quarter 2018 Results | https://www.ge.com/sites/default/files/ge_webcast_pressrelease_04202018.pdf</x:v>
      </x:c>
      <x:c r="P10" s="15" t="str">
        <x:v>2018-04-20 | TheStreet | GE Rises on Earnings and Revenue Beats Despite Weakness in Power | https://www.thestreet.com/investing/earnings/ge-rises-on-earnings-revenue-beat-14562744</x:v>
      </x:c>
      <x:c r="Q10" s="15" t="str">
        <x:v>2018-01-24 | SEC / GE | GE Announces Fourth Quarter 2017 Results | https://www.sec.gov/Archives/edgar/data/40545/000004054518000006/ge4q2017ex99.htm
2018-04-20 | GE | GE Announces First Quarter 2018 Results | https://www.ge.com/sites/default/files/ge_webcast_pressrelease_04202018.pdf
2018-04-20 | TheStreet | GE Rises on Earnings and Revenue Beats Despite Weakness in Power | https://www.thestreet.com/investing/earnings/ge-rises-on-earnings-revenue-beat-14562744</x:v>
      </x:c>
      <x:c r="R10" s="15" t="n">
        <x:v>3</x:v>
      </x:c>
      <x:c r="S10" s="15" t="str">
        <x:v>PASS</x:v>
      </x:c>
    </x:row>
    <x:row r="11" ht="350" customHeight="1">
      <x:c r="A11" s="15" t="n">
        <x:v>9</x:v>
      </x:c>
      <x:c r="B11" s="15" t="str">
        <x:v>GE</x:v>
      </x:c>
      <x:c r="C11" s="15" t="str">
        <x:v>General Electric</x:v>
      </x:c>
      <x:c r="D11" s="15" t="str">
        <x:v>2018q3</x:v>
      </x:c>
      <x:c r="E11" s="15" t="str">
        <x:v>2018-07-20</x:v>
      </x:c>
      <x:c r="F11" s="18" t="n">
        <x:v>-4.34</x:v>
      </x:c>
      <x:c r="G11" s="18" t="n">
        <x:v>-1.09</x:v>
      </x:c>
      <x:c r="H11" s="18" t="n">
        <x:v>-5.39</x:v>
      </x:c>
      <x:c r="I11" s="18" t="n">
        <x:v>-5.29</x:v>
      </x:c>
      <x:c r="J11" s="18" t="n">
        <x:v>-5.39</x:v>
      </x:c>
      <x:c r="K11" s="15" t="str">
        <x:v>ret_1day_pct</x:v>
      </x:c>
      <x:c r="L11" s="15" t="str">
        <x:v>DOWN</x:v>
      </x:c>
      <x:c r="M11" s="15" t="str">
        <x:v>## Prior Context
By Q2 GE had completed a strategic review and announced plans to separate Healthcare and reduce its Baker Hughes stake. The remaining question was whether the core Power turnaround and cash-generation plan were progressing.
### Verified prior source
2018-04-20 | GE | GE Announces First Quarter 2018 Results | https://www.ge.com/sites/default/files/ge_webcast_pressrelease_04202018.pdf
## Current Earnings Release
Q2 adjusted EPS was **$0.19**, one cent above consensus, and revenue of **$30.1 billion** exceeded expectations near $29.4 billion. Aviation and Healthcare again performed well.
Power remained the central problem: segment revenue fell **19%**, orders dropped **26%**, and profit declined sharply. GE also reduced its industrial free-cash-flow expectation to about **$6 billion**, from the prior $6–$7 billion range. Shares initially rose before the open but reversed and closed sharply lower as the cash-flow cut and Power weakness dominated the modest headline beat.
### Verified release source
2018-07-20 | GE | GE Announces Second Quarter 2018 Results | https://www.ge.com/sites/default/files/ge_webcast_pressrelease_07202018_2.pdf
## Possible Drivers
**First-order driver.** The stock fell because GE cut its free-cash-flow outlook despite beating EPS and revenue estimates.
**Second-order driver.** Power orders and revenue showed that the core turnaround was still deteriorating.
**Third-order driver.** Strong Aviation and Healthcare results were not enough to offset the cash-flow and Power concerns.
### Verified reaction source
2018-07-20 | TheStreet | General Electric Turns Lower, Trims Cash Flow Guidance | https://www.thestreet.com/investing/earnings/general-electric-jumps-on-better-than-expected-quarterly-results-14656873
2018-07-20 | CNN Money | GE earnings hurt by its slumping power business | https://money.cnn.com/2018/07/20/investing/ge-stock-earnings-power/index.html
## Verification Status
Included sources were checked for GE identity, the correct earnings event, publication date, timing window and source origin. GE Investor Relations / SEC is the factual anchor. No WSJ, Reuters, Dow Jones or MarketWatch-syndicated article is included. Attribution strength: **EXPLICIT**.
</x:v>
      </x:c>
      <x:c r="N11" s="15" t="str">
        <x:v>2018-04-20 | GE | GE Announces First Quarter 2018 Results | https://www.ge.com/sites/default/files/ge_webcast_pressrelease_04202018.pdf</x:v>
      </x:c>
      <x:c r="O11" s="15" t="str">
        <x:v>2018-07-20 | GE | GE Announces Second Quarter 2018 Results | https://www.ge.com/sites/default/files/ge_webcast_pressrelease_07202018_2.pdf</x:v>
      </x:c>
      <x:c r="P11" s="15" t="str">
        <x:v>2018-07-20 | TheStreet | General Electric Turns Lower, Trims Cash Flow Guidance | https://www.thestreet.com/investing/earnings/general-electric-jumps-on-better-than-expected-quarterly-results-14656873
2018-07-20 | CNN Money | GE earnings hurt by its slumping power business | https://money.cnn.com/2018/07/20/investing/ge-stock-earnings-power/index.html</x:v>
      </x:c>
      <x:c r="Q11" s="15" t="str">
        <x:v>2018-04-20 | GE | GE Announces First Quarter 2018 Results | https://www.ge.com/sites/default/files/ge_webcast_pressrelease_04202018.pdf
2018-07-20 | GE | GE Announces Second Quarter 2018 Results | https://www.ge.com/sites/default/files/ge_webcast_pressrelease_07202018_2.pdf
2018-07-20 | TheStreet | General Electric Turns Lower, Trims Cash Flow Guidance | https://www.thestreet.com/investing/earnings/general-electric-jumps-on-better-than-expected-quarterly-results-14656873
2018-07-20 | CNN Money | GE earnings hurt by its slumping power business | https://money.cnn.com/2018/07/20/investing/ge-stock-earnings-power/index.html</x:v>
      </x:c>
      <x:c r="R11" s="15" t="n">
        <x:v>4</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2" hidden="0" customWidth="1"/>
    <x:col min="8" max="8" width="94"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8"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2016-04-22</x:v>
      </x:c>
      <x:c r="B2" s="12" t="str">
        <x:v>GE</x:v>
      </x:c>
      <x:c r="C2" s="12" t="str">
        <x:v>prior</x:v>
      </x:c>
      <x:c r="D2" s="12" t="str">
        <x:v>2016-01-22</x:v>
      </x:c>
      <x:c r="E2" s="12" t="n">
        <x:v>-91</x:v>
      </x:c>
      <x:c r="F2" s="12" t="str">
        <x:v>GE Investor Relations</x:v>
      </x:c>
      <x:c r="G2" s="12" t="str">
        <x:v>GE 4th Quarter &amp; Total Year 2015 Earnings Webcast</x:v>
      </x:c>
      <x:c r="H2" s="12" t="str">
        <x:v>https://www.ge.com/investor-relations/events-reports/ge-4th-quarter-total-year-2015-earnings-webcast</x:v>
      </x:c>
      <x:c r="I2" s="12" t="str">
        <x:v>VERIFIED</x:v>
      </x:c>
      <x:c r="J2" s="12" t="str">
        <x:v>PASS</x:v>
      </x:c>
      <x:c r="K2" s="12" t="str">
        <x:v>PASS</x:v>
      </x:c>
      <x:c r="L2" s="12" t="str">
        <x:v>PASS</x:v>
      </x:c>
      <x:c r="M2" s="12" t="str">
        <x:v>NO</x:v>
      </x:c>
      <x:c r="N2" s="12" t="str">
        <x:v>PASS</x:v>
      </x:c>
      <x:c r="O2" s="12" t="str">
        <x:v>FACTUAL</x:v>
      </x:c>
      <x:c r="P2" s="12" t="str">
        <x:v>PASS</x:v>
      </x:c>
      <x:c r="Q2" s="12" t="str">
        <x:v>Checked for GE identity, exact earnings event/date, timing window, and prohibited-source origin. Reuters/Dow Jones/WSJ/MarketWatch syndication excluded.</x:v>
      </x:c>
    </x:row>
    <x:row r="3">
      <x:c r="A3" s="12" t="str">
        <x:v>2016-04-22</x:v>
      </x:c>
      <x:c r="B3" s="12" t="str">
        <x:v>GE</x:v>
      </x:c>
      <x:c r="C3" s="12" t="str">
        <x:v>release</x:v>
      </x:c>
      <x:c r="D3" s="12" t="str">
        <x:v>2016-04-22</x:v>
      </x:c>
      <x:c r="E3" s="12" t="n">
        <x:v>0</x:v>
      </x:c>
      <x:c r="F3" s="12" t="str">
        <x:v>GE Investor Relations</x:v>
      </x:c>
      <x:c r="G3" s="12" t="str">
        <x:v>GE 1st Quarter 2016 Earnings Webcast</x:v>
      </x:c>
      <x:c r="H3" s="12" t="str">
        <x:v>https://www.ge.com/investor-relations/events-reports/ge-1st-quarter-2016-earnings-webcast</x:v>
      </x:c>
      <x:c r="I3" s="12" t="str">
        <x:v>VERIFIED</x:v>
      </x:c>
      <x:c r="J3" s="12" t="str">
        <x:v>PASS</x:v>
      </x:c>
      <x:c r="K3" s="12" t="str">
        <x:v>PASS</x:v>
      </x:c>
      <x:c r="L3" s="12" t="str">
        <x:v>PASS</x:v>
      </x:c>
      <x:c r="M3" s="12" t="str">
        <x:v>NO</x:v>
      </x:c>
      <x:c r="N3" s="12" t="str">
        <x:v>PASS</x:v>
      </x:c>
      <x:c r="O3" s="12" t="str">
        <x:v>FACTUAL</x:v>
      </x:c>
      <x:c r="P3" s="12" t="str">
        <x:v>PASS</x:v>
      </x:c>
      <x:c r="Q3" s="12" t="str">
        <x:v>Checked for GE identity, exact earnings event/date, timing window, and prohibited-source origin. Reuters/Dow Jones/WSJ/MarketWatch syndication excluded.</x:v>
      </x:c>
    </x:row>
    <x:row r="4">
      <x:c r="A4" s="12" t="str">
        <x:v>2016-04-22</x:v>
      </x:c>
      <x:c r="B4" s="12" t="str">
        <x:v>GE</x:v>
      </x:c>
      <x:c r="C4" s="12" t="str">
        <x:v>reaction</x:v>
      </x:c>
      <x:c r="D4" s="12" t="str">
        <x:v>2016-04-22</x:v>
      </x:c>
      <x:c r="E4" s="12" t="n">
        <x:v>0</x:v>
      </x:c>
      <x:c r="F4" s="12" t="str">
        <x:v>TheStreet</x:v>
      </x:c>
      <x:c r="G4" s="12" t="str">
        <x:v>GE Stock Lower Following Q1 Earnings</x:v>
      </x:c>
      <x:c r="H4" s="12" t="str">
        <x:v>https://www.thestreet.com/markets/ge-stock-lower-following-q1-earnings-13541161</x:v>
      </x:c>
      <x:c r="I4" s="12" t="str">
        <x:v>VERIFIED</x:v>
      </x:c>
      <x:c r="J4" s="12" t="str">
        <x:v>PASS</x:v>
      </x:c>
      <x:c r="K4" s="12" t="str">
        <x:v>PASS</x:v>
      </x:c>
      <x:c r="L4" s="12" t="str">
        <x:v>PASS</x:v>
      </x:c>
      <x:c r="M4" s="12" t="str">
        <x:v>NO</x:v>
      </x:c>
      <x:c r="N4" s="12" t="str">
        <x:v>PASS</x:v>
      </x:c>
      <x:c r="O4" s="12" t="str">
        <x:v>EXPLICIT</x:v>
      </x:c>
      <x:c r="P4" s="12" t="str">
        <x:v>PASS</x:v>
      </x:c>
      <x:c r="Q4" s="12" t="str">
        <x:v>Checked for GE identity, exact earnings event/date, timing window, and prohibited-source origin. Reuters/Dow Jones/WSJ/MarketWatch syndication excluded.</x:v>
      </x:c>
    </x:row>
    <x:row r="5">
      <x:c r="A5" s="12" t="str">
        <x:v>2016-07-22</x:v>
      </x:c>
      <x:c r="B5" s="12" t="str">
        <x:v>GE</x:v>
      </x:c>
      <x:c r="C5" s="12" t="str">
        <x:v>prior</x:v>
      </x:c>
      <x:c r="D5" s="12" t="str">
        <x:v>2016-04-22</x:v>
      </x:c>
      <x:c r="E5" s="12" t="n">
        <x:v>-91</x:v>
      </x:c>
      <x:c r="F5" s="12" t="str">
        <x:v>GE Investor Relations</x:v>
      </x:c>
      <x:c r="G5" s="12" t="str">
        <x:v>GE 1st Quarter 2016 Earnings Webcast</x:v>
      </x:c>
      <x:c r="H5" s="12" t="str">
        <x:v>https://www.ge.com/investor-relations/events-reports/ge-1st-quarter-2016-earnings-webcast</x:v>
      </x:c>
      <x:c r="I5" s="12" t="str">
        <x:v>VERIFIED</x:v>
      </x:c>
      <x:c r="J5" s="12" t="str">
        <x:v>PASS</x:v>
      </x:c>
      <x:c r="K5" s="12" t="str">
        <x:v>PASS</x:v>
      </x:c>
      <x:c r="L5" s="12" t="str">
        <x:v>PASS</x:v>
      </x:c>
      <x:c r="M5" s="12" t="str">
        <x:v>NO</x:v>
      </x:c>
      <x:c r="N5" s="12" t="str">
        <x:v>PASS</x:v>
      </x:c>
      <x:c r="O5" s="12" t="str">
        <x:v>FACTUAL</x:v>
      </x:c>
      <x:c r="P5" s="12" t="str">
        <x:v>PASS</x:v>
      </x:c>
      <x:c r="Q5" s="12" t="str">
        <x:v>Checked for GE identity, exact earnings event/date, timing window, and prohibited-source origin. Reuters/Dow Jones/WSJ/MarketWatch syndication excluded.</x:v>
      </x:c>
    </x:row>
    <x:row r="6">
      <x:c r="A6" s="12" t="str">
        <x:v>2016-07-22</x:v>
      </x:c>
      <x:c r="B6" s="12" t="str">
        <x:v>GE</x:v>
      </x:c>
      <x:c r="C6" s="12" t="str">
        <x:v>release</x:v>
      </x:c>
      <x:c r="D6" s="12" t="str">
        <x:v>2016-07-22</x:v>
      </x:c>
      <x:c r="E6" s="12" t="n">
        <x:v>0</x:v>
      </x:c>
      <x:c r="F6" s="12" t="str">
        <x:v>GE Investor Relations</x:v>
      </x:c>
      <x:c r="G6" s="12" t="str">
        <x:v>GE 2nd Quarter 2016 Earnings Webcast</x:v>
      </x:c>
      <x:c r="H6" s="12" t="str">
        <x:v>https://www.ge.com/investor-relations/events-reports/ge-2nd-quarter-2016-earnings-webcast</x:v>
      </x:c>
      <x:c r="I6" s="12" t="str">
        <x:v>VERIFIED</x:v>
      </x:c>
      <x:c r="J6" s="12" t="str">
        <x:v>PASS</x:v>
      </x:c>
      <x:c r="K6" s="12" t="str">
        <x:v>PASS</x:v>
      </x:c>
      <x:c r="L6" s="12" t="str">
        <x:v>PASS</x:v>
      </x:c>
      <x:c r="M6" s="12" t="str">
        <x:v>NO</x:v>
      </x:c>
      <x:c r="N6" s="12" t="str">
        <x:v>PASS</x:v>
      </x:c>
      <x:c r="O6" s="12" t="str">
        <x:v>FACTUAL</x:v>
      </x:c>
      <x:c r="P6" s="12" t="str">
        <x:v>PASS</x:v>
      </x:c>
      <x:c r="Q6" s="12" t="str">
        <x:v>Checked for GE identity, exact earnings event/date, timing window, and prohibited-source origin. Reuters/Dow Jones/WSJ/MarketWatch syndication excluded.</x:v>
      </x:c>
    </x:row>
    <x:row r="7">
      <x:c r="A7" s="12" t="str">
        <x:v>2016-07-22</x:v>
      </x:c>
      <x:c r="B7" s="12" t="str">
        <x:v>GE</x:v>
      </x:c>
      <x:c r="C7" s="12" t="str">
        <x:v>reaction</x:v>
      </x:c>
      <x:c r="D7" s="12" t="str">
        <x:v>2016-07-22</x:v>
      </x:c>
      <x:c r="E7" s="12" t="n">
        <x:v>0</x:v>
      </x:c>
      <x:c r="F7" s="12" t="str">
        <x:v>TheStreet</x:v>
      </x:c>
      <x:c r="G7" s="12" t="str">
        <x:v>GE on Track for $26 Billion Payout After Profit Beat in 'Volatile' Economy</x:v>
      </x:c>
      <x:c r="H7" s="12" t="str">
        <x:v>https://www.thestreet.com/story/13647780/1/ge-on-track-for-26-billion-payout-after-profit-beat-in-volatile-economy.html</x:v>
      </x:c>
      <x:c r="I7" s="12" t="str">
        <x:v>VERIFIED</x:v>
      </x:c>
      <x:c r="J7" s="12" t="str">
        <x:v>PASS</x:v>
      </x:c>
      <x:c r="K7" s="12" t="str">
        <x:v>PASS</x:v>
      </x:c>
      <x:c r="L7" s="12" t="str">
        <x:v>PASS</x:v>
      </x:c>
      <x:c r="M7" s="12" t="str">
        <x:v>NO</x:v>
      </x:c>
      <x:c r="N7" s="12" t="str">
        <x:v>PASS</x:v>
      </x:c>
      <x:c r="O7" s="12" t="str">
        <x:v>EXPLICIT</x:v>
      </x:c>
      <x:c r="P7" s="12" t="str">
        <x:v>PASS</x:v>
      </x:c>
      <x:c r="Q7" s="12" t="str">
        <x:v>Checked for GE identity, exact earnings event/date, timing window, and prohibited-source origin. Reuters/Dow Jones/WSJ/MarketWatch syndication excluded.</x:v>
      </x:c>
    </x:row>
    <x:row r="8">
      <x:c r="A8" s="12" t="str">
        <x:v>2016-10-21</x:v>
      </x:c>
      <x:c r="B8" s="12" t="str">
        <x:v>GE</x:v>
      </x:c>
      <x:c r="C8" s="12" t="str">
        <x:v>prior</x:v>
      </x:c>
      <x:c r="D8" s="12" t="str">
        <x:v>2016-07-22</x:v>
      </x:c>
      <x:c r="E8" s="12" t="n">
        <x:v>-91</x:v>
      </x:c>
      <x:c r="F8" s="12" t="str">
        <x:v>GE Investor Relations</x:v>
      </x:c>
      <x:c r="G8" s="12" t="str">
        <x:v>GE 2nd Quarter 2016 Earnings Webcast</x:v>
      </x:c>
      <x:c r="H8" s="12" t="str">
        <x:v>https://www.ge.com/investor-relations/events-reports/ge-2nd-quarter-2016-earnings-webcast</x:v>
      </x:c>
      <x:c r="I8" s="12" t="str">
        <x:v>VERIFIED</x:v>
      </x:c>
      <x:c r="J8" s="12" t="str">
        <x:v>PASS</x:v>
      </x:c>
      <x:c r="K8" s="12" t="str">
        <x:v>PASS</x:v>
      </x:c>
      <x:c r="L8" s="12" t="str">
        <x:v>PASS</x:v>
      </x:c>
      <x:c r="M8" s="12" t="str">
        <x:v>NO</x:v>
      </x:c>
      <x:c r="N8" s="12" t="str">
        <x:v>PASS</x:v>
      </x:c>
      <x:c r="O8" s="12" t="str">
        <x:v>FACTUAL</x:v>
      </x:c>
      <x:c r="P8" s="12" t="str">
        <x:v>PASS</x:v>
      </x:c>
      <x:c r="Q8" s="12" t="str">
        <x:v>Checked for GE identity, exact earnings event/date, timing window, and prohibited-source origin. Reuters/Dow Jones/WSJ/MarketWatch syndication excluded.</x:v>
      </x:c>
    </x:row>
    <x:row r="9">
      <x:c r="A9" s="12" t="str">
        <x:v>2016-10-21</x:v>
      </x:c>
      <x:c r="B9" s="12" t="str">
        <x:v>GE</x:v>
      </x:c>
      <x:c r="C9" s="12" t="str">
        <x:v>release</x:v>
      </x:c>
      <x:c r="D9" s="12" t="str">
        <x:v>2016-10-21</x:v>
      </x:c>
      <x:c r="E9" s="12" t="n">
        <x:v>0</x:v>
      </x:c>
      <x:c r="F9" s="12" t="str">
        <x:v>GE Investor Relations</x:v>
      </x:c>
      <x:c r="G9" s="12" t="str">
        <x:v>GE 3rd Quarter 2016 Earnings Webcast</x:v>
      </x:c>
      <x:c r="H9" s="12" t="str">
        <x:v>https://www.ge.com/investor-relations/events-reports/ge-3rd-quarter-2016-earnings-webcast</x:v>
      </x:c>
      <x:c r="I9" s="12" t="str">
        <x:v>VERIFIED</x:v>
      </x:c>
      <x:c r="J9" s="12" t="str">
        <x:v>PASS</x:v>
      </x:c>
      <x:c r="K9" s="12" t="str">
        <x:v>PASS</x:v>
      </x:c>
      <x:c r="L9" s="12" t="str">
        <x:v>PASS</x:v>
      </x:c>
      <x:c r="M9" s="12" t="str">
        <x:v>NO</x:v>
      </x:c>
      <x:c r="N9" s="12" t="str">
        <x:v>PASS</x:v>
      </x:c>
      <x:c r="O9" s="12" t="str">
        <x:v>FACTUAL</x:v>
      </x:c>
      <x:c r="P9" s="12" t="str">
        <x:v>PASS</x:v>
      </x:c>
      <x:c r="Q9" s="12" t="str">
        <x:v>Checked for GE identity, exact earnings event/date, timing window, and prohibited-source origin. Reuters/Dow Jones/WSJ/MarketWatch syndication excluded.</x:v>
      </x:c>
    </x:row>
    <x:row r="10">
      <x:c r="A10" s="12" t="str">
        <x:v>2016-10-21</x:v>
      </x:c>
      <x:c r="B10" s="12" t="str">
        <x:v>GE</x:v>
      </x:c>
      <x:c r="C10" s="12" t="str">
        <x:v>reaction</x:v>
      </x:c>
      <x:c r="D10" s="12" t="str">
        <x:v>2016-10-21</x:v>
      </x:c>
      <x:c r="E10" s="12" t="n">
        <x:v>0</x:v>
      </x:c>
      <x:c r="F10" s="12" t="str">
        <x:v>TheStreet</x:v>
      </x:c>
      <x:c r="G10" s="12" t="str">
        <x:v>GE Stock Slides as Q3 Revenue Missed Estimates</x:v>
      </x:c>
      <x:c r="H10" s="12" t="str">
        <x:v>https://www.thestreet.com/markets/ge-stock-slides-as-q3-revenue-missed-estimates-13862438</x:v>
      </x:c>
      <x:c r="I10" s="12" t="str">
        <x:v>VERIFIED</x:v>
      </x:c>
      <x:c r="J10" s="12" t="str">
        <x:v>PASS</x:v>
      </x:c>
      <x:c r="K10" s="12" t="str">
        <x:v>PASS</x:v>
      </x:c>
      <x:c r="L10" s="12" t="str">
        <x:v>PASS</x:v>
      </x:c>
      <x:c r="M10" s="12" t="str">
        <x:v>NO</x:v>
      </x:c>
      <x:c r="N10" s="12" t="str">
        <x:v>PASS</x:v>
      </x:c>
      <x:c r="O10" s="12" t="str">
        <x:v>EXPLICIT</x:v>
      </x:c>
      <x:c r="P10" s="12" t="str">
        <x:v>PASS</x:v>
      </x:c>
      <x:c r="Q10" s="12" t="str">
        <x:v>Checked for GE identity, exact earnings event/date, timing window, and prohibited-source origin. Reuters/Dow Jones/WSJ/MarketWatch syndication excluded.</x:v>
      </x:c>
    </x:row>
    <x:row r="11">
      <x:c r="A11" s="12" t="str">
        <x:v>2017-01-20</x:v>
      </x:c>
      <x:c r="B11" s="12" t="str">
        <x:v>GE</x:v>
      </x:c>
      <x:c r="C11" s="12" t="str">
        <x:v>prior</x:v>
      </x:c>
      <x:c r="D11" s="12" t="str">
        <x:v>2016-10-21</x:v>
      </x:c>
      <x:c r="E11" s="12" t="n">
        <x:v>-91</x:v>
      </x:c>
      <x:c r="F11" s="12" t="str">
        <x:v>GE Investor Relations</x:v>
      </x:c>
      <x:c r="G11" s="12" t="str">
        <x:v>GE 3rd Quarter 2016 Earnings Webcast</x:v>
      </x:c>
      <x:c r="H11" s="12" t="str">
        <x:v>https://www.ge.com/investor-relations/events-reports/ge-3rd-quarter-2016-earnings-webcast</x:v>
      </x:c>
      <x:c r="I11" s="12" t="str">
        <x:v>VERIFIED</x:v>
      </x:c>
      <x:c r="J11" s="12" t="str">
        <x:v>PASS</x:v>
      </x:c>
      <x:c r="K11" s="12" t="str">
        <x:v>PASS</x:v>
      </x:c>
      <x:c r="L11" s="12" t="str">
        <x:v>PASS</x:v>
      </x:c>
      <x:c r="M11" s="12" t="str">
        <x:v>NO</x:v>
      </x:c>
      <x:c r="N11" s="12" t="str">
        <x:v>PASS</x:v>
      </x:c>
      <x:c r="O11" s="12" t="str">
        <x:v>FACTUAL</x:v>
      </x:c>
      <x:c r="P11" s="12" t="str">
        <x:v>PASS</x:v>
      </x:c>
      <x:c r="Q11" s="12" t="str">
        <x:v>Checked for GE identity, exact earnings event/date, timing window, and prohibited-source origin. Reuters/Dow Jones/WSJ/MarketWatch syndication excluded.</x:v>
      </x:c>
    </x:row>
    <x:row r="12">
      <x:c r="A12" s="12" t="str">
        <x:v>2017-01-20</x:v>
      </x:c>
      <x:c r="B12" s="12" t="str">
        <x:v>GE</x:v>
      </x:c>
      <x:c r="C12" s="12" t="str">
        <x:v>release</x:v>
      </x:c>
      <x:c r="D12" s="12" t="str">
        <x:v>2017-01-20</x:v>
      </x:c>
      <x:c r="E12" s="12" t="n">
        <x:v>0</x:v>
      </x:c>
      <x:c r="F12" s="12" t="str">
        <x:v>GE Investor Relations</x:v>
      </x:c>
      <x:c r="G12" s="12" t="str">
        <x:v>GE 4th Quarter 2016 Earnings Webcast</x:v>
      </x:c>
      <x:c r="H12" s="12" t="str">
        <x:v>https://www.ge.com/investor-relations/events-reports/ge-4th-quarter-2016-earnings-webcast</x:v>
      </x:c>
      <x:c r="I12" s="12" t="str">
        <x:v>VERIFIED</x:v>
      </x:c>
      <x:c r="J12" s="12" t="str">
        <x:v>PASS</x:v>
      </x:c>
      <x:c r="K12" s="12" t="str">
        <x:v>PASS</x:v>
      </x:c>
      <x:c r="L12" s="12" t="str">
        <x:v>PASS</x:v>
      </x:c>
      <x:c r="M12" s="12" t="str">
        <x:v>NO</x:v>
      </x:c>
      <x:c r="N12" s="12" t="str">
        <x:v>PASS</x:v>
      </x:c>
      <x:c r="O12" s="12" t="str">
        <x:v>FACTUAL</x:v>
      </x:c>
      <x:c r="P12" s="12" t="str">
        <x:v>PASS</x:v>
      </x:c>
      <x:c r="Q12" s="12" t="str">
        <x:v>Checked for GE identity, exact earnings event/date, timing window, and prohibited-source origin. Reuters/Dow Jones/WSJ/MarketWatch syndication excluded.</x:v>
      </x:c>
    </x:row>
    <x:row r="13">
      <x:c r="A13" s="12" t="str">
        <x:v>2017-01-20</x:v>
      </x:c>
      <x:c r="B13" s="12" t="str">
        <x:v>GE</x:v>
      </x:c>
      <x:c r="C13" s="12" t="str">
        <x:v>reaction</x:v>
      </x:c>
      <x:c r="D13" s="12" t="str">
        <x:v>2017-01-20</x:v>
      </x:c>
      <x:c r="E13" s="12" t="n">
        <x:v>0</x:v>
      </x:c>
      <x:c r="F13" s="12" t="str">
        <x:v>TheStreet Pro</x:v>
      </x:c>
      <x:c r="G13" s="12" t="str">
        <x:v>General Electric: Steady as She Goes</x:v>
      </x:c>
      <x:c r="H13" s="12" t="str">
        <x:v>https://pro.thestreet.com/portfolio/general-electric-steady-as-she-goes</x:v>
      </x:c>
      <x:c r="I13" s="12" t="str">
        <x:v>VERIFIED</x:v>
      </x:c>
      <x:c r="J13" s="12" t="str">
        <x:v>PASS</x:v>
      </x:c>
      <x:c r="K13" s="12" t="str">
        <x:v>PASS</x:v>
      </x:c>
      <x:c r="L13" s="12" t="str">
        <x:v>PASS</x:v>
      </x:c>
      <x:c r="M13" s="12" t="str">
        <x:v>NO</x:v>
      </x:c>
      <x:c r="N13" s="12" t="str">
        <x:v>PASS</x:v>
      </x:c>
      <x:c r="O13" s="12" t="str">
        <x:v>EXPLICIT</x:v>
      </x:c>
      <x:c r="P13" s="12" t="str">
        <x:v>PASS</x:v>
      </x:c>
      <x:c r="Q13" s="12" t="str">
        <x:v>Checked for GE identity, exact earnings event/date, timing window, and prohibited-source origin. Reuters/Dow Jones/WSJ/MarketWatch syndication excluded.</x:v>
      </x:c>
    </x:row>
    <x:row r="14">
      <x:c r="A14" s="12" t="str">
        <x:v>2017-04-21</x:v>
      </x:c>
      <x:c r="B14" s="12" t="str">
        <x:v>GE</x:v>
      </x:c>
      <x:c r="C14" s="12" t="str">
        <x:v>prior</x:v>
      </x:c>
      <x:c r="D14" s="12" t="str">
        <x:v>2017-01-20</x:v>
      </x:c>
      <x:c r="E14" s="12" t="n">
        <x:v>-91</x:v>
      </x:c>
      <x:c r="F14" s="12" t="str">
        <x:v>GE Investor Relations</x:v>
      </x:c>
      <x:c r="G14" s="12" t="str">
        <x:v>GE 4th Quarter 2016 Earnings Webcast</x:v>
      </x:c>
      <x:c r="H14" s="12" t="str">
        <x:v>https://www.ge.com/investor-relations/events-reports/ge-4th-quarter-2016-earnings-webcast</x:v>
      </x:c>
      <x:c r="I14" s="12" t="str">
        <x:v>VERIFIED</x:v>
      </x:c>
      <x:c r="J14" s="12" t="str">
        <x:v>PASS</x:v>
      </x:c>
      <x:c r="K14" s="12" t="str">
        <x:v>PASS</x:v>
      </x:c>
      <x:c r="L14" s="12" t="str">
        <x:v>PASS</x:v>
      </x:c>
      <x:c r="M14" s="12" t="str">
        <x:v>NO</x:v>
      </x:c>
      <x:c r="N14" s="12" t="str">
        <x:v>PASS</x:v>
      </x:c>
      <x:c r="O14" s="12" t="str">
        <x:v>FACTUAL</x:v>
      </x:c>
      <x:c r="P14" s="12" t="str">
        <x:v>PASS</x:v>
      </x:c>
      <x:c r="Q14" s="12" t="str">
        <x:v>Checked for GE identity, exact earnings event/date, timing window, and prohibited-source origin. Reuters/Dow Jones/WSJ/MarketWatch syndication excluded.</x:v>
      </x:c>
    </x:row>
    <x:row r="15">
      <x:c r="A15" s="12" t="str">
        <x:v>2017-04-21</x:v>
      </x:c>
      <x:c r="B15" s="12" t="str">
        <x:v>GE</x:v>
      </x:c>
      <x:c r="C15" s="12" t="str">
        <x:v>release</x:v>
      </x:c>
      <x:c r="D15" s="12" t="str">
        <x:v>2017-04-21</x:v>
      </x:c>
      <x:c r="E15" s="12" t="n">
        <x:v>0</x:v>
      </x:c>
      <x:c r="F15" s="12" t="str">
        <x:v>GE Investor Relations</x:v>
      </x:c>
      <x:c r="G15" s="12" t="str">
        <x:v>GE 1st Quarter 2017 Earnings Webcast</x:v>
      </x:c>
      <x:c r="H15" s="12" t="str">
        <x:v>https://www.ge.com/investor-relations/events-reports/ge-1st-quarter-2017-earnings-webcast</x:v>
      </x:c>
      <x:c r="I15" s="12" t="str">
        <x:v>VERIFIED</x:v>
      </x:c>
      <x:c r="J15" s="12" t="str">
        <x:v>PASS</x:v>
      </x:c>
      <x:c r="K15" s="12" t="str">
        <x:v>PASS</x:v>
      </x:c>
      <x:c r="L15" s="12" t="str">
        <x:v>PASS</x:v>
      </x:c>
      <x:c r="M15" s="12" t="str">
        <x:v>NO</x:v>
      </x:c>
      <x:c r="N15" s="12" t="str">
        <x:v>PASS</x:v>
      </x:c>
      <x:c r="O15" s="12" t="str">
        <x:v>FACTUAL</x:v>
      </x:c>
      <x:c r="P15" s="12" t="str">
        <x:v>PASS</x:v>
      </x:c>
      <x:c r="Q15" s="12" t="str">
        <x:v>Checked for GE identity, exact earnings event/date, timing window, and prohibited-source origin. Reuters/Dow Jones/WSJ/MarketWatch syndication excluded.</x:v>
      </x:c>
    </x:row>
    <x:row r="16">
      <x:c r="A16" s="12" t="str">
        <x:v>2017-04-21</x:v>
      </x:c>
      <x:c r="B16" s="12" t="str">
        <x:v>GE</x:v>
      </x:c>
      <x:c r="C16" s="12" t="str">
        <x:v>release</x:v>
      </x:c>
      <x:c r="D16" s="12" t="str">
        <x:v>2017-04-21</x:v>
      </x:c>
      <x:c r="E16" s="12" t="n">
        <x:v>0</x:v>
      </x:c>
      <x:c r="F16" s="12" t="str">
        <x:v>GE</x:v>
      </x:c>
      <x:c r="G16" s="12" t="str">
        <x:v>GE 1Q 2017 Earnings Press Release</x:v>
      </x:c>
      <x:c r="H16" s="12" t="str">
        <x:v>https://www.ge.com/sites/default/files/ge_webcast_pressrelease_04212017.pdf</x:v>
      </x:c>
      <x:c r="I16" s="12" t="str">
        <x:v>VERIFIED</x:v>
      </x:c>
      <x:c r="J16" s="12" t="str">
        <x:v>PASS</x:v>
      </x:c>
      <x:c r="K16" s="12" t="str">
        <x:v>PASS</x:v>
      </x:c>
      <x:c r="L16" s="12" t="str">
        <x:v>PASS</x:v>
      </x:c>
      <x:c r="M16" s="12" t="str">
        <x:v>NO</x:v>
      </x:c>
      <x:c r="N16" s="12" t="str">
        <x:v>PASS</x:v>
      </x:c>
      <x:c r="O16" s="12" t="str">
        <x:v>FACTUAL</x:v>
      </x:c>
      <x:c r="P16" s="12" t="str">
        <x:v>PASS</x:v>
      </x:c>
      <x:c r="Q16" s="12" t="str">
        <x:v>Checked for GE identity, exact earnings event/date, timing window, and prohibited-source origin. Reuters/Dow Jones/WSJ/MarketWatch syndication excluded.</x:v>
      </x:c>
    </x:row>
    <x:row r="17">
      <x:c r="A17" s="12" t="str">
        <x:v>2017-07-21</x:v>
      </x:c>
      <x:c r="B17" s="12" t="str">
        <x:v>GE</x:v>
      </x:c>
      <x:c r="C17" s="12" t="str">
        <x:v>prior</x:v>
      </x:c>
      <x:c r="D17" s="12" t="str">
        <x:v>2017-04-21</x:v>
      </x:c>
      <x:c r="E17" s="12" t="n">
        <x:v>-91</x:v>
      </x:c>
      <x:c r="F17" s="12" t="str">
        <x:v>GE Investor Relations</x:v>
      </x:c>
      <x:c r="G17" s="12" t="str">
        <x:v>GE 1st Quarter 2017 Earnings Webcast</x:v>
      </x:c>
      <x:c r="H17" s="12" t="str">
        <x:v>https://www.ge.com/investor-relations/events-reports/ge-1st-quarter-2017-earnings-webcast</x:v>
      </x:c>
      <x:c r="I17" s="12" t="str">
        <x:v>VERIFIED</x:v>
      </x:c>
      <x:c r="J17" s="12" t="str">
        <x:v>PASS</x:v>
      </x:c>
      <x:c r="K17" s="12" t="str">
        <x:v>PASS</x:v>
      </x:c>
      <x:c r="L17" s="12" t="str">
        <x:v>PASS</x:v>
      </x:c>
      <x:c r="M17" s="12" t="str">
        <x:v>NO</x:v>
      </x:c>
      <x:c r="N17" s="12" t="str">
        <x:v>PASS</x:v>
      </x:c>
      <x:c r="O17" s="12" t="str">
        <x:v>FACTUAL</x:v>
      </x:c>
      <x:c r="P17" s="12" t="str">
        <x:v>PASS</x:v>
      </x:c>
      <x:c r="Q17" s="12" t="str">
        <x:v>Checked for GE identity, exact earnings event/date, timing window, and prohibited-source origin. Reuters/Dow Jones/WSJ/MarketWatch syndication excluded.</x:v>
      </x:c>
    </x:row>
    <x:row r="18">
      <x:c r="A18" s="12" t="str">
        <x:v>2017-07-21</x:v>
      </x:c>
      <x:c r="B18" s="12" t="str">
        <x:v>GE</x:v>
      </x:c>
      <x:c r="C18" s="12" t="str">
        <x:v>release</x:v>
      </x:c>
      <x:c r="D18" s="12" t="str">
        <x:v>2017-07-21</x:v>
      </x:c>
      <x:c r="E18" s="12" t="n">
        <x:v>0</x:v>
      </x:c>
      <x:c r="F18" s="12" t="str">
        <x:v>GE Investor Relations</x:v>
      </x:c>
      <x:c r="G18" s="12" t="str">
        <x:v>GE 2nd Quarter 2017 Earnings Webcast</x:v>
      </x:c>
      <x:c r="H18" s="12" t="str">
        <x:v>https://www.ge.com/investor-relations/events-reports/ge-2nd-quarter-2017-earnings-webcast</x:v>
      </x:c>
      <x:c r="I18" s="12" t="str">
        <x:v>VERIFIED</x:v>
      </x:c>
      <x:c r="J18" s="12" t="str">
        <x:v>PASS</x:v>
      </x:c>
      <x:c r="K18" s="12" t="str">
        <x:v>PASS</x:v>
      </x:c>
      <x:c r="L18" s="12" t="str">
        <x:v>PASS</x:v>
      </x:c>
      <x:c r="M18" s="12" t="str">
        <x:v>NO</x:v>
      </x:c>
      <x:c r="N18" s="12" t="str">
        <x:v>PASS</x:v>
      </x:c>
      <x:c r="O18" s="12" t="str">
        <x:v>FACTUAL</x:v>
      </x:c>
      <x:c r="P18" s="12" t="str">
        <x:v>PASS</x:v>
      </x:c>
      <x:c r="Q18" s="12" t="str">
        <x:v>Checked for GE identity, exact earnings event/date, timing window, and prohibited-source origin. Reuters/Dow Jones/WSJ/MarketWatch syndication excluded.</x:v>
      </x:c>
    </x:row>
    <x:row r="19">
      <x:c r="A19" s="12" t="str">
        <x:v>2017-07-21</x:v>
      </x:c>
      <x:c r="B19" s="12" t="str">
        <x:v>GE</x:v>
      </x:c>
      <x:c r="C19" s="12" t="str">
        <x:v>reaction</x:v>
      </x:c>
      <x:c r="D19" s="12" t="str">
        <x:v>2017-07-21</x:v>
      </x:c>
      <x:c r="E19" s="12" t="n">
        <x:v>0</x:v>
      </x:c>
      <x:c r="F19" s="12" t="str">
        <x:v>TheStreet</x:v>
      </x:c>
      <x:c r="G19" s="12" t="str">
        <x:v>Stocks Come Off Lows but GE and Energy Sector Remain a Drag</x:v>
      </x:c>
      <x:c r="H19" s="12" t="str">
        <x:v>https://www.thestreet.com/investing/stocks-hold-lower-as-ge-and-energy-sector-are-big-drags-14238619</x:v>
      </x:c>
      <x:c r="I19" s="12" t="str">
        <x:v>VERIFIED</x:v>
      </x:c>
      <x:c r="J19" s="12" t="str">
        <x:v>PASS</x:v>
      </x:c>
      <x:c r="K19" s="12" t="str">
        <x:v>PASS</x:v>
      </x:c>
      <x:c r="L19" s="12" t="str">
        <x:v>PASS</x:v>
      </x:c>
      <x:c r="M19" s="12" t="str">
        <x:v>NO</x:v>
      </x:c>
      <x:c r="N19" s="12" t="str">
        <x:v>PASS</x:v>
      </x:c>
      <x:c r="O19" s="12" t="str">
        <x:v>EXPLICIT</x:v>
      </x:c>
      <x:c r="P19" s="12" t="str">
        <x:v>PASS</x:v>
      </x:c>
      <x:c r="Q19" s="12" t="str">
        <x:v>Checked for GE identity, exact earnings event/date, timing window, and prohibited-source origin. Reuters/Dow Jones/WSJ/MarketWatch syndication excluded.</x:v>
      </x:c>
    </x:row>
    <x:row r="20">
      <x:c r="A20" s="12" t="str">
        <x:v>2017-10-20</x:v>
      </x:c>
      <x:c r="B20" s="12" t="str">
        <x:v>GE</x:v>
      </x:c>
      <x:c r="C20" s="12" t="str">
        <x:v>prior</x:v>
      </x:c>
      <x:c r="D20" s="12" t="str">
        <x:v>2017-07-21</x:v>
      </x:c>
      <x:c r="E20" s="12" t="n">
        <x:v>-91</x:v>
      </x:c>
      <x:c r="F20" s="12" t="str">
        <x:v>GE Investor Relations</x:v>
      </x:c>
      <x:c r="G20" s="12" t="str">
        <x:v>GE 2nd Quarter 2017 Earnings Webcast</x:v>
      </x:c>
      <x:c r="H20" s="12" t="str">
        <x:v>https://www.ge.com/investor-relations/events-reports/ge-2nd-quarter-2017-earnings-webcast</x:v>
      </x:c>
      <x:c r="I20" s="12" t="str">
        <x:v>VERIFIED</x:v>
      </x:c>
      <x:c r="J20" s="12" t="str">
        <x:v>PASS</x:v>
      </x:c>
      <x:c r="K20" s="12" t="str">
        <x:v>PASS</x:v>
      </x:c>
      <x:c r="L20" s="12" t="str">
        <x:v>PASS</x:v>
      </x:c>
      <x:c r="M20" s="12" t="str">
        <x:v>NO</x:v>
      </x:c>
      <x:c r="N20" s="12" t="str">
        <x:v>PASS</x:v>
      </x:c>
      <x:c r="O20" s="12" t="str">
        <x:v>FACTUAL</x:v>
      </x:c>
      <x:c r="P20" s="12" t="str">
        <x:v>PASS</x:v>
      </x:c>
      <x:c r="Q20" s="12" t="str">
        <x:v>Checked for GE identity, exact earnings event/date, timing window, and prohibited-source origin. Reuters/Dow Jones/WSJ/MarketWatch syndication excluded.</x:v>
      </x:c>
    </x:row>
    <x:row r="21">
      <x:c r="A21" s="12" t="str">
        <x:v>2017-10-20</x:v>
      </x:c>
      <x:c r="B21" s="12" t="str">
        <x:v>GE</x:v>
      </x:c>
      <x:c r="C21" s="12" t="str">
        <x:v>release</x:v>
      </x:c>
      <x:c r="D21" s="12" t="str">
        <x:v>2017-10-20</x:v>
      </x:c>
      <x:c r="E21" s="12" t="n">
        <x:v>0</x:v>
      </x:c>
      <x:c r="F21" s="12" t="str">
        <x:v>GE Investor Relations</x:v>
      </x:c>
      <x:c r="G21" s="12" t="str">
        <x:v>GE 3rd Quarter 2017 Earnings Webcast</x:v>
      </x:c>
      <x:c r="H21" s="12" t="str">
        <x:v>https://www.ge.com/investor-relations/events-reports/ge-3rd-quarter-2017-earnings-webcast</x:v>
      </x:c>
      <x:c r="I21" s="12" t="str">
        <x:v>VERIFIED</x:v>
      </x:c>
      <x:c r="J21" s="12" t="str">
        <x:v>PASS</x:v>
      </x:c>
      <x:c r="K21" s="12" t="str">
        <x:v>PASS</x:v>
      </x:c>
      <x:c r="L21" s="12" t="str">
        <x:v>PASS</x:v>
      </x:c>
      <x:c r="M21" s="12" t="str">
        <x:v>NO</x:v>
      </x:c>
      <x:c r="N21" s="12" t="str">
        <x:v>PASS</x:v>
      </x:c>
      <x:c r="O21" s="12" t="str">
        <x:v>FACTUAL</x:v>
      </x:c>
      <x:c r="P21" s="12" t="str">
        <x:v>PASS</x:v>
      </x:c>
      <x:c r="Q21" s="12" t="str">
        <x:v>Checked for GE identity, exact earnings event/date, timing window, and prohibited-source origin. Reuters/Dow Jones/WSJ/MarketWatch syndication excluded.</x:v>
      </x:c>
    </x:row>
    <x:row r="22">
      <x:c r="A22" s="12" t="str">
        <x:v>2017-10-20</x:v>
      </x:c>
      <x:c r="B22" s="12" t="str">
        <x:v>GE</x:v>
      </x:c>
      <x:c r="C22" s="12" t="str">
        <x:v>reaction</x:v>
      </x:c>
      <x:c r="D22" s="12" t="str">
        <x:v>2017-10-21</x:v>
      </x:c>
      <x:c r="E22" s="12" t="n">
        <x:v>1</x:v>
      </x:c>
      <x:c r="F22" s="12" t="str">
        <x:v>The Motley Fool</x:v>
      </x:c>
      <x:c r="G22" s="12" t="str">
        <x:v>Why General Electric Stock Dropped, Then Bounced Back, on Friday</x:v>
      </x:c>
      <x:c r="H22" s="12" t="str">
        <x:v>https://www.fool.com/investing/2017/10/21/why-general-electric-stock-dropped-then-bounced-ba.aspx</x:v>
      </x:c>
      <x:c r="I22" s="12" t="str">
        <x:v>VERIFIED</x:v>
      </x:c>
      <x:c r="J22" s="12" t="str">
        <x:v>PASS</x:v>
      </x:c>
      <x:c r="K22" s="12" t="str">
        <x:v>PASS</x:v>
      </x:c>
      <x:c r="L22" s="12" t="str">
        <x:v>PASS</x:v>
      </x:c>
      <x:c r="M22" s="12" t="str">
        <x:v>NO</x:v>
      </x:c>
      <x:c r="N22" s="12" t="str">
        <x:v>PASS</x:v>
      </x:c>
      <x:c r="O22" s="12" t="str">
        <x:v>EXPLICIT_PATH_REVERSAL</x:v>
      </x:c>
      <x:c r="P22" s="12" t="str">
        <x:v>PASS</x:v>
      </x:c>
      <x:c r="Q22" s="12" t="str">
        <x:v>Checked for GE identity, exact earnings event/date, timing window, and prohibited-source origin. Reuters/Dow Jones/WSJ/MarketWatch syndication excluded.</x:v>
      </x:c>
    </x:row>
    <x:row r="23">
      <x:c r="A23" s="12" t="str">
        <x:v>2017-10-20</x:v>
      </x:c>
      <x:c r="B23" s="12" t="str">
        <x:v>GE</x:v>
      </x:c>
      <x:c r="C23" s="12" t="str">
        <x:v>reaction</x:v>
      </x:c>
      <x:c r="D23" s="12" t="str">
        <x:v>2017-10-20</x:v>
      </x:c>
      <x:c r="E23" s="12" t="n">
        <x:v>0</x:v>
      </x:c>
      <x:c r="F23" s="12" t="str">
        <x:v>TheStreet</x:v>
      </x:c>
      <x:c r="G23" s="12" t="str">
        <x:v>'Things Will Not Stay the Same at GE,' New CEO Vows After Dismal Earnings</x:v>
      </x:c>
      <x:c r="H23" s="12" t="str">
        <x:v>https://www.thestreet.com/investing/stocks/ge-3q-earnings-miss-14349831</x:v>
      </x:c>
      <x:c r="I23" s="12" t="str">
        <x:v>VERIFIED</x:v>
      </x:c>
      <x:c r="J23" s="12" t="str">
        <x:v>PASS</x:v>
      </x:c>
      <x:c r="K23" s="12" t="str">
        <x:v>PASS</x:v>
      </x:c>
      <x:c r="L23" s="12" t="str">
        <x:v>PASS</x:v>
      </x:c>
      <x:c r="M23" s="12" t="str">
        <x:v>NO</x:v>
      </x:c>
      <x:c r="N23" s="12" t="str">
        <x:v>PASS</x:v>
      </x:c>
      <x:c r="O23" s="12" t="str">
        <x:v>EXPLICIT_PATH_REVERSAL</x:v>
      </x:c>
      <x:c r="P23" s="12" t="str">
        <x:v>PASS</x:v>
      </x:c>
      <x:c r="Q23" s="12" t="str">
        <x:v>Checked for GE identity, exact earnings event/date, timing window, and prohibited-source origin. Reuters/Dow Jones/WSJ/MarketWatch syndication excluded.</x:v>
      </x:c>
    </x:row>
    <x:row r="24">
      <x:c r="A24" s="12" t="str">
        <x:v>2018-01-24</x:v>
      </x:c>
      <x:c r="B24" s="12" t="str">
        <x:v>GE</x:v>
      </x:c>
      <x:c r="C24" s="12" t="str">
        <x:v>prior</x:v>
      </x:c>
      <x:c r="D24" s="12" t="str">
        <x:v>2017-10-20</x:v>
      </x:c>
      <x:c r="E24" s="12" t="n">
        <x:v>-96</x:v>
      </x:c>
      <x:c r="F24" s="12" t="str">
        <x:v>GE Investor Relations</x:v>
      </x:c>
      <x:c r="G24" s="12" t="str">
        <x:v>GE 3rd Quarter 2017 Earnings Webcast</x:v>
      </x:c>
      <x:c r="H24" s="12" t="str">
        <x:v>https://www.ge.com/investor-relations/events-reports/ge-3rd-quarter-2017-earnings-webcast</x:v>
      </x:c>
      <x:c r="I24" s="12" t="str">
        <x:v>VERIFIED</x:v>
      </x:c>
      <x:c r="J24" s="12" t="str">
        <x:v>PASS</x:v>
      </x:c>
      <x:c r="K24" s="12" t="str">
        <x:v>PASS</x:v>
      </x:c>
      <x:c r="L24" s="12" t="str">
        <x:v>PASS</x:v>
      </x:c>
      <x:c r="M24" s="12" t="str">
        <x:v>NO</x:v>
      </x:c>
      <x:c r="N24" s="12" t="str">
        <x:v>PASS</x:v>
      </x:c>
      <x:c r="O24" s="12" t="str">
        <x:v>FACTUAL</x:v>
      </x:c>
      <x:c r="P24" s="12" t="str">
        <x:v>PASS</x:v>
      </x:c>
      <x:c r="Q24" s="12" t="str">
        <x:v>Checked for GE identity, exact earnings event/date, timing window, and prohibited-source origin. Reuters/Dow Jones/WSJ/MarketWatch syndication excluded.</x:v>
      </x:c>
    </x:row>
    <x:row r="25">
      <x:c r="A25" s="12" t="str">
        <x:v>2018-01-24</x:v>
      </x:c>
      <x:c r="B25" s="12" t="str">
        <x:v>GE</x:v>
      </x:c>
      <x:c r="C25" s="12" t="str">
        <x:v>release</x:v>
      </x:c>
      <x:c r="D25" s="12" t="str">
        <x:v>2018-01-24</x:v>
      </x:c>
      <x:c r="E25" s="12" t="n">
        <x:v>0</x:v>
      </x:c>
      <x:c r="F25" s="12" t="str">
        <x:v>SEC / GE</x:v>
      </x:c>
      <x:c r="G25" s="12" t="str">
        <x:v>GE Announces Fourth Quarter 2017 Results</x:v>
      </x:c>
      <x:c r="H25" s="12" t="str">
        <x:v>https://www.sec.gov/Archives/edgar/data/40545/000004054518000006/ge4q2017ex99.htm</x:v>
      </x:c>
      <x:c r="I25" s="12" t="str">
        <x:v>VERIFIED</x:v>
      </x:c>
      <x:c r="J25" s="12" t="str">
        <x:v>PASS</x:v>
      </x:c>
      <x:c r="K25" s="12" t="str">
        <x:v>PASS</x:v>
      </x:c>
      <x:c r="L25" s="12" t="str">
        <x:v>PASS</x:v>
      </x:c>
      <x:c r="M25" s="12" t="str">
        <x:v>NO</x:v>
      </x:c>
      <x:c r="N25" s="12" t="str">
        <x:v>PASS</x:v>
      </x:c>
      <x:c r="O25" s="12" t="str">
        <x:v>FACTUAL</x:v>
      </x:c>
      <x:c r="P25" s="12" t="str">
        <x:v>PASS</x:v>
      </x:c>
      <x:c r="Q25" s="12" t="str">
        <x:v>Checked for GE identity, exact earnings event/date, timing window, and prohibited-source origin. Reuters/Dow Jones/WSJ/MarketWatch syndication excluded.</x:v>
      </x:c>
    </x:row>
    <x:row r="26">
      <x:c r="A26" s="12" t="str">
        <x:v>2018-01-24</x:v>
      </x:c>
      <x:c r="B26" s="12" t="str">
        <x:v>GE</x:v>
      </x:c>
      <x:c r="C26" s="12" t="str">
        <x:v>reaction</x:v>
      </x:c>
      <x:c r="D26" s="12" t="str">
        <x:v>2018-01-24</x:v>
      </x:c>
      <x:c r="E26" s="12" t="n">
        <x:v>0</x:v>
      </x:c>
      <x:c r="F26" s="12" t="str">
        <x:v>TheStreet</x:v>
      </x:c>
      <x:c r="G26" s="12" t="str">
        <x:v>GE Stock Erases Gains After Weak Earnings, SEC Probe</x:v>
      </x:c>
      <x:c r="H26" s="12" t="str">
        <x:v>https://www.thestreet.com/investing/general-electric-stock-rising-despite-earnings-revenue-miss-14460454</x:v>
      </x:c>
      <x:c r="I26" s="12" t="str">
        <x:v>VERIFIED</x:v>
      </x:c>
      <x:c r="J26" s="12" t="str">
        <x:v>PASS</x:v>
      </x:c>
      <x:c r="K26" s="12" t="str">
        <x:v>PASS</x:v>
      </x:c>
      <x:c r="L26" s="12" t="str">
        <x:v>PASS</x:v>
      </x:c>
      <x:c r="M26" s="12" t="str">
        <x:v>NO</x:v>
      </x:c>
      <x:c r="N26" s="12" t="str">
        <x:v>PASS</x:v>
      </x:c>
      <x:c r="O26" s="12" t="str">
        <x:v>EXPLICIT</x:v>
      </x:c>
      <x:c r="P26" s="12" t="str">
        <x:v>PASS</x:v>
      </x:c>
      <x:c r="Q26" s="12" t="str">
        <x:v>Checked for GE identity, exact earnings event/date, timing window, and prohibited-source origin. Reuters/Dow Jones/WSJ/MarketWatch syndication excluded.</x:v>
      </x:c>
    </x:row>
    <x:row r="27">
      <x:c r="A27" s="12" t="str">
        <x:v>2018-04-20</x:v>
      </x:c>
      <x:c r="B27" s="12" t="str">
        <x:v>GE</x:v>
      </x:c>
      <x:c r="C27" s="12" t="str">
        <x:v>prior</x:v>
      </x:c>
      <x:c r="D27" s="12" t="str">
        <x:v>2018-01-24</x:v>
      </x:c>
      <x:c r="E27" s="12" t="n">
        <x:v>-86</x:v>
      </x:c>
      <x:c r="F27" s="12" t="str">
        <x:v>SEC / GE</x:v>
      </x:c>
      <x:c r="G27" s="12" t="str">
        <x:v>GE Announces Fourth Quarter 2017 Results</x:v>
      </x:c>
      <x:c r="H27" s="12" t="str">
        <x:v>https://www.sec.gov/Archives/edgar/data/40545/000004054518000006/ge4q2017ex99.htm</x:v>
      </x:c>
      <x:c r="I27" s="12" t="str">
        <x:v>VERIFIED</x:v>
      </x:c>
      <x:c r="J27" s="12" t="str">
        <x:v>PASS</x:v>
      </x:c>
      <x:c r="K27" s="12" t="str">
        <x:v>PASS</x:v>
      </x:c>
      <x:c r="L27" s="12" t="str">
        <x:v>PASS</x:v>
      </x:c>
      <x:c r="M27" s="12" t="str">
        <x:v>NO</x:v>
      </x:c>
      <x:c r="N27" s="12" t="str">
        <x:v>PASS</x:v>
      </x:c>
      <x:c r="O27" s="12" t="str">
        <x:v>FACTUAL</x:v>
      </x:c>
      <x:c r="P27" s="12" t="str">
        <x:v>PASS</x:v>
      </x:c>
      <x:c r="Q27" s="12" t="str">
        <x:v>Checked for GE identity, exact earnings event/date, timing window, and prohibited-source origin. Reuters/Dow Jones/WSJ/MarketWatch syndication excluded.</x:v>
      </x:c>
    </x:row>
    <x:row r="28">
      <x:c r="A28" s="12" t="str">
        <x:v>2018-04-20</x:v>
      </x:c>
      <x:c r="B28" s="12" t="str">
        <x:v>GE</x:v>
      </x:c>
      <x:c r="C28" s="12" t="str">
        <x:v>release</x:v>
      </x:c>
      <x:c r="D28" s="12" t="str">
        <x:v>2018-04-20</x:v>
      </x:c>
      <x:c r="E28" s="12" t="n">
        <x:v>0</x:v>
      </x:c>
      <x:c r="F28" s="12" t="str">
        <x:v>GE</x:v>
      </x:c>
      <x:c r="G28" s="12" t="str">
        <x:v>GE Announces First Quarter 2018 Results</x:v>
      </x:c>
      <x:c r="H28" s="12" t="str">
        <x:v>https://www.ge.com/sites/default/files/ge_webcast_pressrelease_04202018.pdf</x:v>
      </x:c>
      <x:c r="I28" s="12" t="str">
        <x:v>VERIFIED</x:v>
      </x:c>
      <x:c r="J28" s="12" t="str">
        <x:v>PASS</x:v>
      </x:c>
      <x:c r="K28" s="12" t="str">
        <x:v>PASS</x:v>
      </x:c>
      <x:c r="L28" s="12" t="str">
        <x:v>PASS</x:v>
      </x:c>
      <x:c r="M28" s="12" t="str">
        <x:v>NO</x:v>
      </x:c>
      <x:c r="N28" s="12" t="str">
        <x:v>PASS</x:v>
      </x:c>
      <x:c r="O28" s="12" t="str">
        <x:v>FACTUAL</x:v>
      </x:c>
      <x:c r="P28" s="12" t="str">
        <x:v>PASS</x:v>
      </x:c>
      <x:c r="Q28" s="12" t="str">
        <x:v>Checked for GE identity, exact earnings event/date, timing window, and prohibited-source origin. Reuters/Dow Jones/WSJ/MarketWatch syndication excluded.</x:v>
      </x:c>
    </x:row>
    <x:row r="29">
      <x:c r="A29" s="12" t="str">
        <x:v>2018-04-20</x:v>
      </x:c>
      <x:c r="B29" s="12" t="str">
        <x:v>GE</x:v>
      </x:c>
      <x:c r="C29" s="12" t="str">
        <x:v>reaction</x:v>
      </x:c>
      <x:c r="D29" s="12" t="str">
        <x:v>2018-04-20</x:v>
      </x:c>
      <x:c r="E29" s="12" t="n">
        <x:v>0</x:v>
      </x:c>
      <x:c r="F29" s="12" t="str">
        <x:v>TheStreet</x:v>
      </x:c>
      <x:c r="G29" s="12" t="str">
        <x:v>GE Rises on Earnings and Revenue Beats Despite Weakness in Power</x:v>
      </x:c>
      <x:c r="H29" s="12" t="str">
        <x:v>https://www.thestreet.com/investing/earnings/ge-rises-on-earnings-revenue-beat-14562744</x:v>
      </x:c>
      <x:c r="I29" s="12" t="str">
        <x:v>VERIFIED</x:v>
      </x:c>
      <x:c r="J29" s="12" t="str">
        <x:v>PASS</x:v>
      </x:c>
      <x:c r="K29" s="12" t="str">
        <x:v>PASS</x:v>
      </x:c>
      <x:c r="L29" s="12" t="str">
        <x:v>PASS</x:v>
      </x:c>
      <x:c r="M29" s="12" t="str">
        <x:v>NO</x:v>
      </x:c>
      <x:c r="N29" s="12" t="str">
        <x:v>PASS</x:v>
      </x:c>
      <x:c r="O29" s="12" t="str">
        <x:v>EXPLICIT</x:v>
      </x:c>
      <x:c r="P29" s="12" t="str">
        <x:v>PASS</x:v>
      </x:c>
      <x:c r="Q29" s="12" t="str">
        <x:v>Checked for GE identity, exact earnings event/date, timing window, and prohibited-source origin. Reuters/Dow Jones/WSJ/MarketWatch syndication excluded.</x:v>
      </x:c>
    </x:row>
    <x:row r="30">
      <x:c r="A30" s="12" t="str">
        <x:v>2018-07-20</x:v>
      </x:c>
      <x:c r="B30" s="12" t="str">
        <x:v>GE</x:v>
      </x:c>
      <x:c r="C30" s="12" t="str">
        <x:v>prior</x:v>
      </x:c>
      <x:c r="D30" s="12" t="str">
        <x:v>2018-04-20</x:v>
      </x:c>
      <x:c r="E30" s="12" t="n">
        <x:v>-91</x:v>
      </x:c>
      <x:c r="F30" s="12" t="str">
        <x:v>GE</x:v>
      </x:c>
      <x:c r="G30" s="12" t="str">
        <x:v>GE Announces First Quarter 2018 Results</x:v>
      </x:c>
      <x:c r="H30" s="12" t="str">
        <x:v>https://www.ge.com/sites/default/files/ge_webcast_pressrelease_04202018.pdf</x:v>
      </x:c>
      <x:c r="I30" s="12" t="str">
        <x:v>VERIFIED</x:v>
      </x:c>
      <x:c r="J30" s="12" t="str">
        <x:v>PASS</x:v>
      </x:c>
      <x:c r="K30" s="12" t="str">
        <x:v>PASS</x:v>
      </x:c>
      <x:c r="L30" s="12" t="str">
        <x:v>PASS</x:v>
      </x:c>
      <x:c r="M30" s="12" t="str">
        <x:v>NO</x:v>
      </x:c>
      <x:c r="N30" s="12" t="str">
        <x:v>PASS</x:v>
      </x:c>
      <x:c r="O30" s="12" t="str">
        <x:v>FACTUAL</x:v>
      </x:c>
      <x:c r="P30" s="12" t="str">
        <x:v>PASS</x:v>
      </x:c>
      <x:c r="Q30" s="12" t="str">
        <x:v>Checked for GE identity, exact earnings event/date, timing window, and prohibited-source origin. Reuters/Dow Jones/WSJ/MarketWatch syndication excluded.</x:v>
      </x:c>
    </x:row>
    <x:row r="31">
      <x:c r="A31" s="12" t="str">
        <x:v>2018-07-20</x:v>
      </x:c>
      <x:c r="B31" s="12" t="str">
        <x:v>GE</x:v>
      </x:c>
      <x:c r="C31" s="12" t="str">
        <x:v>release</x:v>
      </x:c>
      <x:c r="D31" s="12" t="str">
        <x:v>2018-07-20</x:v>
      </x:c>
      <x:c r="E31" s="12" t="n">
        <x:v>0</x:v>
      </x:c>
      <x:c r="F31" s="12" t="str">
        <x:v>GE</x:v>
      </x:c>
      <x:c r="G31" s="12" t="str">
        <x:v>GE Announces Second Quarter 2018 Results</x:v>
      </x:c>
      <x:c r="H31" s="12" t="str">
        <x:v>https://www.ge.com/sites/default/files/ge_webcast_pressrelease_07202018_2.pdf</x:v>
      </x:c>
      <x:c r="I31" s="12" t="str">
        <x:v>VERIFIED</x:v>
      </x:c>
      <x:c r="J31" s="12" t="str">
        <x:v>PASS</x:v>
      </x:c>
      <x:c r="K31" s="12" t="str">
        <x:v>PASS</x:v>
      </x:c>
      <x:c r="L31" s="12" t="str">
        <x:v>PASS</x:v>
      </x:c>
      <x:c r="M31" s="12" t="str">
        <x:v>NO</x:v>
      </x:c>
      <x:c r="N31" s="12" t="str">
        <x:v>PASS</x:v>
      </x:c>
      <x:c r="O31" s="12" t="str">
        <x:v>FACTUAL</x:v>
      </x:c>
      <x:c r="P31" s="12" t="str">
        <x:v>PASS</x:v>
      </x:c>
      <x:c r="Q31" s="12" t="str">
        <x:v>Checked for GE identity, exact earnings event/date, timing window, and prohibited-source origin. Reuters/Dow Jones/WSJ/MarketWatch syndication excluded.</x:v>
      </x:c>
    </x:row>
    <x:row r="32">
      <x:c r="A32" s="12" t="str">
        <x:v>2018-07-20</x:v>
      </x:c>
      <x:c r="B32" s="12" t="str">
        <x:v>GE</x:v>
      </x:c>
      <x:c r="C32" s="12" t="str">
        <x:v>reaction</x:v>
      </x:c>
      <x:c r="D32" s="12" t="str">
        <x:v>2018-07-20</x:v>
      </x:c>
      <x:c r="E32" s="12" t="n">
        <x:v>0</x:v>
      </x:c>
      <x:c r="F32" s="12" t="str">
        <x:v>TheStreet</x:v>
      </x:c>
      <x:c r="G32" s="12" t="str">
        <x:v>General Electric Turns Lower, Trims Cash Flow Guidance</x:v>
      </x:c>
      <x:c r="H32" s="12" t="str">
        <x:v>https://www.thestreet.com/investing/earnings/general-electric-jumps-on-better-than-expected-quarterly-results-14656873</x:v>
      </x:c>
      <x:c r="I32" s="12" t="str">
        <x:v>VERIFIED</x:v>
      </x:c>
      <x:c r="J32" s="12" t="str">
        <x:v>PASS</x:v>
      </x:c>
      <x:c r="K32" s="12" t="str">
        <x:v>PASS</x:v>
      </x:c>
      <x:c r="L32" s="12" t="str">
        <x:v>PASS</x:v>
      </x:c>
      <x:c r="M32" s="12" t="str">
        <x:v>NO</x:v>
      </x:c>
      <x:c r="N32" s="12" t="str">
        <x:v>PASS</x:v>
      </x:c>
      <x:c r="O32" s="12" t="str">
        <x:v>EXPLICIT</x:v>
      </x:c>
      <x:c r="P32" s="12" t="str">
        <x:v>PASS</x:v>
      </x:c>
      <x:c r="Q32" s="12" t="str">
        <x:v>Checked for GE identity, exact earnings event/date, timing window, and prohibited-source origin. Reuters/Dow Jones/WSJ/MarketWatch syndication excluded.</x:v>
      </x:c>
    </x:row>
    <x:row r="33">
      <x:c r="A33" s="12" t="str">
        <x:v>2018-07-20</x:v>
      </x:c>
      <x:c r="B33" s="12" t="str">
        <x:v>GE</x:v>
      </x:c>
      <x:c r="C33" s="12" t="str">
        <x:v>reaction</x:v>
      </x:c>
      <x:c r="D33" s="12" t="str">
        <x:v>2018-07-20</x:v>
      </x:c>
      <x:c r="E33" s="12" t="n">
        <x:v>0</x:v>
      </x:c>
      <x:c r="F33" s="12" t="str">
        <x:v>CNN Money</x:v>
      </x:c>
      <x:c r="G33" s="12" t="str">
        <x:v>GE earnings hurt by its slumping power business</x:v>
      </x:c>
      <x:c r="H33" s="12" t="str">
        <x:v>https://money.cnn.com/2018/07/20/investing/ge-stock-earnings-power/index.html</x:v>
      </x:c>
      <x:c r="I33" s="12" t="str">
        <x:v>VERIFIED</x:v>
      </x:c>
      <x:c r="J33" s="12" t="str">
        <x:v>PASS</x:v>
      </x:c>
      <x:c r="K33" s="12" t="str">
        <x:v>PASS</x:v>
      </x:c>
      <x:c r="L33" s="12" t="str">
        <x:v>PASS</x:v>
      </x:c>
      <x:c r="M33" s="12" t="str">
        <x:v>NO</x:v>
      </x:c>
      <x:c r="N33" s="12" t="str">
        <x:v>PASS</x:v>
      </x:c>
      <x:c r="O33" s="12" t="str">
        <x:v>EXPLICIT</x:v>
      </x:c>
      <x:c r="P33" s="12" t="str">
        <x:v>PASS</x:v>
      </x:c>
      <x:c r="Q33" s="12" t="str">
        <x:v>Checked for GE identity, exact earnings event/date, timing window, and prohibited-source origin. Reuters/Dow Jones/WSJ/MarketWatch syndication excluded.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2016-04-22</x:v>
      </x:c>
      <x:c r="B2" t="str">
        <x:v>GE</x:v>
      </x:c>
      <x:c r="C2" s="20" t="n">
        <x:v>-0.89</x:v>
      </x:c>
      <x:c r="D2" s="20" t="n">
        <x:v>0.02</x:v>
      </x:c>
      <x:c r="E2" t="str">
        <x:v>ret_1day_pct</x:v>
      </x:c>
      <x:c r="F2" t="str">
        <x:f>IF(C2&gt;0.1,"UP",IF(C2&lt;-0.1,"DOWN","FLAT"))</x:f>
        <x:v>DOWN</x:v>
      </x:c>
      <x:c r="G2" t="str">
        <x:v>DOWN</x:v>
      </x:c>
      <x:c r="H2" t="str">
        <x:f>IF(F2=G2,"PASS","FAIL")</x:f>
        <x:v>PASS</x:v>
      </x:c>
      <x:c r="I2" t="n">
        <x:v>3</x:v>
      </x:c>
      <x:c r="J2" t="n">
        <x:f>COUNTIFS('Source Audit'!$A:$A,A2,'Source Audit'!$P:$P,"PASS")</x:f>
        <x:v>3</x:v>
      </x:c>
      <x:c r="K2" t="str">
        <x:f>IF(AND(H2="PASS",J2=I2),"PASS","FAIL")</x:f>
        <x:v>PASS</x:v>
      </x:c>
    </x:row>
    <x:row r="3">
      <x:c r="A3" t="str">
        <x:v>2016-07-22</x:v>
      </x:c>
      <x:c r="B3" t="str">
        <x:v>GE</x:v>
      </x:c>
      <x:c r="C3" s="20" t="n">
        <x:v>-2.08</x:v>
      </x:c>
      <x:c r="D3" s="20" t="n">
        <x:v>-0.99</x:v>
      </x:c>
      <x:c r="E3" t="str">
        <x:v>ret_1day_pct</x:v>
      </x:c>
      <x:c r="F3" t="str">
        <x:f>IF(C3&gt;0.1,"UP",IF(C3&lt;-0.1,"DOWN","FLAT"))</x:f>
        <x:v>DOWN</x:v>
      </x:c>
      <x:c r="G3" t="str">
        <x:v>DOWN</x:v>
      </x:c>
      <x:c r="H3" t="str">
        <x:f>IF(F3=G3,"PASS","FAIL")</x:f>
        <x:v>PASS</x:v>
      </x:c>
      <x:c r="I3" t="n">
        <x:v>3</x:v>
      </x:c>
      <x:c r="J3" t="n">
        <x:f>COUNTIFS('Source Audit'!$A:$A,A3,'Source Audit'!$P:$P,"PASS")</x:f>
        <x:v>3</x:v>
      </x:c>
      <x:c r="K3" t="str">
        <x:f>IF(AND(H3="PASS",J3=I3),"PASS","FAIL")</x:f>
        <x:v>PASS</x:v>
      </x:c>
    </x:row>
    <x:row r="4">
      <x:c r="A4" t="str">
        <x:v>2016-10-21</x:v>
      </x:c>
      <x:c r="B4" t="str">
        <x:v>GE</x:v>
      </x:c>
      <x:c r="C4" s="20" t="n">
        <x:v>-0.3</x:v>
      </x:c>
      <x:c r="D4" s="20" t="n">
        <x:v>-0.65</x:v>
      </x:c>
      <x:c r="E4" t="str">
        <x:v>ret_1day_pct</x:v>
      </x:c>
      <x:c r="F4" t="str">
        <x:f>IF(C4&gt;0.1,"UP",IF(C4&lt;-0.1,"DOWN","FLAT"))</x:f>
        <x:v>DOWN</x:v>
      </x:c>
      <x:c r="G4" t="str">
        <x:v>DOWN</x:v>
      </x:c>
      <x:c r="H4" t="str">
        <x:f>IF(F4=G4,"PASS","FAIL")</x:f>
        <x:v>PASS</x:v>
      </x:c>
      <x:c r="I4" t="n">
        <x:v>3</x:v>
      </x:c>
      <x:c r="J4" t="n">
        <x:f>COUNTIFS('Source Audit'!$A:$A,A4,'Source Audit'!$P:$P,"PASS")</x:f>
        <x:v>3</x:v>
      </x:c>
      <x:c r="K4" t="str">
        <x:f>IF(AND(H4="PASS",J4=I4),"PASS","FAIL")</x:f>
        <x:v>PASS</x:v>
      </x:c>
    </x:row>
    <x:row r="5">
      <x:c r="A5" t="str">
        <x:v>2017-01-20</x:v>
      </x:c>
      <x:c r="B5" t="str">
        <x:v>GE</x:v>
      </x:c>
      <x:c r="C5" s="20" t="n">
        <x:v>-2.54</x:v>
      </x:c>
      <x:c r="D5" s="20" t="n">
        <x:v>-2.36</x:v>
      </x:c>
      <x:c r="E5" t="str">
        <x:v>ret_1day_pct</x:v>
      </x:c>
      <x:c r="F5" t="str">
        <x:f>IF(C5&gt;0.1,"UP",IF(C5&lt;-0.1,"DOWN","FLAT"))</x:f>
        <x:v>DOWN</x:v>
      </x:c>
      <x:c r="G5" t="str">
        <x:v>DOWN</x:v>
      </x:c>
      <x:c r="H5" t="str">
        <x:f>IF(F5=G5,"PASS","FAIL")</x:f>
        <x:v>PASS</x:v>
      </x:c>
      <x:c r="I5" t="n">
        <x:v>3</x:v>
      </x:c>
      <x:c r="J5" t="n">
        <x:f>COUNTIFS('Source Audit'!$A:$A,A5,'Source Audit'!$P:$P,"PASS")</x:f>
        <x:v>3</x:v>
      </x:c>
      <x:c r="K5" t="str">
        <x:f>IF(AND(H5="PASS",J5=I5),"PASS","FAIL")</x:f>
        <x:v>PASS</x:v>
      </x:c>
    </x:row>
    <x:row r="6">
      <x:c r="A6" t="str">
        <x:v>2017-04-21</x:v>
      </x:c>
      <x:c r="B6" t="str">
        <x:v>GE</x:v>
      </x:c>
      <x:c r="C6" s="20" t="n">
        <x:v>-2.09</x:v>
      </x:c>
      <x:c r="D6" s="20" t="n">
        <x:v>-1.08</x:v>
      </x:c>
      <x:c r="E6" t="str">
        <x:v>ret_1day_pct</x:v>
      </x:c>
      <x:c r="F6" t="str">
        <x:f>IF(C6&gt;0.1,"UP",IF(C6&lt;-0.1,"DOWN","FLAT"))</x:f>
        <x:v>DOWN</x:v>
      </x:c>
      <x:c r="G6" t="str">
        <x:v>DOWN</x:v>
      </x:c>
      <x:c r="H6" t="str">
        <x:f>IF(F6=G6,"PASS","FAIL")</x:f>
        <x:v>PASS</x:v>
      </x:c>
      <x:c r="I6" t="n">
        <x:v>3</x:v>
      </x:c>
      <x:c r="J6" t="n">
        <x:f>COUNTIFS('Source Audit'!$A:$A,A6,'Source Audit'!$P:$P,"PASS")</x:f>
        <x:v>3</x:v>
      </x:c>
      <x:c r="K6" t="str">
        <x:f>IF(AND(H6="PASS",J6=I6),"PASS","FAIL")</x:f>
        <x:v>PASS</x:v>
      </x:c>
    </x:row>
    <x:row r="7">
      <x:c r="A7" t="str">
        <x:v>2017-07-21</x:v>
      </x:c>
      <x:c r="B7" t="str">
        <x:v>GE</x:v>
      </x:c>
      <x:c r="C7" s="20" t="n">
        <x:v>-2.83</x:v>
      </x:c>
      <x:c r="D7" s="20" t="n">
        <x:v>-1.84</x:v>
      </x:c>
      <x:c r="E7" t="str">
        <x:v>ret_1day_pct</x:v>
      </x:c>
      <x:c r="F7" t="str">
        <x:f>IF(C7&gt;0.1,"UP",IF(C7&lt;-0.1,"DOWN","FLAT"))</x:f>
        <x:v>DOWN</x:v>
      </x:c>
      <x:c r="G7" t="str">
        <x:v>DOWN</x:v>
      </x:c>
      <x:c r="H7" t="str">
        <x:f>IF(F7=G7,"PASS","FAIL")</x:f>
        <x:v>PASS</x:v>
      </x:c>
      <x:c r="I7" t="n">
        <x:v>3</x:v>
      </x:c>
      <x:c r="J7" t="n">
        <x:f>COUNTIFS('Source Audit'!$A:$A,A7,'Source Audit'!$P:$P,"PASS")</x:f>
        <x:v>3</x:v>
      </x:c>
      <x:c r="K7" t="str">
        <x:f>IF(AND(H7="PASS",J7=I7),"PASS","FAIL")</x:f>
        <x:v>PASS</x:v>
      </x:c>
    </x:row>
    <x:row r="8">
      <x:c r="A8" t="str">
        <x:v>2017-10-20</x:v>
      </x:c>
      <x:c r="B8" t="str">
        <x:v>GE</x:v>
      </x:c>
      <x:c r="C8" s="20" t="n">
        <x:v>0.64</x:v>
      </x:c>
      <x:c r="D8" s="20" t="n">
        <x:v>-5.91</x:v>
      </x:c>
      <x:c r="E8" t="str">
        <x:v>ret_1day_pct</x:v>
      </x:c>
      <x:c r="F8" t="str">
        <x:f>IF(C8&gt;0.1,"UP",IF(C8&lt;-0.1,"DOWN","FLAT"))</x:f>
        <x:v>UP</x:v>
      </x:c>
      <x:c r="G8" t="str">
        <x:v>UP</x:v>
      </x:c>
      <x:c r="H8" t="str">
        <x:f>IF(F8=G8,"PASS","FAIL")</x:f>
        <x:v>PASS</x:v>
      </x:c>
      <x:c r="I8" t="n">
        <x:v>4</x:v>
      </x:c>
      <x:c r="J8" t="n">
        <x:f>COUNTIFS('Source Audit'!$A:$A,A8,'Source Audit'!$P:$P,"PASS")</x:f>
        <x:v>4</x:v>
      </x:c>
      <x:c r="K8" t="str">
        <x:f>IF(AND(H8="PASS",J8=I8),"PASS","FAIL")</x:f>
        <x:v>PASS</x:v>
      </x:c>
    </x:row>
    <x:row r="9">
      <x:c r="A9" t="str">
        <x:v>2018-01-24</x:v>
      </x:c>
      <x:c r="B9" t="str">
        <x:v>GE</x:v>
      </x:c>
      <x:c r="C9" s="20" t="n">
        <x:v>-2.57</x:v>
      </x:c>
      <x:c r="D9" s="20" t="n">
        <x:v>-1.59</x:v>
      </x:c>
      <x:c r="E9" t="str">
        <x:v>ret_1day_pct</x:v>
      </x:c>
      <x:c r="F9" t="str">
        <x:f>IF(C9&gt;0.1,"UP",IF(C9&lt;-0.1,"DOWN","FLAT"))</x:f>
        <x:v>DOWN</x:v>
      </x:c>
      <x:c r="G9" t="str">
        <x:v>DOWN</x:v>
      </x:c>
      <x:c r="H9" t="str">
        <x:f>IF(F9=G9,"PASS","FAIL")</x:f>
        <x:v>PASS</x:v>
      </x:c>
      <x:c r="I9" t="n">
        <x:v>3</x:v>
      </x:c>
      <x:c r="J9" t="n">
        <x:f>COUNTIFS('Source Audit'!$A:$A,A9,'Source Audit'!$P:$P,"PASS")</x:f>
        <x:v>3</x:v>
      </x:c>
      <x:c r="K9" t="str">
        <x:f>IF(AND(H9="PASS",J9=I9),"PASS","FAIL")</x:f>
        <x:v>PASS</x:v>
      </x:c>
    </x:row>
    <x:row r="10">
      <x:c r="A10" t="str">
        <x:v>2018-04-20</x:v>
      </x:c>
      <x:c r="B10" t="str">
        <x:v>GE</x:v>
      </x:c>
      <x:c r="C10" s="20" t="n">
        <x:v>4.68</x:v>
      </x:c>
      <x:c r="D10" s="20" t="n">
        <x:v>-0.09</x:v>
      </x:c>
      <x:c r="E10" t="str">
        <x:v>ret_1day_pct</x:v>
      </x:c>
      <x:c r="F10" t="str">
        <x:f>IF(C10&gt;0.1,"UP",IF(C10&lt;-0.1,"DOWN","FLAT"))</x:f>
        <x:v>UP</x:v>
      </x:c>
      <x:c r="G10" t="str">
        <x:v>UP</x:v>
      </x:c>
      <x:c r="H10" t="str">
        <x:f>IF(F10=G10,"PASS","FAIL")</x:f>
        <x:v>PASS</x:v>
      </x:c>
      <x:c r="I10" t="n">
        <x:v>3</x:v>
      </x:c>
      <x:c r="J10" t="n">
        <x:f>COUNTIFS('Source Audit'!$A:$A,A10,'Source Audit'!$P:$P,"PASS")</x:f>
        <x:v>3</x:v>
      </x:c>
      <x:c r="K10" t="str">
        <x:f>IF(AND(H10="PASS",J10=I10),"PASS","FAIL")</x:f>
        <x:v>PASS</x:v>
      </x:c>
    </x:row>
    <x:row r="11">
      <x:c r="A11" t="str">
        <x:v>2018-07-20</x:v>
      </x:c>
      <x:c r="B11" t="str">
        <x:v>GE</x:v>
      </x:c>
      <x:c r="C11" s="20" t="n">
        <x:v>-4.34</x:v>
      </x:c>
      <x:c r="D11" s="20" t="n">
        <x:v>-1.09</x:v>
      </x:c>
      <x:c r="E11" t="str">
        <x:v>ret_1day_pct</x:v>
      </x:c>
      <x:c r="F11" t="str">
        <x:f>IF(C11&gt;0.1,"UP",IF(C11&lt;-0.1,"DOWN","FLAT"))</x:f>
        <x:v>DOWN</x:v>
      </x:c>
      <x:c r="G11" t="str">
        <x:v>DOWN</x:v>
      </x:c>
      <x:c r="H11" t="str">
        <x:f>IF(F11=G11,"PASS","FAIL")</x:f>
        <x:v>PASS</x:v>
      </x:c>
      <x:c r="I11" t="n">
        <x:v>4</x:v>
      </x:c>
      <x:c r="J11" t="n">
        <x:f>COUNTIFS('Source Audit'!$A:$A,A11,'Source Audit'!$P:$P,"PASS")</x:f>
        <x:v>4</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5" hidden="0" customWidth="1"/>
  </x:cols>
  <x:sheetData>
    <x:row r="1">
      <x:c r="A1" s="5" t="str">
        <x:v>Item</x:v>
      </x:c>
      <x:c r="B1" s="5" t="str">
        <x:v>Rule</x:v>
      </x:c>
    </x:row>
    <x:row r="2">
      <x:c r="A2" s="12" t="str">
        <x:v>Rebuild status</x:v>
      </x:c>
      <x:c r="B2" s="12" t="str">
        <x:v>GE rebuilt from scratch under the corrected verification protocol.</x:v>
      </x:c>
    </x:row>
    <x:row r="3">
      <x:c r="A3" s="12" t="str">
        <x:v>Identity source</x:v>
      </x:c>
      <x:c r="B3" s="12" t="str">
        <x:v>Ticker/company, exact earnings dates and all supplied return fields come directly from group_observations.csv.</x:v>
      </x:c>
    </x:row>
    <x:row r="4">
      <x:c r="A4" s="12" t="str">
        <x:v>Reaction basis</x:v>
      </x:c>
      <x:c r="B4" s="12" t="str">
        <x:v>GE held these earnings webcasts before the U.S. market open (typically 8:30 a.m. ET), so ret_1day_pct is used as the primary full-session earnings reaction.</x:v>
      </x:c>
    </x:row>
    <x:row r="5">
      <x:c r="A5" s="12" t="str">
        <x:v>Narrative</x:v>
      </x:c>
      <x:c r="B5" s="12" t="str">
        <x:v>Short Prior Context, detailed Current Earnings Release, and three concise event-specific Possible Drivers. No long return-path paragraph.</x:v>
      </x:c>
    </x:row>
    <x:row r="6">
      <x:c r="A6" s="12" t="str">
        <x:v>Source hierarchy</x:v>
      </x:c>
      <x:c r="B6" s="12" t="str">
        <x:v>GE Investor Relations / SEC anchors factual results. Independent same-day/+3-day reaction coverage is used when a compliant open source exists.</x:v>
      </x:c>
    </x:row>
    <x:row r="7">
      <x:c r="A7" s="12" t="str">
        <x:v>Attribution rule</x:v>
      </x:c>
      <x:c r="B7" s="12" t="str">
        <x:v>If no compliant reaction article exists inside the window, the driver is explicitly labeled SUPPORTED_INFERENCE instead of being presented as a news-attributed cause.</x:v>
      </x:c>
    </x:row>
    <x:row r="8">
      <x:c r="A8" s="12" t="str">
        <x:v>Timing</x:v>
      </x:c>
      <x:c r="B8" s="12" t="str">
        <x:v>Prior = -100..-1 calendar days; release = day 0; reaction = day 0..+3.</x:v>
      </x:c>
    </x:row>
    <x:row r="9">
      <x:c r="A9" s="12" t="str">
        <x:v>Restrictions</x:v>
      </x:c>
      <x:c r="B9" s="12" t="str">
        <x:v>No WSJ, Reuters, Dow Jones or MarketWatch-syndicated article is included. Reuters-hosted or Reuters-republished pages found during research were rejected.</x:v>
      </x:c>
    </x:row>
    <x:row r="10">
      <x:c r="A10" s="12" t="str">
        <x:v>QA</x:v>
      </x:c>
      <x:c r="B10" s="12" t="str">
        <x:v>Event QA mechanically recomputes direction from ret_1day_pct and checks each event's exact expected PASS source count.</x:v>
      </x:c>
    </x:row>
    <x:row r="11">
      <x:c r="A11" s="12" t="str">
        <x:v>Special case</x:v>
      </x:c>
      <x:c r="B11" s="12" t="str">
        <x:v>2017-10-20 closed slightly positive after an intraday plunge; the workbook explicitly records that reversal and separately notes the negative interpretation that persisted into the next session.</x:v>
      </x:c>
    </x:row>
  </x:sheetData>
  <x:pageMargins left="0.7" right="0.7" top="0.75" bottom="0.75" header="0.3" footer="0.3"/>
</x:worksheet>
</file>