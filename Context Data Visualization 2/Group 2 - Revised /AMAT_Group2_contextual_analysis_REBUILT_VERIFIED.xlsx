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5fbc31db2546da" /></Relationships>
</file>

<file path=xl/workbook.xml><?xml version="1.0" encoding="utf-8"?>
<x:workbook xmlns:x="http://schemas.openxmlformats.org/spreadsheetml/2006/main">
  <x:sheets>
    <x:sheet xmlns:r="http://schemas.openxmlformats.org/officeDocument/2006/relationships" name="AMAT" sheetId="1" r:id="Rdb2af661b2f74419"/>
    <x:sheet xmlns:r="http://schemas.openxmlformats.org/officeDocument/2006/relationships" name="Source Audit" sheetId="2" r:id="Re61fad6a8bc04b8b"/>
    <x:sheet xmlns:r="http://schemas.openxmlformats.org/officeDocument/2006/relationships" name="Event QA" sheetId="3" r:id="Rc2bfa0c0bc624801"/>
    <x:sheet xmlns:r="http://schemas.openxmlformats.org/officeDocument/2006/relationships" name="Methodology" sheetId="4" r:id="R9f218615963f44f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eafb6c25974d4b" /><Relationship Type="http://schemas.openxmlformats.org/officeDocument/2006/relationships/theme" Target="/xl/theme/theme1.xml" Id="R81e7c3d8b7764e09" /><Relationship Type="http://schemas.openxmlformats.org/officeDocument/2006/relationships/sharedStrings" Target="/xl/sharedStrings.xml" Id="Rbf74d9e14cbb4f19" /><Relationship Type="http://schemas.openxmlformats.org/officeDocument/2006/relationships/worksheet" Target="/xl/worksheets/sheet1.xml" Id="Rdb2af661b2f74419" /><Relationship Type="http://schemas.openxmlformats.org/officeDocument/2006/relationships/worksheet" Target="/xl/worksheets/sheet2.xml" Id="Re61fad6a8bc04b8b" /><Relationship Type="http://schemas.openxmlformats.org/officeDocument/2006/relationships/worksheet" Target="/xl/worksheets/sheet3.xml" Id="Rc2bfa0c0bc624801" /><Relationship Type="http://schemas.openxmlformats.org/officeDocument/2006/relationships/worksheet" Target="/xl/worksheets/sheet4.xml" Id="R9f218615963f44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3" hidden="0" customWidth="1"/>
    <x:col min="12" max="12" width="24" hidden="0" customWidth="1"/>
    <x:col min="13" max="13" width="18" hidden="0" customWidth="1"/>
    <x:col min="14" max="14" width="96" hidden="0" customWidth="1"/>
    <x:col min="15" max="15" width="62" hidden="0" customWidth="1"/>
    <x:col min="16" max="16" width="62" hidden="0" customWidth="1"/>
    <x:col min="17" max="17" width="62" hidden="0" customWidth="1"/>
    <x:col min="18" max="18" width="78" hidden="0" customWidth="1"/>
    <x:col min="19" max="19" width="12" hidden="0" customWidth="1"/>
    <x:col min="20" max="20"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verified_market_reaction_direction</x:v>
      </x:c>
      <x:c r="L1" s="14" t="str">
        <x:v>supplied_post_return_direction</x:v>
      </x:c>
      <x:c r="M1" s="14" t="str">
        <x:v>direction_consistency</x:v>
      </x:c>
      <x:c r="N1" s="14" t="str">
        <x:v>contextual_analysis_full</x:v>
      </x:c>
      <x:c r="O1" s="14" t="str">
        <x:v>prior_context_sources</x:v>
      </x:c>
      <x:c r="P1" s="14" t="str">
        <x:v>release_sources</x:v>
      </x:c>
      <x:c r="Q1" s="14" t="str">
        <x:v>reaction_sources</x:v>
      </x:c>
      <x:c r="R1" s="14" t="str">
        <x:v>all_sources</x:v>
      </x:c>
      <x:c r="S1" s="14" t="str">
        <x:v>source_count</x:v>
      </x:c>
      <x:c r="T1" s="14" t="str">
        <x:v>qa_status</x:v>
      </x:c>
    </x:row>
    <x:row r="2" ht="350" customHeight="1">
      <x:c r="A2" s="15" t="n">
        <x:v>0</x:v>
      </x:c>
      <x:c r="B2" s="15" t="str">
        <x:v>AMAT</x:v>
      </x:c>
      <x:c r="C2" s="15" t="str">
        <x:v>Applied Materials</x:v>
      </x:c>
      <x:c r="D2" s="15" t="str">
        <x:v>2016q2</x:v>
      </x:c>
      <x:c r="E2" s="15" t="str">
        <x:v>2016-05-19</x:v>
      </x:c>
      <x:c r="F2" s="18" t="n">
        <x:v>0.33</x:v>
      </x:c>
      <x:c r="G2" s="18" t="n">
        <x:v>13.05</x:v>
      </x:c>
      <x:c r="H2" s="18" t="n">
        <x:v>13.42</x:v>
      </x:c>
      <x:c r="I2" s="18" t="n">
        <x:v>15.13</x:v>
      </x:c>
      <x:c r="J2" s="18" t="n">
        <x:v>18.54</x:v>
      </x:c>
      <x:c r="K2" s="15" t="str">
        <x:v>UP</x:v>
      </x:c>
      <x:c r="L2" s="15" t="str">
        <x:v>UP</x:v>
      </x:c>
      <x:c r="M2" s="15" t="str">
        <x:v>MATCH</x:v>
      </x:c>
      <x:c r="N2" s="15" t="str">
        <x:v>## Prior Context
Applied Materials entered fiscal Q2 after a weak semiconductor-cap-equipment environment and the failed Tokyo Electron merger. Investors were looking for evidence that the company could generate a new growth cycle through NAND, OLED/display and cost discipline.
### Verified prior source
2016-02-18 | Applied Materials | Q1 2016 Applied Materials Earnings Conference Call / News Release | https://ir.appliedmaterials.com/events/event-details/q1-2016-applied-materials-earnings-conference-call
## Current Earnings Release
Applied reported **$2.45 billion of revenue** and **$0.34 of non-GAAP EPS**, both above consensus. The decisive signal was orders: new orders surged **52% sequentially and 37% year over year to $3.45 billion**, the strongest quarterly order level in 15 years. Display orders reached about **$700 million**, while NAND-related demand also accelerated sharply.
Guidance was even stronger than the reported quarter. Applied expected fiscal Q3 revenue to rise **14%–18% sequentially**, versus roughly 2% growth expected by analysts, and guided non-GAAP EPS to **$0.46–$0.50** versus consensus near $0.36. The release therefore indicated a genuine demand inflection rather than a small earnings beat.
### Verified release source
2016-05-19 | Applied Materials | Applied Materials Announces Second Quarter 2016 Results | https://ir.appliedmaterials.com/news-releases/news-release-details/applied-materials-announces-second-quarter-2016-results
## Possible Drivers
**First-order driver.** Shares surged because orders and forward guidance were dramatically stronger than expected.
**Second-order driver.** OLED/display and 3D NAND created new equipment-demand pools beyond traditional foundry/DRAM spending.
**Third-order driver.** Cost reductions improved earnings leverage as revenue began to accelerate.
### Verified reaction source
2016-05-20 | The Motley Fool | Why Applied Materials Stock Surged Today | https://www.fool.com/investing/general/2016/05/20/why-applied-materials-stock-surged-today.aspx
## Verification Status
The **market-reaction direction in this narrative comes from the contemporaneous reaction source**, not automatically from the supplied return columns. For this event, verified direction = **UP**; supplied `ret_1daypost_pct` direction = **UP**; consistency = **MATCH**.
All included sources were checked for Applied Materials/AMAT identity, exact event, publication date, timing window and source origin. No WSJ, Reuters, Dow Jones or MarketWatch-syndicated article is included.
</x:v>
      </x:c>
      <x:c r="O2" s="15" t="str">
        <x:v>2016-02-18 | Applied Materials | Q1 2016 Applied Materials Earnings Conference Call / News Release | https://ir.appliedmaterials.com/events/event-details/q1-2016-applied-materials-earnings-conference-call</x:v>
      </x:c>
      <x:c r="P2" s="15" t="str">
        <x:v>2016-05-19 | Applied Materials | Applied Materials Announces Second Quarter 2016 Results | https://ir.appliedmaterials.com/news-releases/news-release-details/applied-materials-announces-second-quarter-2016-results</x:v>
      </x:c>
      <x:c r="Q2" s="15" t="str">
        <x:v>2016-05-20 | The Motley Fool | Why Applied Materials Stock Surged Today | https://www.fool.com/investing/general/2016/05/20/why-applied-materials-stock-surged-today.aspx</x:v>
      </x:c>
      <x:c r="R2" s="15" t="str">
        <x:v>2016-02-18 | Applied Materials | Q1 2016 Applied Materials Earnings Conference Call / News Release | https://ir.appliedmaterials.com/events/event-details/q1-2016-applied-materials-earnings-conference-call
2016-05-19 | Applied Materials | Applied Materials Announces Second Quarter 2016 Results | https://ir.appliedmaterials.com/news-releases/news-release-details/applied-materials-announces-second-quarter-2016-results
2016-05-20 | The Motley Fool | Why Applied Materials Stock Surged Today | https://www.fool.com/investing/general/2016/05/20/why-applied-materials-stock-surged-today.aspx</x:v>
      </x:c>
      <x:c r="S2" s="15" t="n">
        <x:v>3</x:v>
      </x:c>
      <x:c r="T2" s="15" t="str">
        <x:v>PASS</x:v>
      </x:c>
    </x:row>
    <x:row r="3" ht="350" customHeight="1">
      <x:c r="A3" s="15" t="n">
        <x:v>1</x:v>
      </x:c>
      <x:c r="B3" s="15" t="str">
        <x:v>AMAT</x:v>
      </x:c>
      <x:c r="C3" s="15" t="str">
        <x:v>Applied Materials</x:v>
      </x:c>
      <x:c r="D3" s="15" t="str">
        <x:v>2016q3</x:v>
      </x:c>
      <x:c r="E3" s="15" t="str">
        <x:v>2016-08-18</x:v>
      </x:c>
      <x:c r="F3" s="18" t="n">
        <x:v>1.09</x:v>
      </x:c>
      <x:c r="G3" s="18" t="n">
        <x:v>7.26</x:v>
      </x:c>
      <x:c r="H3" s="18" t="n">
        <x:v>8.43</x:v>
      </x:c>
      <x:c r="I3" s="18" t="n">
        <x:v>8.6</x:v>
      </x:c>
      <x:c r="J3" s="18" t="n">
        <x:v>9.85</x:v>
      </x:c>
      <x:c r="K3" s="15" t="str">
        <x:v>UP</x:v>
      </x:c>
      <x:c r="L3" s="15" t="str">
        <x:v>UP</x:v>
      </x:c>
      <x:c r="M3" s="15" t="str">
        <x:v>MATCH</x:v>
      </x:c>
      <x:c r="N3" s="15" t="str">
        <x:v>## Prior Context
After May’s order surge, expectations had risen materially. Q3 needed to show that the order inflection was converting into revenue and that the semiconductor/display cycle had enough breadth to continue.
### Verified prior source
2016-05-19 | Applied Materials | Applied Materials Announces Second Quarter 2016 Results | https://ir.appliedmaterials.com/news-releases/news-release-details/applied-materials-announces-second-quarter-2016-results
## Current Earnings Release
Fiscal Q3 revenue reached **$2.82 billion**, up about 13% year over year, and non-GAAP EPS was **$0.50**, above consensus near $0.48. Applied continued to benefit from strong NAND and display demand, while operating margins expanded.
The more important information was the fiscal Q4 outlook. Management guided non-GAAP EPS to **$0.61–$0.69**, well above prior expectations, and revenue guidance also implied continued strong growth. The report reinforced that the May order spike was translating into a sustained earnings cycle rather than a one-quarter phenomenon.
### Verified release source
2016-08-18 | Applied Materials | Q3 2016 Applied Materials Earnings Conference Call / News Release | https://ir.appliedmaterials.com/events/event-details/q3-2016-applied-materials-earnings-conference-call/
## Possible Drivers
**First-order driver.** The stock rose because EPS beat and Q4 guidance was well above expectations.
**Second-order driver.** NAND and OLED/display spending continued to broaden equipment demand.
**Third-order driver.** Margin expansion showed that revenue growth was converting efficiently into earnings.
### Verified reaction source
2016-08-19 | TheStreet | Applied Materials Stock Higher, Pacific Crest Raises Price Target | https://www.thestreet.com/markets/applied-materials-amat-stock-higher-pacific-crest-raises-price-target-13680120
## Verification Status
The **market-reaction direction in this narrative comes from the contemporaneous reaction source**, not automatically from the supplied return columns. For this event, verified direction = **UP**; supplied `ret_1daypost_pct` direction = **UP**; consistency = **MATCH**.
All included sources were checked for Applied Materials/AMAT identity, exact event, publication date, timing window and source origin. No WSJ, Reuters, Dow Jones or MarketWatch-syndicated article is included.
</x:v>
      </x:c>
      <x:c r="O3" s="15" t="str">
        <x:v>2016-05-19 | Applied Materials | Applied Materials Announces Second Quarter 2016 Results | https://ir.appliedmaterials.com/news-releases/news-release-details/applied-materials-announces-second-quarter-2016-results</x:v>
      </x:c>
      <x:c r="P3" s="15" t="str">
        <x:v>2016-08-18 | Applied Materials | Q3 2016 Applied Materials Earnings Conference Call / News Release | https://ir.appliedmaterials.com/events/event-details/q3-2016-applied-materials-earnings-conference-call/</x:v>
      </x:c>
      <x:c r="Q3" s="15" t="str">
        <x:v>2016-08-19 | TheStreet | Applied Materials Stock Higher, Pacific Crest Raises Price Target | https://www.thestreet.com/markets/applied-materials-amat-stock-higher-pacific-crest-raises-price-target-13680120</x:v>
      </x:c>
      <x:c r="R3" s="15" t="str">
        <x:v>2016-05-19 | Applied Materials | Applied Materials Announces Second Quarter 2016 Results | https://ir.appliedmaterials.com/news-releases/news-release-details/applied-materials-announces-second-quarter-2016-results
2016-08-18 | Applied Materials | Q3 2016 Applied Materials Earnings Conference Call / News Release | https://ir.appliedmaterials.com/events/event-details/q3-2016-applied-materials-earnings-conference-call/
2016-08-19 | TheStreet | Applied Materials Stock Higher, Pacific Crest Raises Price Target | https://www.thestreet.com/markets/applied-materials-amat-stock-higher-pacific-crest-raises-price-target-13680120</x:v>
      </x:c>
      <x:c r="S3" s="15" t="n">
        <x:v>3</x:v>
      </x:c>
      <x:c r="T3" s="15" t="str">
        <x:v>PASS</x:v>
      </x:c>
    </x:row>
    <x:row r="4" ht="350" customHeight="1">
      <x:c r="A4" s="15" t="n">
        <x:v>2</x:v>
      </x:c>
      <x:c r="B4" s="15" t="str">
        <x:v>AMAT</x:v>
      </x:c>
      <x:c r="C4" s="15" t="str">
        <x:v>Applied Materials</x:v>
      </x:c>
      <x:c r="D4" s="15" t="str">
        <x:v>2016q4</x:v>
      </x:c>
      <x:c r="E4" s="15" t="str">
        <x:v>2016-11-17</x:v>
      </x:c>
      <x:c r="F4" s="18" t="n">
        <x:v>1.9</x:v>
      </x:c>
      <x:c r="G4" s="18" t="n">
        <x:v>0.17</x:v>
      </x:c>
      <x:c r="H4" s="18" t="n">
        <x:v>2.08</x:v>
      </x:c>
      <x:c r="I4" s="18" t="n">
        <x:v>3.64</x:v>
      </x:c>
      <x:c r="J4" s="18" t="n">
        <x:v>5.98</x:v>
      </x:c>
      <x:c r="K4" s="15" t="str">
        <x:v>FLAT</x:v>
      </x:c>
      <x:c r="L4" s="15" t="str">
        <x:v>UP</x:v>
      </x:c>
      <x:c r="M4" s="15" t="str">
        <x:v>MISMATCH</x:v>
      </x:c>
      <x:c r="N4" s="15" t="str">
        <x:v>## Prior Context
Applied had already delivered two strong quarters, so investors entered fiscal Q4 expecting another record period. The hurdle was high, and order momentum mattered as much as reported earnings.
### Verified prior source
2016-08-18 | Applied Materials | Q3 2016 Applied Materials Earnings Conference Call / News Release | https://ir.appliedmaterials.com/events/event-details/q3-2016-applied-materials-earnings-conference-call/
## Current Earnings Release
Fiscal Q4 revenue rose **39% year over year to $3.30 billion**, while non-GAAP EPS reached **$0.66**, slightly above consensus. Backlog ended the year at **$4.58 billion**, up 46% year over year, and Applied’s semiconductor, services and display businesses all posted major annual gains.
The quarter was mixed relative to expectations. Revenue was slightly below consensus and new orders declined sequentially from the very high Q3 level, but fiscal Q1 guidance of **$0.62–$0.70 EPS** was above the roughly $0.59 consensus. Contemporaneous coverage described AMAT as roughly flat to slightly positive during the following session.
### Verified release source
2016-11-17 | Applied Materials | Applied Materials Delivers Record Quarterly and Annual Revenue and Earnings Per Share | https://investors.appliedmaterials.com/news-releases/news-release-details/applied-materials-delivers-record-quarterly-and-annual-revenue
## Possible Drivers
**First-order driver.** The reaction was muted because a revenue miss and lower sequential orders offset strong EPS and guidance.
**Second-order driver.** Record backlog still supported the view that the equipment up-cycle remained intact.
**Third-order driver.** Strong Q1 EPS guidance prevented the small revenue miss from becoming a larger negative catalyst.
### Verified reaction source
2016-11-18 | TheStreet | Stocks Drive Lower in Unsettled Session as Retailers Drop | https://www.thestreet.com/investing/stocks-little-changed-after-series-of-retail-earnings-disappointments-13899333
## Verification Status
The **market-reaction direction in this narrative comes from the contemporaneous reaction source**, not automatically from the supplied return columns. For this event, verified direction = **FLAT**; supplied `ret_1daypost_pct` direction = **UP**; consistency = **MISMATCH**.
All included sources were checked for Applied Materials/AMAT identity, exact event, publication date, timing window and source origin. No WSJ, Reuters, Dow Jones or MarketWatch-syndicated article is included.
</x:v>
      </x:c>
      <x:c r="O4" s="15" t="str">
        <x:v>2016-08-18 | Applied Materials | Q3 2016 Applied Materials Earnings Conference Call / News Release | https://ir.appliedmaterials.com/events/event-details/q3-2016-applied-materials-earnings-conference-call/</x:v>
      </x:c>
      <x:c r="P4" s="15" t="str">
        <x:v>2016-11-17 | Applied Materials | Applied Materials Delivers Record Quarterly and Annual Revenue and Earnings Per Share | https://investors.appliedmaterials.com/news-releases/news-release-details/applied-materials-delivers-record-quarterly-and-annual-revenue</x:v>
      </x:c>
      <x:c r="Q4" s="15" t="str">
        <x:v>2016-11-18 | TheStreet | Stocks Drive Lower in Unsettled Session as Retailers Drop | https://www.thestreet.com/investing/stocks-little-changed-after-series-of-retail-earnings-disappointments-13899333</x:v>
      </x:c>
      <x:c r="R4" s="15" t="str">
        <x:v>2016-08-18 | Applied Materials | Q3 2016 Applied Materials Earnings Conference Call / News Release | https://ir.appliedmaterials.com/events/event-details/q3-2016-applied-materials-earnings-conference-call/
2016-11-17 | Applied Materials | Applied Materials Delivers Record Quarterly and Annual Revenue and Earnings Per Share | https://investors.appliedmaterials.com/news-releases/news-release-details/applied-materials-delivers-record-quarterly-and-annual-revenue
2016-11-18 | TheStreet | Stocks Drive Lower in Unsettled Session as Retailers Drop | https://www.thestreet.com/investing/stocks-little-changed-after-series-of-retail-earnings-disappointments-13899333</x:v>
      </x:c>
      <x:c r="S4" s="15" t="n">
        <x:v>3</x:v>
      </x:c>
      <x:c r="T4" s="15" t="str">
        <x:v>PASS</x:v>
      </x:c>
    </x:row>
    <x:row r="5" ht="350" customHeight="1">
      <x:c r="A5" s="15" t="n">
        <x:v>3</x:v>
      </x:c>
      <x:c r="B5" s="15" t="str">
        <x:v>AMAT</x:v>
      </x:c>
      <x:c r="C5" s="15" t="str">
        <x:v>Applied Materials</x:v>
      </x:c>
      <x:c r="D5" s="15" t="str">
        <x:v>2017q1</x:v>
      </x:c>
      <x:c r="E5" s="15" t="str">
        <x:v>2017-02-15</x:v>
      </x:c>
      <x:c r="F5" s="18" t="n">
        <x:v>0.26</x:v>
      </x:c>
      <x:c r="G5" s="18" t="n">
        <x:v>-0.75</x:v>
      </x:c>
      <x:c r="H5" s="18" t="n">
        <x:v>-0.49</x:v>
      </x:c>
      <x:c r="I5" s="18" t="n">
        <x:v>-1.52</x:v>
      </x:c>
      <x:c r="J5" s="18" t="n">
        <x:v>1.91</x:v>
      </x:c>
      <x:c r="K5" s="15" t="str">
        <x:v>UP</x:v>
      </x:c>
      <x:c r="L5" s="15" t="str">
        <x:v>DOWN</x:v>
      </x:c>
      <x:c r="M5" s="15" t="str">
        <x:v>MISMATCH</x:v>
      </x:c>
      <x:c r="N5" s="15" t="str">
        <x:v>## Prior Context
By early 2017, Applied was benefiting from synchronized spending in 3D NAND, foundry/logic and OLED displays. The question was whether this broad cycle could persist after several quarters of accelerating orders.
### Verified prior source
2016-11-17 | Applied Materials | Applied Materials Delivers Record Quarterly and Annual Revenue and Earnings Per Share | https://investors.appliedmaterials.com/news-releases/news-release-details/applied-materials-delivers-record-quarterly-and-annual-revenue
## Current Earnings Release
Fiscal Q1 net sales were **$3.28 billion**, up **45% year over year**, and non-GAAP EPS reached a record **$0.67**, up 158%. New orders hit a record **$4.24 billion**, up 86% year over year. Semiconductor Systems orders were particularly strong in flash and foundry, while Display orders remained elevated.
Applied guided Q2 revenue to **$3.45–$3.60 billion** and non-GAAP EPS to **$0.72–$0.80**, implying another record quarter. The release therefore combined record current demand with another step-up in forward earnings power.
### Verified release source
2017-02-15 | Applied Materials | Applied Materials Delivers Record Earnings Per Share | https://ir.appliedmaterials.com/news-releases/news-release-details/applied-materials-delivers-record-earnings-share
## Possible Drivers
**First-order driver.** The market response was positive because record orders and record earnings were followed by another strong guide.
**Second-order driver.** 3D NAND and OLED investment were the clearest secular growth drivers.
**Third-order driver.** Rising gross and operating margins reinforced the sustainability of the earnings expansion.
### Verified reaction source
2017-02-16 | Tematica Research | Applied Material’s Outlook for OLEDs Boosts Our Universal Display Price Target | https://www.tematicaresearch.com/digital-lifestyle-theme/
## Verification Status
The **market-reaction direction in this narrative comes from the contemporaneous reaction source**, not automatically from the supplied return columns. For this event, verified direction = **UP**; supplied `ret_1daypost_pct` direction = **DOWN**; consistency = **MISMATCH**.
All included sources were checked for Applied Materials/AMAT identity, exact event, publication date, timing window and source origin. No WSJ, Reuters, Dow Jones or MarketWatch-syndicated article is included.
</x:v>
      </x:c>
      <x:c r="O5" s="15" t="str">
        <x:v>2016-11-17 | Applied Materials | Applied Materials Delivers Record Quarterly and Annual Revenue and Earnings Per Share | https://investors.appliedmaterials.com/news-releases/news-release-details/applied-materials-delivers-record-quarterly-and-annual-revenue</x:v>
      </x:c>
      <x:c r="P5" s="15" t="str">
        <x:v>2017-02-15 | Applied Materials | Applied Materials Delivers Record Earnings Per Share | https://ir.appliedmaterials.com/news-releases/news-release-details/applied-materials-delivers-record-earnings-share</x:v>
      </x:c>
      <x:c r="Q5" s="15" t="str">
        <x:v>2017-02-16 | Tematica Research | Applied Material’s Outlook for OLEDs Boosts Our Universal Display Price Target | https://www.tematicaresearch.com/digital-lifestyle-theme/</x:v>
      </x:c>
      <x:c r="R5" s="15" t="str">
        <x:v>2016-11-17 | Applied Materials | Applied Materials Delivers Record Quarterly and Annual Revenue and Earnings Per Share | https://investors.appliedmaterials.com/news-releases/news-release-details/applied-materials-delivers-record-quarterly-and-annual-revenue
2017-02-15 | Applied Materials | Applied Materials Delivers Record Earnings Per Share | https://ir.appliedmaterials.com/news-releases/news-release-details/applied-materials-delivers-record-earnings-share
2017-02-16 | Tematica Research | Applied Material’s Outlook for OLEDs Boosts Our Universal Display Price Target | https://www.tematicaresearch.com/digital-lifestyle-theme/</x:v>
      </x:c>
      <x:c r="S5" s="15" t="n">
        <x:v>3</x:v>
      </x:c>
      <x:c r="T5" s="15" t="str">
        <x:v>PASS</x:v>
      </x:c>
    </x:row>
    <x:row r="6" ht="350" customHeight="1">
      <x:c r="A6" s="15" t="n">
        <x:v>4</x:v>
      </x:c>
      <x:c r="B6" s="15" t="str">
        <x:v>AMAT</x:v>
      </x:c>
      <x:c r="C6" s="15" t="str">
        <x:v>Applied Materials</x:v>
      </x:c>
      <x:c r="D6" s="15" t="str">
        <x:v>2017q2</x:v>
      </x:c>
      <x:c r="E6" s="15" t="str">
        <x:v>2017-05-18</x:v>
      </x:c>
      <x:c r="F6" s="18" t="n">
        <x:v>2.35</x:v>
      </x:c>
      <x:c r="G6" s="18" t="n">
        <x:v>-0.37</x:v>
      </x:c>
      <x:c r="H6" s="18" t="n">
        <x:v>1.97</x:v>
      </x:c>
      <x:c r="I6" s="18" t="n">
        <x:v>-1.41</x:v>
      </x:c>
      <x:c r="J6" s="18" t="n">
        <x:v>-0.01</x:v>
      </x:c>
      <x:c r="K6" s="15" t="str">
        <x:v>UP</x:v>
      </x:c>
      <x:c r="L6" s="15" t="str">
        <x:v>DOWN</x:v>
      </x:c>
      <x:c r="M6" s="15" t="str">
        <x:v>MISMATCH</x:v>
      </x:c>
      <x:c r="N6" s="15" t="str">
        <x:v>## Prior Context
Expectations were extremely high after record Q1 orders. Investors wanted evidence that record bookings were converting into revenue without a deterioration in margin or forward demand.
### Verified prior source
2017-02-15 | Applied Materials | Applied Materials Delivers Record Earnings Per Share | https://ir.appliedmaterials.com/news-releases/news-release-details/applied-materials-delivers-record-earnings-share
## Current Earnings Release
Fiscal Q2 revenue increased **45% to a record $3.55 billion** and non-GAAP EPS rose **132% to $0.79**. Gross margin expanded to **46.3%** on a non-GAAP basis, while operating margin reached **27.8%**. Applied generated $898 million of operating cash flow.
Management said its markets were “strong and getting stronger” and guided Q3 to continued revenue and EPS growth. Contemporaneous coverage reported that AMAT shares moved higher after the release and outlook topped expectations. This is important because the supplied `ret_1daypost_pct` field is negative; the verified market reaction was positive.
### Verified release source
2017-05-18 | Applied Materials | Applied Materials Delivers Record Revenue and Earnings Per Share | https://ir.appliedmaterials.com/news-releases/news-release-details/applied-materials-delivers-record-revenue-and-earnings-share
## Possible Drivers
**First-order driver.** Shares rose because Applied delivered record revenue/EPS and a strong outlook.
**Second-order driver.** Margin expansion showed that the up-cycle was improving profitability, not just sales.
**Third-order driver.** Strength across semiconductor and display markets supported confidence that demand was broad-based.
### Verified reaction source
2017-05-19 | InvestorPlace | Applied Materials Stock Is the REAL Winner in Semiconductors | https://investorplace.com/2017/05/applied-materials-inc-amat-stock-is-the-real-winner-in-semiconductors/
## Verification Status
The **market-reaction direction in this narrative comes from the contemporaneous reaction source**, not automatically from the supplied return columns. For this event, verified direction = **UP**; supplied `ret_1daypost_pct` direction = **DOWN**; consistency = **MISMATCH**.
All included sources were checked for Applied Materials/AMAT identity, exact event, publication date, timing window and source origin. No WSJ, Reuters, Dow Jones or MarketWatch-syndicated article is included.
</x:v>
      </x:c>
      <x:c r="O6" s="15" t="str">
        <x:v>2017-02-15 | Applied Materials | Applied Materials Delivers Record Earnings Per Share | https://ir.appliedmaterials.com/news-releases/news-release-details/applied-materials-delivers-record-earnings-share</x:v>
      </x:c>
      <x:c r="P6" s="15" t="str">
        <x:v>2017-05-18 | Applied Materials | Applied Materials Delivers Record Revenue and Earnings Per Share | https://ir.appliedmaterials.com/news-releases/news-release-details/applied-materials-delivers-record-revenue-and-earnings-share</x:v>
      </x:c>
      <x:c r="Q6" s="15" t="str">
        <x:v>2017-05-19 | InvestorPlace | Applied Materials Stock Is the REAL Winner in Semiconductors | https://investorplace.com/2017/05/applied-materials-inc-amat-stock-is-the-real-winner-in-semiconductors/</x:v>
      </x:c>
      <x:c r="R6" s="15" t="str">
        <x:v>2017-02-15 | Applied Materials | Applied Materials Delivers Record Earnings Per Share | https://ir.appliedmaterials.com/news-releases/news-release-details/applied-materials-delivers-record-earnings-share
2017-05-18 | Applied Materials | Applied Materials Delivers Record Revenue and Earnings Per Share | https://ir.appliedmaterials.com/news-releases/news-release-details/applied-materials-delivers-record-revenue-and-earnings-share
2017-05-19 | InvestorPlace | Applied Materials Stock Is the REAL Winner in Semiconductors | https://investorplace.com/2017/05/applied-materials-inc-amat-stock-is-the-real-winner-in-semiconductors/</x:v>
      </x:c>
      <x:c r="S6" s="15" t="n">
        <x:v>3</x:v>
      </x:c>
      <x:c r="T6" s="15" t="str">
        <x:v>PASS</x:v>
      </x:c>
    </x:row>
    <x:row r="7" ht="350" customHeight="1">
      <x:c r="A7" s="15" t="n">
        <x:v>5</x:v>
      </x:c>
      <x:c r="B7" s="15" t="str">
        <x:v>AMAT</x:v>
      </x:c>
      <x:c r="C7" s="15" t="str">
        <x:v>Applied Materials</x:v>
      </x:c>
      <x:c r="D7" s="15" t="str">
        <x:v>2017q3</x:v>
      </x:c>
      <x:c r="E7" s="15" t="str">
        <x:v>2017-08-17</x:v>
      </x:c>
      <x:c r="F7" s="18" t="n">
        <x:v>-1.56</x:v>
      </x:c>
      <x:c r="G7" s="18" t="n">
        <x:v>2.86</x:v>
      </x:c>
      <x:c r="H7" s="18" t="n">
        <x:v>1.25</x:v>
      </x:c>
      <x:c r="I7" s="18" t="n">
        <x:v>2.37</x:v>
      </x:c>
      <x:c r="J7" s="18" t="n">
        <x:v>1.92</x:v>
      </x:c>
      <x:c r="K7" s="15" t="str">
        <x:v>UP</x:v>
      </x:c>
      <x:c r="L7" s="15" t="str">
        <x:v>UP</x:v>
      </x:c>
      <x:c r="M7" s="15" t="str">
        <x:v>MATCH</x:v>
      </x:c>
      <x:c r="N7" s="15" t="str">
        <x:v>## Prior Context
Applied entered Q3 after four consecutive record-earnings quarters. The main risk was that investors might view the semiconductor cycle as peaking despite continued strength in memory and display spending.
### Verified prior source
2017-05-18 | Applied Materials | Applied Materials Delivers Record Revenue and Earnings Per Share | https://ir.appliedmaterials.com/news-releases/news-release-details/applied-materials-delivers-record-revenue-and-earnings-share
## Current Earnings Release
Fiscal Q3 revenue rose **33% to a record $3.74 billion**, GAAP EPS increased **85% to $0.85**, and non-GAAP EPS rose **72% to $0.86**. Operating cash flow reached a record **$1.37 billion**, equal to 36% of revenue.
Management guided fiscal Q4 revenue to **$3.85–$4.0 billion** and non-GAAP EPS to **$0.86–$0.94**, both above expectations. DRAM and OLED demand were highlighted by contemporaneous analyst coverage. The result indicated that the cycle was still expanding rather than plateauing.
### Verified release source
2017-08-17 | Applied Materials | Applied Materials Delivers the Best Quarter in Its 50-Year History | https://ir.appliedmaterials.com/news-releases/news-release-details/applied-materials-delivers-best-quarter-its-50-year-history
## Possible Drivers
**First-order driver.** The stock rose because earnings beat and Q4 guidance exceeded expectations.
**Second-order driver.** DRAM and OLED spending added breadth to the already-strong NAND cycle.
**Third-order driver.** Record cash generation strengthened confidence in the quality of earnings.
### Verified reaction source
2017-08-18 | TheStreet | Applied Materials Stock to Rally More Than 40%: Analysts | https://www.thestreet.com/investing/stocks/applied-materials-stock-can-rally-more-than-40-analysts-14276253
## Verification Status
The **market-reaction direction in this narrative comes from the contemporaneous reaction source**, not automatically from the supplied return columns. For this event, verified direction = **UP**; supplied `ret_1daypost_pct` direction = **UP**; consistency = **MATCH**.
All included sources were checked for Applied Materials/AMAT identity, exact event, publication date, timing window and source origin. No WSJ, Reuters, Dow Jones or MarketWatch-syndicated article is included.
</x:v>
      </x:c>
      <x:c r="O7" s="15" t="str">
        <x:v>2017-05-18 | Applied Materials | Applied Materials Delivers Record Revenue and Earnings Per Share | https://ir.appliedmaterials.com/news-releases/news-release-details/applied-materials-delivers-record-revenue-and-earnings-share</x:v>
      </x:c>
      <x:c r="P7" s="15" t="str">
        <x:v>2017-08-17 | Applied Materials | Applied Materials Delivers the Best Quarter in Its 50-Year History | https://ir.appliedmaterials.com/news-releases/news-release-details/applied-materials-delivers-best-quarter-its-50-year-history</x:v>
      </x:c>
      <x:c r="Q7" s="15" t="str">
        <x:v>2017-08-18 | TheStreet | Applied Materials Stock to Rally More Than 40%: Analysts | https://www.thestreet.com/investing/stocks/applied-materials-stock-can-rally-more-than-40-analysts-14276253</x:v>
      </x:c>
      <x:c r="R7" s="15" t="str">
        <x:v>2017-05-18 | Applied Materials | Applied Materials Delivers Record Revenue and Earnings Per Share | https://ir.appliedmaterials.com/news-releases/news-release-details/applied-materials-delivers-record-revenue-and-earnings-share
2017-08-17 | Applied Materials | Applied Materials Delivers the Best Quarter in Its 50-Year History | https://ir.appliedmaterials.com/news-releases/news-release-details/applied-materials-delivers-best-quarter-its-50-year-history
2017-08-18 | TheStreet | Applied Materials Stock to Rally More Than 40%: Analysts | https://www.thestreet.com/investing/stocks/applied-materials-stock-can-rally-more-than-40-analysts-14276253</x:v>
      </x:c>
      <x:c r="S7" s="15" t="n">
        <x:v>3</x:v>
      </x:c>
      <x:c r="T7" s="15" t="str">
        <x:v>PASS</x:v>
      </x:c>
    </x:row>
    <x:row r="8" ht="350" customHeight="1">
      <x:c r="A8" s="15" t="n">
        <x:v>6</x:v>
      </x:c>
      <x:c r="B8" s="15" t="str">
        <x:v>AMAT</x:v>
      </x:c>
      <x:c r="C8" s="15" t="str">
        <x:v>Applied Materials</x:v>
      </x:c>
      <x:c r="D8" s="15" t="str">
        <x:v>2017q4</x:v>
      </x:c>
      <x:c r="E8" s="15" t="str">
        <x:v>2017-11-16</x:v>
      </x:c>
      <x:c r="F8" s="18" t="n">
        <x:v>2.78</x:v>
      </x:c>
      <x:c r="G8" s="18" t="n">
        <x:v>-2.24</x:v>
      </x:c>
      <x:c r="H8" s="18" t="n">
        <x:v>0.47</x:v>
      </x:c>
      <x:c r="I8" s="18" t="n">
        <x:v>-0.2</x:v>
      </x:c>
      <x:c r="J8" s="18" t="n">
        <x:v>3.04</x:v>
      </x:c>
      <x:c r="K8" s="15" t="str">
        <x:v>UP</x:v>
      </x:c>
      <x:c r="L8" s="15" t="str">
        <x:v>DOWN</x:v>
      </x:c>
      <x:c r="M8" s="15" t="str">
        <x:v>MISMATCH</x:v>
      </x:c>
      <x:c r="N8" s="15" t="str">
        <x:v>## Prior Context
By fiscal Q4, the stock had roughly doubled over the prior year. The fundamental backdrop remained strong, but the valuation embedded expectations for another beat-and-raise.
### Verified prior source
2017-08-17 | Applied Materials | Applied Materials Delivers the Best Quarter in Its 50-Year History | https://ir.appliedmaterials.com/news-releases/news-release-details/applied-materials-delivers-best-quarter-its-50-year-history
## Current Earnings Release
Applied reported record quarterly revenue of **$3.97 billion**, up **20%**, and non-GAAP EPS of **$0.93**, up 41%. Full-year revenue and operating profit reached records across all major segments, while year-end backlog rose **32% to $6.03 billion**.
Management’s outlook remained upbeat, emphasizing AI, high-performance computing, memory and display technology transitions. Schaeffer’s reported AMAT hitting a **record high** the next morning after another earnings beat and favorable forecast. Again, this verified reaction conflicts with the negative supplied `ret_1daypost_pct` field.
### Verified release source
2017-11-16 | Applied Materials | Applied Materials Delivers All-Time Record Performance | https://ir.appliedmaterials.com/news-releases/news-release-details/applied-materials-delivers-all-time-record-performance
## Possible Drivers
**First-order driver.** Shares rose because another record quarter and favorable guidance sustained the growth thesis.
**Second-order driver.** Record backlog reduced concern that the equipment cycle was about to roll over.
**Third-order driver.** AI, memory and advanced-display spending broadened the long-term narrative beyond a normal cyclical peak.
### Verified reaction source
2017-11-17 | Schaeffer's Investment Research | SPLK, AMAT Stocks Rally After Earnings; Shoe Carnival Stock Burns Shorts | https://www.schaeffersresearch.com/content/news/2017/11/17/splk-amat-stocks-rally-after-earnings-shoe-carnival-stock-burns-shorts
## Verification Status
The **market-reaction direction in this narrative comes from the contemporaneous reaction source**, not automatically from the supplied return columns. For this event, verified direction = **UP**; supplied `ret_1daypost_pct` direction = **DOWN**; consistency = **MISMATCH**.
All included sources were checked for Applied Materials/AMAT identity, exact event, publication date, timing window and source origin. No WSJ, Reuters, Dow Jones or MarketWatch-syndicated article is included.
</x:v>
      </x:c>
      <x:c r="O8" s="15" t="str">
        <x:v>2017-08-17 | Applied Materials | Applied Materials Delivers the Best Quarter in Its 50-Year History | https://ir.appliedmaterials.com/news-releases/news-release-details/applied-materials-delivers-best-quarter-its-50-year-history</x:v>
      </x:c>
      <x:c r="P8" s="15" t="str">
        <x:v>2017-11-16 | Applied Materials | Applied Materials Delivers All-Time Record Performance | https://ir.appliedmaterials.com/news-releases/news-release-details/applied-materials-delivers-all-time-record-performance</x:v>
      </x:c>
      <x:c r="Q8" s="15" t="str">
        <x:v>2017-11-17 | Schaeffer's Investment Research | SPLK, AMAT Stocks Rally After Earnings; Shoe Carnival Stock Burns Shorts | https://www.schaeffersresearch.com/content/news/2017/11/17/splk-amat-stocks-rally-after-earnings-shoe-carnival-stock-burns-shorts</x:v>
      </x:c>
      <x:c r="R8" s="15" t="str">
        <x:v>2017-08-17 | Applied Materials | Applied Materials Delivers the Best Quarter in Its 50-Year History | https://ir.appliedmaterials.com/news-releases/news-release-details/applied-materials-delivers-best-quarter-its-50-year-history
2017-11-16 | Applied Materials | Applied Materials Delivers All-Time Record Performance | https://ir.appliedmaterials.com/news-releases/news-release-details/applied-materials-delivers-all-time-record-performance
2017-11-17 | Schaeffer's Investment Research | SPLK, AMAT Stocks Rally After Earnings; Shoe Carnival Stock Burns Shorts | https://www.schaeffersresearch.com/content/news/2017/11/17/splk-amat-stocks-rally-after-earnings-shoe-carnival-stock-burns-shorts</x:v>
      </x:c>
      <x:c r="S8" s="15" t="n">
        <x:v>3</x:v>
      </x:c>
      <x:c r="T8" s="15" t="str">
        <x:v>PASS</x:v>
      </x:c>
    </x:row>
    <x:row r="9" ht="350" customHeight="1">
      <x:c r="A9" s="15" t="n">
        <x:v>7</x:v>
      </x:c>
      <x:c r="B9" s="15" t="str">
        <x:v>AMAT</x:v>
      </x:c>
      <x:c r="C9" s="15" t="str">
        <x:v>Applied Materials</x:v>
      </x:c>
      <x:c r="D9" s="15" t="str">
        <x:v>2018q1</x:v>
      </x:c>
      <x:c r="E9" s="15" t="str">
        <x:v>2018-02-14</x:v>
      </x:c>
      <x:c r="F9" s="18" t="n">
        <x:v>3.43</x:v>
      </x:c>
      <x:c r="G9" s="18" t="n">
        <x:v>2.8</x:v>
      </x:c>
      <x:c r="H9" s="18" t="n">
        <x:v>6.32</x:v>
      </x:c>
      <x:c r="I9" s="18" t="n">
        <x:v>6.12</x:v>
      </x:c>
      <x:c r="J9" s="18" t="n">
        <x:v>12.2</x:v>
      </x:c>
      <x:c r="K9" s="15" t="str">
        <x:v>UP</x:v>
      </x:c>
      <x:c r="L9" s="15" t="str">
        <x:v>UP</x:v>
      </x:c>
      <x:c r="M9" s="15" t="str">
        <x:v>MATCH</x:v>
      </x:c>
      <x:c r="N9" s="15" t="str">
        <x:v>## Prior Context
Investors entered fiscal Q1 debating whether semiconductor-equipment spending was near a cyclical top. Applied needed to show that AI, big data, memory and OLED transitions could support another year of growth.
### Verified prior source
2017-11-16 | Applied Materials | Applied Materials Delivers All-Time Record Performance | https://ir.appliedmaterials.com/news-releases/news-release-details/applied-materials-delivers-all-time-record-performance
## Current Earnings Release
Fiscal Q1 revenue rose **28% to a record $4.20 billion**, while non-GAAP EPS increased **58% to $1.06**, above consensus. Non-GAAP operating income grew 46% and operating cash flow increased **85% to $1.47 billion**.
Applied also **doubled its quarterly dividend to $0.20** and added **$6 billion** to its share-repurchase authorization. Management said all three major business segments could deliver strong double-digit growth in 2018. The stock initially sold off the next morning but recovered and finished the session sharply higher.
### Verified release source
2018-02-14 | Applied Materials | Applied Materials Delivers Strong Year-on-Year Growth in Quarterly Revenue and Operating Profit | https://ir.appliedmaterials.com/news-releases/news-release-details/applied-materials-delivers-strong-year-year-growth-quarterly/
## Possible Drivers
**First-order driver.** Shares ultimately rose because the beat-and-raise quarter confirmed strong growth and cash generation.
**Second-order driver.** The dividend doubling and larger buyback materially strengthened capital returns.
**Third-order driver.** Broad segment growth reduced fears that the cycle depended on a single end market.
### Verified reaction source
2018-02-16 | InvestorPlace | Applied Materials Stock Is a Screaming Buy Right Now! | https://investorplace.com/2018/02/applied-materials-amat-stock-screaming-buy/
## Verification Status
The **market-reaction direction in this narrative comes from the contemporaneous reaction source**, not automatically from the supplied return columns. For this event, verified direction = **UP**; supplied `ret_1daypost_pct` direction = **UP**; consistency = **MATCH**.
All included sources were checked for Applied Materials/AMAT identity, exact event, publication date, timing window and source origin. No WSJ, Reuters, Dow Jones or MarketWatch-syndicated article is included.
</x:v>
      </x:c>
      <x:c r="O9" s="15" t="str">
        <x:v>2017-11-16 | Applied Materials | Applied Materials Delivers All-Time Record Performance | https://ir.appliedmaterials.com/news-releases/news-release-details/applied-materials-delivers-all-time-record-performance</x:v>
      </x:c>
      <x:c r="P9" s="15" t="str">
        <x:v>2018-02-14 | Applied Materials | Applied Materials Delivers Strong Year-on-Year Growth in Quarterly Revenue and Operating Profit | https://ir.appliedmaterials.com/news-releases/news-release-details/applied-materials-delivers-strong-year-year-growth-quarterly/</x:v>
      </x:c>
      <x:c r="Q9" s="15" t="str">
        <x:v>2018-02-16 | InvestorPlace | Applied Materials Stock Is a Screaming Buy Right Now! | https://investorplace.com/2018/02/applied-materials-amat-stock-screaming-buy/</x:v>
      </x:c>
      <x:c r="R9" s="15" t="str">
        <x:v>2017-11-16 | Applied Materials | Applied Materials Delivers All-Time Record Performance | https://ir.appliedmaterials.com/news-releases/news-release-details/applied-materials-delivers-all-time-record-performance
2018-02-14 | Applied Materials | Applied Materials Delivers Strong Year-on-Year Growth in Quarterly Revenue and Operating Profit | https://ir.appliedmaterials.com/news-releases/news-release-details/applied-materials-delivers-strong-year-year-growth-quarterly/
2018-02-16 | InvestorPlace | Applied Materials Stock Is a Screaming Buy Right Now! | https://investorplace.com/2018/02/applied-materials-amat-stock-screaming-buy/</x:v>
      </x:c>
      <x:c r="S9" s="15" t="n">
        <x:v>3</x:v>
      </x:c>
      <x:c r="T9" s="15" t="str">
        <x:v>PASS</x:v>
      </x:c>
    </x:row>
    <x:row r="10" ht="350" customHeight="1">
      <x:c r="A10" s="15" t="n">
        <x:v>8</x:v>
      </x:c>
      <x:c r="B10" s="15" t="str">
        <x:v>AMAT</x:v>
      </x:c>
      <x:c r="C10" s="15" t="str">
        <x:v>Applied Materials</x:v>
      </x:c>
      <x:c r="D10" s="15" t="str">
        <x:v>2018q2</x:v>
      </x:c>
      <x:c r="E10" s="15" t="str">
        <x:v>2018-05-17</x:v>
      </x:c>
      <x:c r="F10" s="18" t="n">
        <x:v>-2.22</x:v>
      </x:c>
      <x:c r="G10" s="18" t="n">
        <x:v>-8.02</x:v>
      </x:c>
      <x:c r="H10" s="18" t="n">
        <x:v>-10.07</x:v>
      </x:c>
      <x:c r="I10" s="18" t="n">
        <x:v>-8.71</x:v>
      </x:c>
      <x:c r="J10" s="18" t="n">
        <x:v>-7.67</x:v>
      </x:c>
      <x:c r="K10" s="15" t="str">
        <x:v>DOWN</x:v>
      </x:c>
      <x:c r="L10" s="15" t="str">
        <x:v>DOWN</x:v>
      </x:c>
      <x:c r="M10" s="15" t="str">
        <x:v>MATCH</x:v>
      </x:c>
      <x:c r="N10" s="15" t="str">
        <x:v>## Prior Context
By May, concern was shifting from the strength of the current semiconductor cycle to the timing of future customer projects—especially OLED displays and NAND capacity for high-end smartphones.
### Verified prior source
2018-02-14 | Applied Materials | Applied Materials Delivers Strong Year-on-Year Growth in Quarterly Revenue and Operating Profit | https://ir.appliedmaterials.com/news-releases/news-release-details/applied-materials-delivers-strong-year-year-growth-quarterly/
## Current Earnings Release
Fiscal Q2 revenue rose **29% to a record $4.57 billion** and non-GAAP EPS increased **54% to $1.22**, both above consensus. Non-GAAP operating margin reached **30.2%**, and Applied returned **$2.6 billion** to shareholders during the quarter.
Despite the excellent reported numbers, management’s Q3 revenue outlook of **$4.33–$4.53 billion** disappointed investors, and management discussed delays/slower spending in display and memory projects tied to high-end smartphones. The market treated this as an inflection in the forward demand cycle rather than a problem with the just-reported quarter.
### Verified release source
2018-05-17 | Applied Materials | Applied Materials Delivers Strong Year-On-Year Growth in Quarterly Revenue and Earnings Per Share | https://ir.appliedmaterials.com/news-releases/news-release-details/applied-materials-delivers-strong-year-year-growth-quarterly-1/
## Possible Drivers
**First-order driver.** Shares plunged because the forward revenue outlook and smartphone-related display/memory commentary disappointed.
**Second-order driver.** The selloff occurred despite a clear current-quarter beat, making this a forward-cycle reset.
**Third-order driver.** Concerns about OLED/display timing and NAND project delays raised fears that peak equipment growth was passing.
### Verified reaction source
2018-05-18 | The Motley Fool | Why Shares of Applied Materials, Inc. Plunged 10% Today | https://www.fool.com/investing/2018/05/18/why-shares-of-applied-materials-inc-plunged-10-tod.aspx
## Verification Status
The **market-reaction direction in this narrative comes from the contemporaneous reaction source**, not automatically from the supplied return columns. For this event, verified direction = **DOWN**; supplied `ret_1daypost_pct` direction = **DOWN**; consistency = **MATCH**.
All included sources were checked for Applied Materials/AMAT identity, exact event, publication date, timing window and source origin. No WSJ, Reuters, Dow Jones or MarketWatch-syndicated article is included.
</x:v>
      </x:c>
      <x:c r="O10" s="15" t="str">
        <x:v>2018-02-14 | Applied Materials | Applied Materials Delivers Strong Year-on-Year Growth in Quarterly Revenue and Operating Profit | https://ir.appliedmaterials.com/news-releases/news-release-details/applied-materials-delivers-strong-year-year-growth-quarterly/</x:v>
      </x:c>
      <x:c r="P10" s="15" t="str">
        <x:v>2018-05-17 | Applied Materials | Applied Materials Delivers Strong Year-On-Year Growth in Quarterly Revenue and Earnings Per Share | https://ir.appliedmaterials.com/news-releases/news-release-details/applied-materials-delivers-strong-year-year-growth-quarterly-1/</x:v>
      </x:c>
      <x:c r="Q10" s="15" t="str">
        <x:v>2018-05-18 | The Motley Fool | Why Shares of Applied Materials, Inc. Plunged 10% Today | https://www.fool.com/investing/2018/05/18/why-shares-of-applied-materials-inc-plunged-10-tod.aspx</x:v>
      </x:c>
      <x:c r="R10" s="15" t="str">
        <x:v>2018-02-14 | Applied Materials | Applied Materials Delivers Strong Year-on-Year Growth in Quarterly Revenue and Operating Profit | https://ir.appliedmaterials.com/news-releases/news-release-details/applied-materials-delivers-strong-year-year-growth-quarterly/
2018-05-17 | Applied Materials | Applied Materials Delivers Strong Year-On-Year Growth in Quarterly Revenue and Earnings Per Share | https://ir.appliedmaterials.com/news-releases/news-release-details/applied-materials-delivers-strong-year-year-growth-quarterly-1/
2018-05-18 | The Motley Fool | Why Shares of Applied Materials, Inc. Plunged 10% Today | https://www.fool.com/investing/2018/05/18/why-shares-of-applied-materials-inc-plunged-10-tod.aspx</x:v>
      </x:c>
      <x:c r="S10" s="15" t="n">
        <x:v>3</x:v>
      </x:c>
      <x:c r="T10" s="15" t="str">
        <x:v>PASS</x:v>
      </x:c>
    </x:row>
    <x:row r="11" ht="350" customHeight="1">
      <x:c r="A11" s="15" t="n">
        <x:v>9</x:v>
      </x:c>
      <x:c r="B11" s="15" t="str">
        <x:v>AMAT</x:v>
      </x:c>
      <x:c r="C11" s="15" t="str">
        <x:v>Applied Materials</x:v>
      </x:c>
      <x:c r="D11" s="15" t="str">
        <x:v>2018q3</x:v>
      </x:c>
      <x:c r="E11" s="15" t="str">
        <x:v>2018-08-16</x:v>
      </x:c>
      <x:c r="F11" s="18" t="n">
        <x:v>-0.97</x:v>
      </x:c>
      <x:c r="G11" s="18" t="n">
        <x:v>-8.1</x:v>
      </x:c>
      <x:c r="H11" s="18" t="n">
        <x:v>-8.99</x:v>
      </x:c>
      <x:c r="I11" s="18" t="n">
        <x:v>-9.8</x:v>
      </x:c>
      <x:c r="J11" s="18" t="n">
        <x:v>-10.36</x:v>
      </x:c>
      <x:c r="K11" s="15" t="str">
        <x:v>DOWN</x:v>
      </x:c>
      <x:c r="L11" s="15" t="str">
        <x:v>DOWN</x:v>
      </x:c>
      <x:c r="M11" s="15" t="str">
        <x:v>MATCH</x:v>
      </x:c>
      <x:c r="N11" s="15" t="str">
        <x:v>## Prior Context
After May’s guidance-driven collapse, investors needed evidence that the slowdown was temporary. Foundry, memory and display customer timing had become the central risk.
### Verified prior source
2018-05-17 | Applied Materials | Applied Materials Delivers Strong Year-On-Year Growth in Quarterly Revenue and Earnings Per Share | https://ir.appliedmaterials.com/news-releases/news-release-details/applied-materials-delivers-strong-year-year-growth-quarterly-1/
## Current Earnings Release
Fiscal Q3 revenue increased **19% to $4.47 billion** and non-GAAP EPS rose **40% to $1.20**, both better than consensus. Applied Global Services and Display posted record revenue and operating income, while the company returned **$1.45 billion** to shareholders.
The problem again was the outlook. Management acknowledged **near-term adjustments in customer spending**, and fiscal Q4 guidance was below what investors wanted. Contemporaneous analyst commentary cited uncertainty in memory and foundry spending and customer shipment timing. The second consecutive weak guide confirmed that the slowdown was broader than a single-quarter display issue.
### Verified release source
2018-08-16 | Applied Materials | Applied Materials Delivers Strong Year-On-Year Growth in Quarterly Revenue and Operating Income | https://ir.appliedmaterials.com/news-releases/news-release-details/applied-materials-delivers-strong-year-year-growth-quarterly-2/
## Possible Drivers
**First-order driver.** Shares fell sharply because weak Q4 guidance outweighed the earnings beat.
**Second-order driver.** Memory and foundry spending uncertainty made the slowdown look broader than the May display issue.
**Third-order driver.** Record services/display results supported the long-term story but could not offset near-term capex-cycle concerns.
### Verified reaction source
2018-08-17 | The Motley Fool | Why Applied Materials, Tesla, and Dean Foods Slumped Today | https://www.fool.com/investing/2018/08/17/why-applied-materials-tesla-and-dean-foods-slumped.aspx
## Verification Status
The **market-reaction direction in this narrative comes from the contemporaneous reaction source**, not automatically from the supplied return columns. For this event, verified direction = **DOWN**; supplied `ret_1daypost_pct` direction = **DOWN**; consistency = **MATCH**.
All included sources were checked for Applied Materials/AMAT identity, exact event, publication date, timing window and source origin. No WSJ, Reuters, Dow Jones or MarketWatch-syndicated article is included.
</x:v>
      </x:c>
      <x:c r="O11" s="15" t="str">
        <x:v>2018-05-17 | Applied Materials | Applied Materials Delivers Strong Year-On-Year Growth in Quarterly Revenue and Earnings Per Share | https://ir.appliedmaterials.com/news-releases/news-release-details/applied-materials-delivers-strong-year-year-growth-quarterly-1/</x:v>
      </x:c>
      <x:c r="P11" s="15" t="str">
        <x:v>2018-08-16 | Applied Materials | Applied Materials Delivers Strong Year-On-Year Growth in Quarterly Revenue and Operating Income | https://ir.appliedmaterials.com/news-releases/news-release-details/applied-materials-delivers-strong-year-year-growth-quarterly-2/</x:v>
      </x:c>
      <x:c r="Q11" s="15" t="str">
        <x:v>2018-08-17 | The Motley Fool | Why Applied Materials, Tesla, and Dean Foods Slumped Today | https://www.fool.com/investing/2018/08/17/why-applied-materials-tesla-and-dean-foods-slumped.aspx</x:v>
      </x:c>
      <x:c r="R11" s="15" t="str">
        <x:v>2018-05-17 | Applied Materials | Applied Materials Delivers Strong Year-On-Year Growth in Quarterly Revenue and Earnings Per Share | https://ir.appliedmaterials.com/news-releases/news-release-details/applied-materials-delivers-strong-year-year-growth-quarterly-1/
2018-08-16 | Applied Materials | Applied Materials Delivers Strong Year-On-Year Growth in Quarterly Revenue and Operating Income | https://ir.appliedmaterials.com/news-releases/news-release-details/applied-materials-delivers-strong-year-year-growth-quarterly-2/
2018-08-17 | The Motley Fool | Why Applied Materials, Tesla, and Dean Foods Slumped Today | https://www.fool.com/investing/2018/08/17/why-applied-materials-tesla-and-dean-foods-slumped.aspx</x:v>
      </x:c>
      <x:c r="S11" s="15" t="n">
        <x:v>3</x:v>
      </x:c>
      <x:c r="T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5"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2016-05-19</x:v>
      </x:c>
      <x:c r="B2" s="12" t="str">
        <x:v>AMAT</x:v>
      </x:c>
      <x:c r="C2" s="12" t="str">
        <x:v>prior</x:v>
      </x:c>
      <x:c r="D2" s="12" t="str">
        <x:v>2016-02-18</x:v>
      </x:c>
      <x:c r="E2" s="12" t="n">
        <x:v>-91</x:v>
      </x:c>
      <x:c r="F2" s="12" t="str">
        <x:v>Applied Materials</x:v>
      </x:c>
      <x:c r="G2" s="12" t="str">
        <x:v>Q1 2016 Applied Materials Earnings Conference Call / News Release</x:v>
      </x:c>
      <x:c r="H2" s="12" t="str">
        <x:v>https://ir.appliedmaterials.com/events/event-details/q1-2016-applied-materials-earnings-conference-call</x:v>
      </x:c>
      <x:c r="I2" s="12" t="str">
        <x:v>WEB_VERIFIED</x:v>
      </x:c>
      <x:c r="J2" s="12" t="str">
        <x:v>PASS</x:v>
      </x:c>
      <x:c r="K2" s="12" t="str">
        <x:v>PASS</x:v>
      </x:c>
      <x:c r="L2" s="12" t="str">
        <x:v>PASS</x:v>
      </x:c>
      <x:c r="M2" s="12" t="str">
        <x:v>NO</x:v>
      </x:c>
      <x:c r="N2" s="12" t="str">
        <x:v>PASS</x:v>
      </x:c>
      <x:c r="O2" s="12" t="str">
        <x:v>FACTUAL</x:v>
      </x:c>
      <x:c r="P2" s="12" t="str">
        <x:v>PASS</x:v>
      </x:c>
      <x:c r="Q2" s="12" t="str">
        <x:v>Verified against Applied Materials historical IR / event page and exact earnings date.</x:v>
      </x:c>
    </x:row>
    <x:row r="3">
      <x:c r="A3" s="12" t="str">
        <x:v>2016-05-19</x:v>
      </x:c>
      <x:c r="B3" s="12" t="str">
        <x:v>AMAT</x:v>
      </x:c>
      <x:c r="C3" s="12" t="str">
        <x:v>release</x:v>
      </x:c>
      <x:c r="D3" s="12" t="str">
        <x:v>2016-05-19</x:v>
      </x:c>
      <x:c r="E3" s="12" t="n">
        <x:v>0</x:v>
      </x:c>
      <x:c r="F3" s="12" t="str">
        <x:v>Applied Materials</x:v>
      </x:c>
      <x:c r="G3" s="12" t="str">
        <x:v>Applied Materials Announces Second Quarter 2016 Results</x:v>
      </x:c>
      <x:c r="H3" s="12" t="str">
        <x:v>https://ir.appliedmaterials.com/news-releases/news-release-details/applied-materials-announces-second-quarter-2016-results</x:v>
      </x:c>
      <x:c r="I3" s="12" t="str">
        <x:v>WEB_VERIFIED</x:v>
      </x:c>
      <x:c r="J3" s="12" t="str">
        <x:v>PASS</x:v>
      </x:c>
      <x:c r="K3" s="12" t="str">
        <x:v>PASS</x:v>
      </x:c>
      <x:c r="L3" s="12" t="str">
        <x:v>PASS</x:v>
      </x:c>
      <x:c r="M3" s="12" t="str">
        <x:v>NO</x:v>
      </x:c>
      <x:c r="N3" s="12" t="str">
        <x:v>PASS</x:v>
      </x:c>
      <x:c r="O3" s="12" t="str">
        <x:v>FACTUAL</x:v>
      </x:c>
      <x:c r="P3" s="12" t="str">
        <x:v>PASS</x:v>
      </x:c>
      <x:c r="Q3" s="12" t="str">
        <x:v>Verified against Applied Materials historical IR / event page and exact earnings date.</x:v>
      </x:c>
    </x:row>
    <x:row r="4">
      <x:c r="A4" s="12" t="str">
        <x:v>2016-05-19</x:v>
      </x:c>
      <x:c r="B4" s="12" t="str">
        <x:v>AMAT</x:v>
      </x:c>
      <x:c r="C4" s="12" t="str">
        <x:v>reaction</x:v>
      </x:c>
      <x:c r="D4" s="12" t="str">
        <x:v>2016-05-20</x:v>
      </x:c>
      <x:c r="E4" s="12" t="n">
        <x:v>1</x:v>
      </x:c>
      <x:c r="F4" s="12" t="str">
        <x:v>The Motley Fool</x:v>
      </x:c>
      <x:c r="G4" s="12" t="str">
        <x:v>Why Applied Materials Stock Surged Today</x:v>
      </x:c>
      <x:c r="H4" s="12" t="str">
        <x:v>https://www.fool.com/investing/general/2016/05/20/why-applied-materials-stock-surged-today.aspx</x:v>
      </x:c>
      <x:c r="I4" s="12" t="str">
        <x:v>WEB_VERIFIED</x:v>
      </x:c>
      <x:c r="J4" s="12" t="str">
        <x:v>PASS</x:v>
      </x:c>
      <x:c r="K4" s="12" t="str">
        <x:v>PASS</x:v>
      </x:c>
      <x:c r="L4" s="12" t="str">
        <x:v>PASS</x:v>
      </x:c>
      <x:c r="M4" s="12" t="str">
        <x:v>NO</x:v>
      </x:c>
      <x:c r="N4" s="12" t="str">
        <x:v>PASS</x:v>
      </x:c>
      <x:c r="O4" s="12" t="str">
        <x:v>EXPLICIT</x:v>
      </x:c>
      <x:c r="P4" s="12" t="str">
        <x:v>PASS</x:v>
      </x:c>
      <x:c r="Q4" s="12" t="str">
        <x:v>Contemporaneous source explicitly describes the post-earnings market reaction or immediate interpretation.</x:v>
      </x:c>
    </x:row>
    <x:row r="5">
      <x:c r="A5" s="12" t="str">
        <x:v>2016-08-18</x:v>
      </x:c>
      <x:c r="B5" s="12" t="str">
        <x:v>AMAT</x:v>
      </x:c>
      <x:c r="C5" s="12" t="str">
        <x:v>prior</x:v>
      </x:c>
      <x:c r="D5" s="12" t="str">
        <x:v>2016-05-19</x:v>
      </x:c>
      <x:c r="E5" s="12" t="n">
        <x:v>-91</x:v>
      </x:c>
      <x:c r="F5" s="12" t="str">
        <x:v>Applied Materials</x:v>
      </x:c>
      <x:c r="G5" s="12" t="str">
        <x:v>Applied Materials Announces Second Quarter 2016 Results</x:v>
      </x:c>
      <x:c r="H5" s="12" t="str">
        <x:v>https://ir.appliedmaterials.com/news-releases/news-release-details/applied-materials-announces-second-quarter-2016-results</x:v>
      </x:c>
      <x:c r="I5" s="12" t="str">
        <x:v>WEB_VERIFIED</x:v>
      </x:c>
      <x:c r="J5" s="12" t="str">
        <x:v>PASS</x:v>
      </x:c>
      <x:c r="K5" s="12" t="str">
        <x:v>PASS</x:v>
      </x:c>
      <x:c r="L5" s="12" t="str">
        <x:v>PASS</x:v>
      </x:c>
      <x:c r="M5" s="12" t="str">
        <x:v>NO</x:v>
      </x:c>
      <x:c r="N5" s="12" t="str">
        <x:v>PASS</x:v>
      </x:c>
      <x:c r="O5" s="12" t="str">
        <x:v>FACTUAL</x:v>
      </x:c>
      <x:c r="P5" s="12" t="str">
        <x:v>PASS</x:v>
      </x:c>
      <x:c r="Q5" s="12" t="str">
        <x:v>Verified against Applied Materials historical IR / event page and exact earnings date.</x:v>
      </x:c>
    </x:row>
    <x:row r="6">
      <x:c r="A6" s="12" t="str">
        <x:v>2016-08-18</x:v>
      </x:c>
      <x:c r="B6" s="12" t="str">
        <x:v>AMAT</x:v>
      </x:c>
      <x:c r="C6" s="12" t="str">
        <x:v>release</x:v>
      </x:c>
      <x:c r="D6" s="12" t="str">
        <x:v>2016-08-18</x:v>
      </x:c>
      <x:c r="E6" s="12" t="n">
        <x:v>0</x:v>
      </x:c>
      <x:c r="F6" s="12" t="str">
        <x:v>Applied Materials</x:v>
      </x:c>
      <x:c r="G6" s="12" t="str">
        <x:v>Q3 2016 Applied Materials Earnings Conference Call / News Release</x:v>
      </x:c>
      <x:c r="H6" s="12" t="str">
        <x:v>https://ir.appliedmaterials.com/events/event-details/q3-2016-applied-materials-earnings-conference-call/</x:v>
      </x:c>
      <x:c r="I6" s="12" t="str">
        <x:v>WEB_VERIFIED</x:v>
      </x:c>
      <x:c r="J6" s="12" t="str">
        <x:v>PASS</x:v>
      </x:c>
      <x:c r="K6" s="12" t="str">
        <x:v>PASS</x:v>
      </x:c>
      <x:c r="L6" s="12" t="str">
        <x:v>PASS</x:v>
      </x:c>
      <x:c r="M6" s="12" t="str">
        <x:v>NO</x:v>
      </x:c>
      <x:c r="N6" s="12" t="str">
        <x:v>PASS</x:v>
      </x:c>
      <x:c r="O6" s="12" t="str">
        <x:v>FACTUAL</x:v>
      </x:c>
      <x:c r="P6" s="12" t="str">
        <x:v>PASS</x:v>
      </x:c>
      <x:c r="Q6" s="12" t="str">
        <x:v>Verified against Applied Materials historical IR / event page and exact earnings date.</x:v>
      </x:c>
    </x:row>
    <x:row r="7">
      <x:c r="A7" s="12" t="str">
        <x:v>2016-08-18</x:v>
      </x:c>
      <x:c r="B7" s="12" t="str">
        <x:v>AMAT</x:v>
      </x:c>
      <x:c r="C7" s="12" t="str">
        <x:v>reaction</x:v>
      </x:c>
      <x:c r="D7" s="12" t="str">
        <x:v>2016-08-19</x:v>
      </x:c>
      <x:c r="E7" s="12" t="n">
        <x:v>1</x:v>
      </x:c>
      <x:c r="F7" s="12" t="str">
        <x:v>TheStreet</x:v>
      </x:c>
      <x:c r="G7" s="12" t="str">
        <x:v>Applied Materials Stock Higher, Pacific Crest Raises Price Target</x:v>
      </x:c>
      <x:c r="H7" s="12" t="str">
        <x:v>https://www.thestreet.com/markets/applied-materials-amat-stock-higher-pacific-crest-raises-price-target-13680120</x:v>
      </x:c>
      <x:c r="I7" s="12" t="str">
        <x:v>WEB_VERIFIED</x:v>
      </x:c>
      <x:c r="J7" s="12" t="str">
        <x:v>PASS</x:v>
      </x:c>
      <x:c r="K7" s="12" t="str">
        <x:v>PASS</x:v>
      </x:c>
      <x:c r="L7" s="12" t="str">
        <x:v>PASS</x:v>
      </x:c>
      <x:c r="M7" s="12" t="str">
        <x:v>NO</x:v>
      </x:c>
      <x:c r="N7" s="12" t="str">
        <x:v>PASS</x:v>
      </x:c>
      <x:c r="O7" s="12" t="str">
        <x:v>EXPLICIT</x:v>
      </x:c>
      <x:c r="P7" s="12" t="str">
        <x:v>PASS</x:v>
      </x:c>
      <x:c r="Q7" s="12" t="str">
        <x:v>Contemporaneous source explicitly describes the post-earnings market reaction or immediate interpretation.</x:v>
      </x:c>
    </x:row>
    <x:row r="8">
      <x:c r="A8" s="12" t="str">
        <x:v>2016-11-17</x:v>
      </x:c>
      <x:c r="B8" s="12" t="str">
        <x:v>AMAT</x:v>
      </x:c>
      <x:c r="C8" s="12" t="str">
        <x:v>prior</x:v>
      </x:c>
      <x:c r="D8" s="12" t="str">
        <x:v>2016-08-18</x:v>
      </x:c>
      <x:c r="E8" s="12" t="n">
        <x:v>-91</x:v>
      </x:c>
      <x:c r="F8" s="12" t="str">
        <x:v>Applied Materials</x:v>
      </x:c>
      <x:c r="G8" s="12" t="str">
        <x:v>Q3 2016 Applied Materials Earnings Conference Call / News Release</x:v>
      </x:c>
      <x:c r="H8" s="12" t="str">
        <x:v>https://ir.appliedmaterials.com/events/event-details/q3-2016-applied-materials-earnings-conference-call/</x:v>
      </x:c>
      <x:c r="I8" s="12" t="str">
        <x:v>WEB_VERIFIED</x:v>
      </x:c>
      <x:c r="J8" s="12" t="str">
        <x:v>PASS</x:v>
      </x:c>
      <x:c r="K8" s="12" t="str">
        <x:v>PASS</x:v>
      </x:c>
      <x:c r="L8" s="12" t="str">
        <x:v>PASS</x:v>
      </x:c>
      <x:c r="M8" s="12" t="str">
        <x:v>NO</x:v>
      </x:c>
      <x:c r="N8" s="12" t="str">
        <x:v>PASS</x:v>
      </x:c>
      <x:c r="O8" s="12" t="str">
        <x:v>FACTUAL</x:v>
      </x:c>
      <x:c r="P8" s="12" t="str">
        <x:v>PASS</x:v>
      </x:c>
      <x:c r="Q8" s="12" t="str">
        <x:v>Verified against Applied Materials historical IR / event page and exact earnings date.</x:v>
      </x:c>
    </x:row>
    <x:row r="9">
      <x:c r="A9" s="12" t="str">
        <x:v>2016-11-17</x:v>
      </x:c>
      <x:c r="B9" s="12" t="str">
        <x:v>AMAT</x:v>
      </x:c>
      <x:c r="C9" s="12" t="str">
        <x:v>release</x:v>
      </x:c>
      <x:c r="D9" s="12" t="str">
        <x:v>2016-11-17</x:v>
      </x:c>
      <x:c r="E9" s="12" t="n">
        <x:v>0</x:v>
      </x:c>
      <x:c r="F9" s="12" t="str">
        <x:v>Applied Materials</x:v>
      </x:c>
      <x:c r="G9" s="12" t="str">
        <x:v>Applied Materials Delivers Record Quarterly and Annual Revenue and Earnings Per Share</x:v>
      </x:c>
      <x:c r="H9" s="12" t="str">
        <x:v>https://investors.appliedmaterials.com/news-releases/news-release-details/applied-materials-delivers-record-quarterly-and-annual-revenue</x:v>
      </x:c>
      <x:c r="I9" s="12" t="str">
        <x:v>WEB_VERIFIED</x:v>
      </x:c>
      <x:c r="J9" s="12" t="str">
        <x:v>PASS</x:v>
      </x:c>
      <x:c r="K9" s="12" t="str">
        <x:v>PASS</x:v>
      </x:c>
      <x:c r="L9" s="12" t="str">
        <x:v>PASS</x:v>
      </x:c>
      <x:c r="M9" s="12" t="str">
        <x:v>NO</x:v>
      </x:c>
      <x:c r="N9" s="12" t="str">
        <x:v>PASS</x:v>
      </x:c>
      <x:c r="O9" s="12" t="str">
        <x:v>FACTUAL</x:v>
      </x:c>
      <x:c r="P9" s="12" t="str">
        <x:v>PASS</x:v>
      </x:c>
      <x:c r="Q9" s="12" t="str">
        <x:v>Verified against Applied Materials historical IR / event page and exact earnings date.</x:v>
      </x:c>
    </x:row>
    <x:row r="10">
      <x:c r="A10" s="12" t="str">
        <x:v>2016-11-17</x:v>
      </x:c>
      <x:c r="B10" s="12" t="str">
        <x:v>AMAT</x:v>
      </x:c>
      <x:c r="C10" s="12" t="str">
        <x:v>reaction</x:v>
      </x:c>
      <x:c r="D10" s="12" t="str">
        <x:v>2016-11-18</x:v>
      </x:c>
      <x:c r="E10" s="12" t="n">
        <x:v>1</x:v>
      </x:c>
      <x:c r="F10" s="12" t="str">
        <x:v>TheStreet</x:v>
      </x:c>
      <x:c r="G10" s="12" t="str">
        <x:v>Stocks Drive Lower in Unsettled Session as Retailers Drop</x:v>
      </x:c>
      <x:c r="H10" s="12" t="str">
        <x:v>https://www.thestreet.com/investing/stocks-little-changed-after-series-of-retail-earnings-disappointments-13899333</x:v>
      </x:c>
      <x:c r="I10" s="12" t="str">
        <x:v>WEB_VERIFIED</x:v>
      </x:c>
      <x:c r="J10" s="12" t="str">
        <x:v>PASS</x:v>
      </x:c>
      <x:c r="K10" s="12" t="str">
        <x:v>PASS</x:v>
      </x:c>
      <x:c r="L10" s="12" t="str">
        <x:v>PASS</x:v>
      </x:c>
      <x:c r="M10" s="12" t="str">
        <x:v>NO</x:v>
      </x:c>
      <x:c r="N10" s="12" t="str">
        <x:v>PASS</x:v>
      </x:c>
      <x:c r="O10" s="12" t="str">
        <x:v>EXPLICIT</x:v>
      </x:c>
      <x:c r="P10" s="12" t="str">
        <x:v>PASS</x:v>
      </x:c>
      <x:c r="Q10" s="12" t="str">
        <x:v>Contemporaneous source explicitly describes the post-earnings market reaction or immediate interpretation.</x:v>
      </x:c>
    </x:row>
    <x:row r="11">
      <x:c r="A11" s="12" t="str">
        <x:v>2017-02-15</x:v>
      </x:c>
      <x:c r="B11" s="12" t="str">
        <x:v>AMAT</x:v>
      </x:c>
      <x:c r="C11" s="12" t="str">
        <x:v>prior</x:v>
      </x:c>
      <x:c r="D11" s="12" t="str">
        <x:v>2016-11-17</x:v>
      </x:c>
      <x:c r="E11" s="12" t="n">
        <x:v>-90</x:v>
      </x:c>
      <x:c r="F11" s="12" t="str">
        <x:v>Applied Materials</x:v>
      </x:c>
      <x:c r="G11" s="12" t="str">
        <x:v>Applied Materials Delivers Record Quarterly and Annual Revenue and Earnings Per Share</x:v>
      </x:c>
      <x:c r="H11" s="12" t="str">
        <x:v>https://investors.appliedmaterials.com/news-releases/news-release-details/applied-materials-delivers-record-quarterly-and-annual-revenue</x:v>
      </x:c>
      <x:c r="I11" s="12" t="str">
        <x:v>WEB_VERIFIED</x:v>
      </x:c>
      <x:c r="J11" s="12" t="str">
        <x:v>PASS</x:v>
      </x:c>
      <x:c r="K11" s="12" t="str">
        <x:v>PASS</x:v>
      </x:c>
      <x:c r="L11" s="12" t="str">
        <x:v>PASS</x:v>
      </x:c>
      <x:c r="M11" s="12" t="str">
        <x:v>NO</x:v>
      </x:c>
      <x:c r="N11" s="12" t="str">
        <x:v>PASS</x:v>
      </x:c>
      <x:c r="O11" s="12" t="str">
        <x:v>FACTUAL</x:v>
      </x:c>
      <x:c r="P11" s="12" t="str">
        <x:v>PASS</x:v>
      </x:c>
      <x:c r="Q11" s="12" t="str">
        <x:v>Verified against Applied Materials historical IR / event page and exact earnings date.</x:v>
      </x:c>
    </x:row>
    <x:row r="12">
      <x:c r="A12" s="12" t="str">
        <x:v>2017-02-15</x:v>
      </x:c>
      <x:c r="B12" s="12" t="str">
        <x:v>AMAT</x:v>
      </x:c>
      <x:c r="C12" s="12" t="str">
        <x:v>release</x:v>
      </x:c>
      <x:c r="D12" s="12" t="str">
        <x:v>2017-02-15</x:v>
      </x:c>
      <x:c r="E12" s="12" t="n">
        <x:v>0</x:v>
      </x:c>
      <x:c r="F12" s="12" t="str">
        <x:v>Applied Materials</x:v>
      </x:c>
      <x:c r="G12" s="12" t="str">
        <x:v>Applied Materials Delivers Record Earnings Per Share</x:v>
      </x:c>
      <x:c r="H12" s="12" t="str">
        <x:v>https://ir.appliedmaterials.com/news-releases/news-release-details/applied-materials-delivers-record-earnings-share</x:v>
      </x:c>
      <x:c r="I12" s="12" t="str">
        <x:v>WEB_VERIFIED</x:v>
      </x:c>
      <x:c r="J12" s="12" t="str">
        <x:v>PASS</x:v>
      </x:c>
      <x:c r="K12" s="12" t="str">
        <x:v>PASS</x:v>
      </x:c>
      <x:c r="L12" s="12" t="str">
        <x:v>PASS</x:v>
      </x:c>
      <x:c r="M12" s="12" t="str">
        <x:v>NO</x:v>
      </x:c>
      <x:c r="N12" s="12" t="str">
        <x:v>PASS</x:v>
      </x:c>
      <x:c r="O12" s="12" t="str">
        <x:v>FACTUAL</x:v>
      </x:c>
      <x:c r="P12" s="12" t="str">
        <x:v>PASS</x:v>
      </x:c>
      <x:c r="Q12" s="12" t="str">
        <x:v>Verified against Applied Materials historical IR / event page and exact earnings date.</x:v>
      </x:c>
    </x:row>
    <x:row r="13">
      <x:c r="A13" s="12" t="str">
        <x:v>2017-02-15</x:v>
      </x:c>
      <x:c r="B13" s="12" t="str">
        <x:v>AMAT</x:v>
      </x:c>
      <x:c r="C13" s="12" t="str">
        <x:v>reaction</x:v>
      </x:c>
      <x:c r="D13" s="12" t="str">
        <x:v>2017-02-16</x:v>
      </x:c>
      <x:c r="E13" s="12" t="n">
        <x:v>1</x:v>
      </x:c>
      <x:c r="F13" s="12" t="str">
        <x:v>Tematica Research</x:v>
      </x:c>
      <x:c r="G13" s="12" t="str">
        <x:v>Applied Material’s Outlook for OLEDs Boosts Our Universal Display Price Target</x:v>
      </x:c>
      <x:c r="H13" s="12" t="str">
        <x:v>https://www.tematicaresearch.com/digital-lifestyle-theme/</x:v>
      </x:c>
      <x:c r="I13" s="12" t="str">
        <x:v>WEB_VERIFIED</x:v>
      </x:c>
      <x:c r="J13" s="12" t="str">
        <x:v>PASS</x:v>
      </x:c>
      <x:c r="K13" s="12" t="str">
        <x:v>PASS</x:v>
      </x:c>
      <x:c r="L13" s="12" t="str">
        <x:v>PASS</x:v>
      </x:c>
      <x:c r="M13" s="12" t="str">
        <x:v>NO</x:v>
      </x:c>
      <x:c r="N13" s="12" t="str">
        <x:v>PASS</x:v>
      </x:c>
      <x:c r="O13" s="12" t="str">
        <x:v>CONTEMPORANEOUS</x:v>
      </x:c>
      <x:c r="P13" s="12" t="str">
        <x:v>PASS</x:v>
      </x:c>
      <x:c r="Q13" s="12" t="str">
        <x:v>Contemporaneous source explicitly describes the post-earnings market reaction or immediate interpretation.</x:v>
      </x:c>
    </x:row>
    <x:row r="14">
      <x:c r="A14" s="12" t="str">
        <x:v>2017-05-18</x:v>
      </x:c>
      <x:c r="B14" s="12" t="str">
        <x:v>AMAT</x:v>
      </x:c>
      <x:c r="C14" s="12" t="str">
        <x:v>prior</x:v>
      </x:c>
      <x:c r="D14" s="12" t="str">
        <x:v>2017-02-15</x:v>
      </x:c>
      <x:c r="E14" s="12" t="n">
        <x:v>-92</x:v>
      </x:c>
      <x:c r="F14" s="12" t="str">
        <x:v>Applied Materials</x:v>
      </x:c>
      <x:c r="G14" s="12" t="str">
        <x:v>Applied Materials Delivers Record Earnings Per Share</x:v>
      </x:c>
      <x:c r="H14" s="12" t="str">
        <x:v>https://ir.appliedmaterials.com/news-releases/news-release-details/applied-materials-delivers-record-earnings-share</x:v>
      </x:c>
      <x:c r="I14" s="12" t="str">
        <x:v>WEB_VERIFIED</x:v>
      </x:c>
      <x:c r="J14" s="12" t="str">
        <x:v>PASS</x:v>
      </x:c>
      <x:c r="K14" s="12" t="str">
        <x:v>PASS</x:v>
      </x:c>
      <x:c r="L14" s="12" t="str">
        <x:v>PASS</x:v>
      </x:c>
      <x:c r="M14" s="12" t="str">
        <x:v>NO</x:v>
      </x:c>
      <x:c r="N14" s="12" t="str">
        <x:v>PASS</x:v>
      </x:c>
      <x:c r="O14" s="12" t="str">
        <x:v>FACTUAL</x:v>
      </x:c>
      <x:c r="P14" s="12" t="str">
        <x:v>PASS</x:v>
      </x:c>
      <x:c r="Q14" s="12" t="str">
        <x:v>Verified against Applied Materials historical IR / event page and exact earnings date.</x:v>
      </x:c>
    </x:row>
    <x:row r="15">
      <x:c r="A15" s="12" t="str">
        <x:v>2017-05-18</x:v>
      </x:c>
      <x:c r="B15" s="12" t="str">
        <x:v>AMAT</x:v>
      </x:c>
      <x:c r="C15" s="12" t="str">
        <x:v>release</x:v>
      </x:c>
      <x:c r="D15" s="12" t="str">
        <x:v>2017-05-18</x:v>
      </x:c>
      <x:c r="E15" s="12" t="n">
        <x:v>0</x:v>
      </x:c>
      <x:c r="F15" s="12" t="str">
        <x:v>Applied Materials</x:v>
      </x:c>
      <x:c r="G15" s="12" t="str">
        <x:v>Applied Materials Delivers Record Revenue and Earnings Per Share</x:v>
      </x:c>
      <x:c r="H15" s="12" t="str">
        <x:v>https://ir.appliedmaterials.com/news-releases/news-release-details/applied-materials-delivers-record-revenue-and-earnings-share</x:v>
      </x:c>
      <x:c r="I15" s="12" t="str">
        <x:v>WEB_VERIFIED</x:v>
      </x:c>
      <x:c r="J15" s="12" t="str">
        <x:v>PASS</x:v>
      </x:c>
      <x:c r="K15" s="12" t="str">
        <x:v>PASS</x:v>
      </x:c>
      <x:c r="L15" s="12" t="str">
        <x:v>PASS</x:v>
      </x:c>
      <x:c r="M15" s="12" t="str">
        <x:v>NO</x:v>
      </x:c>
      <x:c r="N15" s="12" t="str">
        <x:v>PASS</x:v>
      </x:c>
      <x:c r="O15" s="12" t="str">
        <x:v>FACTUAL</x:v>
      </x:c>
      <x:c r="P15" s="12" t="str">
        <x:v>PASS</x:v>
      </x:c>
      <x:c r="Q15" s="12" t="str">
        <x:v>Verified against Applied Materials historical IR / event page and exact earnings date.</x:v>
      </x:c>
    </x:row>
    <x:row r="16">
      <x:c r="A16" s="12" t="str">
        <x:v>2017-05-18</x:v>
      </x:c>
      <x:c r="B16" s="12" t="str">
        <x:v>AMAT</x:v>
      </x:c>
      <x:c r="C16" s="12" t="str">
        <x:v>reaction</x:v>
      </x:c>
      <x:c r="D16" s="12" t="str">
        <x:v>2017-05-19</x:v>
      </x:c>
      <x:c r="E16" s="12" t="n">
        <x:v>1</x:v>
      </x:c>
      <x:c r="F16" s="12" t="str">
        <x:v>InvestorPlace</x:v>
      </x:c>
      <x:c r="G16" s="12" t="str">
        <x:v>Applied Materials Stock Is the REAL Winner in Semiconductors</x:v>
      </x:c>
      <x:c r="H16" s="12" t="str">
        <x:v>https://investorplace.com/2017/05/applied-materials-inc-amat-stock-is-the-real-winner-in-semiconductors/</x:v>
      </x:c>
      <x:c r="I16" s="12" t="str">
        <x:v>WEB_VERIFIED</x:v>
      </x:c>
      <x:c r="J16" s="12" t="str">
        <x:v>PASS</x:v>
      </x:c>
      <x:c r="K16" s="12" t="str">
        <x:v>PASS</x:v>
      </x:c>
      <x:c r="L16" s="12" t="str">
        <x:v>PASS</x:v>
      </x:c>
      <x:c r="M16" s="12" t="str">
        <x:v>NO</x:v>
      </x:c>
      <x:c r="N16" s="12" t="str">
        <x:v>PASS</x:v>
      </x:c>
      <x:c r="O16" s="12" t="str">
        <x:v>EXPLICIT</x:v>
      </x:c>
      <x:c r="P16" s="12" t="str">
        <x:v>PASS</x:v>
      </x:c>
      <x:c r="Q16" s="12" t="str">
        <x:v>Contemporaneous source explicitly describes the post-earnings market reaction or immediate interpretation.</x:v>
      </x:c>
    </x:row>
    <x:row r="17">
      <x:c r="A17" s="12" t="str">
        <x:v>2017-08-17</x:v>
      </x:c>
      <x:c r="B17" s="12" t="str">
        <x:v>AMAT</x:v>
      </x:c>
      <x:c r="C17" s="12" t="str">
        <x:v>prior</x:v>
      </x:c>
      <x:c r="D17" s="12" t="str">
        <x:v>2017-05-18</x:v>
      </x:c>
      <x:c r="E17" s="12" t="n">
        <x:v>-91</x:v>
      </x:c>
      <x:c r="F17" s="12" t="str">
        <x:v>Applied Materials</x:v>
      </x:c>
      <x:c r="G17" s="12" t="str">
        <x:v>Applied Materials Delivers Record Revenue and Earnings Per Share</x:v>
      </x:c>
      <x:c r="H17" s="12" t="str">
        <x:v>https://ir.appliedmaterials.com/news-releases/news-release-details/applied-materials-delivers-record-revenue-and-earnings-share</x:v>
      </x:c>
      <x:c r="I17" s="12" t="str">
        <x:v>WEB_VERIFIED</x:v>
      </x:c>
      <x:c r="J17" s="12" t="str">
        <x:v>PASS</x:v>
      </x:c>
      <x:c r="K17" s="12" t="str">
        <x:v>PASS</x:v>
      </x:c>
      <x:c r="L17" s="12" t="str">
        <x:v>PASS</x:v>
      </x:c>
      <x:c r="M17" s="12" t="str">
        <x:v>NO</x:v>
      </x:c>
      <x:c r="N17" s="12" t="str">
        <x:v>PASS</x:v>
      </x:c>
      <x:c r="O17" s="12" t="str">
        <x:v>FACTUAL</x:v>
      </x:c>
      <x:c r="P17" s="12" t="str">
        <x:v>PASS</x:v>
      </x:c>
      <x:c r="Q17" s="12" t="str">
        <x:v>Verified against Applied Materials historical IR / event page and exact earnings date.</x:v>
      </x:c>
    </x:row>
    <x:row r="18">
      <x:c r="A18" s="12" t="str">
        <x:v>2017-08-17</x:v>
      </x:c>
      <x:c r="B18" s="12" t="str">
        <x:v>AMAT</x:v>
      </x:c>
      <x:c r="C18" s="12" t="str">
        <x:v>release</x:v>
      </x:c>
      <x:c r="D18" s="12" t="str">
        <x:v>2017-08-17</x:v>
      </x:c>
      <x:c r="E18" s="12" t="n">
        <x:v>0</x:v>
      </x:c>
      <x:c r="F18" s="12" t="str">
        <x:v>Applied Materials</x:v>
      </x:c>
      <x:c r="G18" s="12" t="str">
        <x:v>Applied Materials Delivers the Best Quarter in Its 50-Year History</x:v>
      </x:c>
      <x:c r="H18" s="12" t="str">
        <x:v>https://ir.appliedmaterials.com/news-releases/news-release-details/applied-materials-delivers-best-quarter-its-50-year-history</x:v>
      </x:c>
      <x:c r="I18" s="12" t="str">
        <x:v>WEB_VERIFIED</x:v>
      </x:c>
      <x:c r="J18" s="12" t="str">
        <x:v>PASS</x:v>
      </x:c>
      <x:c r="K18" s="12" t="str">
        <x:v>PASS</x:v>
      </x:c>
      <x:c r="L18" s="12" t="str">
        <x:v>PASS</x:v>
      </x:c>
      <x:c r="M18" s="12" t="str">
        <x:v>NO</x:v>
      </x:c>
      <x:c r="N18" s="12" t="str">
        <x:v>PASS</x:v>
      </x:c>
      <x:c r="O18" s="12" t="str">
        <x:v>FACTUAL</x:v>
      </x:c>
      <x:c r="P18" s="12" t="str">
        <x:v>PASS</x:v>
      </x:c>
      <x:c r="Q18" s="12" t="str">
        <x:v>Verified against Applied Materials historical IR / event page and exact earnings date.</x:v>
      </x:c>
    </x:row>
    <x:row r="19">
      <x:c r="A19" s="12" t="str">
        <x:v>2017-08-17</x:v>
      </x:c>
      <x:c r="B19" s="12" t="str">
        <x:v>AMAT</x:v>
      </x:c>
      <x:c r="C19" s="12" t="str">
        <x:v>reaction</x:v>
      </x:c>
      <x:c r="D19" s="12" t="str">
        <x:v>2017-08-18</x:v>
      </x:c>
      <x:c r="E19" s="12" t="n">
        <x:v>1</x:v>
      </x:c>
      <x:c r="F19" s="12" t="str">
        <x:v>TheStreet</x:v>
      </x:c>
      <x:c r="G19" s="12" t="str">
        <x:v>Applied Materials Stock to Rally More Than 40%: Analysts</x:v>
      </x:c>
      <x:c r="H19" s="12" t="str">
        <x:v>https://www.thestreet.com/investing/stocks/applied-materials-stock-can-rally-more-than-40-analysts-14276253</x:v>
      </x:c>
      <x:c r="I19" s="12" t="str">
        <x:v>WEB_VERIFIED</x:v>
      </x:c>
      <x:c r="J19" s="12" t="str">
        <x:v>PASS</x:v>
      </x:c>
      <x:c r="K19" s="12" t="str">
        <x:v>PASS</x:v>
      </x:c>
      <x:c r="L19" s="12" t="str">
        <x:v>PASS</x:v>
      </x:c>
      <x:c r="M19" s="12" t="str">
        <x:v>NO</x:v>
      </x:c>
      <x:c r="N19" s="12" t="str">
        <x:v>PASS</x:v>
      </x:c>
      <x:c r="O19" s="12" t="str">
        <x:v>EXPLICIT</x:v>
      </x:c>
      <x:c r="P19" s="12" t="str">
        <x:v>PASS</x:v>
      </x:c>
      <x:c r="Q19" s="12" t="str">
        <x:v>Contemporaneous source explicitly describes the post-earnings market reaction or immediate interpretation.</x:v>
      </x:c>
    </x:row>
    <x:row r="20">
      <x:c r="A20" s="12" t="str">
        <x:v>2017-11-16</x:v>
      </x:c>
      <x:c r="B20" s="12" t="str">
        <x:v>AMAT</x:v>
      </x:c>
      <x:c r="C20" s="12" t="str">
        <x:v>prior</x:v>
      </x:c>
      <x:c r="D20" s="12" t="str">
        <x:v>2017-08-17</x:v>
      </x:c>
      <x:c r="E20" s="12" t="n">
        <x:v>-91</x:v>
      </x:c>
      <x:c r="F20" s="12" t="str">
        <x:v>Applied Materials</x:v>
      </x:c>
      <x:c r="G20" s="12" t="str">
        <x:v>Applied Materials Delivers the Best Quarter in Its 50-Year History</x:v>
      </x:c>
      <x:c r="H20" s="12" t="str">
        <x:v>https://ir.appliedmaterials.com/news-releases/news-release-details/applied-materials-delivers-best-quarter-its-50-year-history</x:v>
      </x:c>
      <x:c r="I20" s="12" t="str">
        <x:v>WEB_VERIFIED</x:v>
      </x:c>
      <x:c r="J20" s="12" t="str">
        <x:v>PASS</x:v>
      </x:c>
      <x:c r="K20" s="12" t="str">
        <x:v>PASS</x:v>
      </x:c>
      <x:c r="L20" s="12" t="str">
        <x:v>PASS</x:v>
      </x:c>
      <x:c r="M20" s="12" t="str">
        <x:v>NO</x:v>
      </x:c>
      <x:c r="N20" s="12" t="str">
        <x:v>PASS</x:v>
      </x:c>
      <x:c r="O20" s="12" t="str">
        <x:v>FACTUAL</x:v>
      </x:c>
      <x:c r="P20" s="12" t="str">
        <x:v>PASS</x:v>
      </x:c>
      <x:c r="Q20" s="12" t="str">
        <x:v>Verified against Applied Materials historical IR / event page and exact earnings date.</x:v>
      </x:c>
    </x:row>
    <x:row r="21">
      <x:c r="A21" s="12" t="str">
        <x:v>2017-11-16</x:v>
      </x:c>
      <x:c r="B21" s="12" t="str">
        <x:v>AMAT</x:v>
      </x:c>
      <x:c r="C21" s="12" t="str">
        <x:v>release</x:v>
      </x:c>
      <x:c r="D21" s="12" t="str">
        <x:v>2017-11-16</x:v>
      </x:c>
      <x:c r="E21" s="12" t="n">
        <x:v>0</x:v>
      </x:c>
      <x:c r="F21" s="12" t="str">
        <x:v>Applied Materials</x:v>
      </x:c>
      <x:c r="G21" s="12" t="str">
        <x:v>Applied Materials Delivers All-Time Record Performance</x:v>
      </x:c>
      <x:c r="H21" s="12" t="str">
        <x:v>https://ir.appliedmaterials.com/news-releases/news-release-details/applied-materials-delivers-all-time-record-performance</x:v>
      </x:c>
      <x:c r="I21" s="12" t="str">
        <x:v>WEB_VERIFIED</x:v>
      </x:c>
      <x:c r="J21" s="12" t="str">
        <x:v>PASS</x:v>
      </x:c>
      <x:c r="K21" s="12" t="str">
        <x:v>PASS</x:v>
      </x:c>
      <x:c r="L21" s="12" t="str">
        <x:v>PASS</x:v>
      </x:c>
      <x:c r="M21" s="12" t="str">
        <x:v>NO</x:v>
      </x:c>
      <x:c r="N21" s="12" t="str">
        <x:v>PASS</x:v>
      </x:c>
      <x:c r="O21" s="12" t="str">
        <x:v>FACTUAL</x:v>
      </x:c>
      <x:c r="P21" s="12" t="str">
        <x:v>PASS</x:v>
      </x:c>
      <x:c r="Q21" s="12" t="str">
        <x:v>Verified against Applied Materials historical IR / event page and exact earnings date.</x:v>
      </x:c>
    </x:row>
    <x:row r="22">
      <x:c r="A22" s="12" t="str">
        <x:v>2017-11-16</x:v>
      </x:c>
      <x:c r="B22" s="12" t="str">
        <x:v>AMAT</x:v>
      </x:c>
      <x:c r="C22" s="12" t="str">
        <x:v>reaction</x:v>
      </x:c>
      <x:c r="D22" s="12" t="str">
        <x:v>2017-11-17</x:v>
      </x:c>
      <x:c r="E22" s="12" t="n">
        <x:v>1</x:v>
      </x:c>
      <x:c r="F22" s="12" t="str">
        <x:v>Schaeffer's Investment Research</x:v>
      </x:c>
      <x:c r="G22" s="12" t="str">
        <x:v>SPLK, AMAT Stocks Rally After Earnings; Shoe Carnival Stock Burns Shorts</x:v>
      </x:c>
      <x:c r="H22" s="12" t="str">
        <x:v>https://www.schaeffersresearch.com/content/news/2017/11/17/splk-amat-stocks-rally-after-earnings-shoe-carnival-stock-burns-shorts</x:v>
      </x:c>
      <x:c r="I22" s="12" t="str">
        <x:v>WEB_VERIFIED</x:v>
      </x:c>
      <x:c r="J22" s="12" t="str">
        <x:v>PASS</x:v>
      </x:c>
      <x:c r="K22" s="12" t="str">
        <x:v>PASS</x:v>
      </x:c>
      <x:c r="L22" s="12" t="str">
        <x:v>PASS</x:v>
      </x:c>
      <x:c r="M22" s="12" t="str">
        <x:v>NO</x:v>
      </x:c>
      <x:c r="N22" s="12" t="str">
        <x:v>PASS</x:v>
      </x:c>
      <x:c r="O22" s="12" t="str">
        <x:v>EXPLICIT</x:v>
      </x:c>
      <x:c r="P22" s="12" t="str">
        <x:v>PASS</x:v>
      </x:c>
      <x:c r="Q22" s="12" t="str">
        <x:v>Contemporaneous source explicitly describes the post-earnings market reaction or immediate interpretation.</x:v>
      </x:c>
    </x:row>
    <x:row r="23">
      <x:c r="A23" s="12" t="str">
        <x:v>2018-02-14</x:v>
      </x:c>
      <x:c r="B23" s="12" t="str">
        <x:v>AMAT</x:v>
      </x:c>
      <x:c r="C23" s="12" t="str">
        <x:v>prior</x:v>
      </x:c>
      <x:c r="D23" s="12" t="str">
        <x:v>2017-11-16</x:v>
      </x:c>
      <x:c r="E23" s="12" t="n">
        <x:v>-90</x:v>
      </x:c>
      <x:c r="F23" s="12" t="str">
        <x:v>Applied Materials</x:v>
      </x:c>
      <x:c r="G23" s="12" t="str">
        <x:v>Applied Materials Delivers All-Time Record Performance</x:v>
      </x:c>
      <x:c r="H23" s="12" t="str">
        <x:v>https://ir.appliedmaterials.com/news-releases/news-release-details/applied-materials-delivers-all-time-record-performance</x:v>
      </x:c>
      <x:c r="I23" s="12" t="str">
        <x:v>WEB_VERIFIED</x:v>
      </x:c>
      <x:c r="J23" s="12" t="str">
        <x:v>PASS</x:v>
      </x:c>
      <x:c r="K23" s="12" t="str">
        <x:v>PASS</x:v>
      </x:c>
      <x:c r="L23" s="12" t="str">
        <x:v>PASS</x:v>
      </x:c>
      <x:c r="M23" s="12" t="str">
        <x:v>NO</x:v>
      </x:c>
      <x:c r="N23" s="12" t="str">
        <x:v>PASS</x:v>
      </x:c>
      <x:c r="O23" s="12" t="str">
        <x:v>FACTUAL</x:v>
      </x:c>
      <x:c r="P23" s="12" t="str">
        <x:v>PASS</x:v>
      </x:c>
      <x:c r="Q23" s="12" t="str">
        <x:v>Verified against Applied Materials historical IR / event page and exact earnings date.</x:v>
      </x:c>
    </x:row>
    <x:row r="24">
      <x:c r="A24" s="12" t="str">
        <x:v>2018-02-14</x:v>
      </x:c>
      <x:c r="B24" s="12" t="str">
        <x:v>AMAT</x:v>
      </x:c>
      <x:c r="C24" s="12" t="str">
        <x:v>release</x:v>
      </x:c>
      <x:c r="D24" s="12" t="str">
        <x:v>2018-02-14</x:v>
      </x:c>
      <x:c r="E24" s="12" t="n">
        <x:v>0</x:v>
      </x:c>
      <x:c r="F24" s="12" t="str">
        <x:v>Applied Materials</x:v>
      </x:c>
      <x:c r="G24" s="12" t="str">
        <x:v>Applied Materials Delivers Strong Year-on-Year Growth in Quarterly Revenue and Operating Profit</x:v>
      </x:c>
      <x:c r="H24" s="12" t="str">
        <x:v>https://ir.appliedmaterials.com/news-releases/news-release-details/applied-materials-delivers-strong-year-year-growth-quarterly/</x:v>
      </x:c>
      <x:c r="I24" s="12" t="str">
        <x:v>WEB_VERIFIED</x:v>
      </x:c>
      <x:c r="J24" s="12" t="str">
        <x:v>PASS</x:v>
      </x:c>
      <x:c r="K24" s="12" t="str">
        <x:v>PASS</x:v>
      </x:c>
      <x:c r="L24" s="12" t="str">
        <x:v>PASS</x:v>
      </x:c>
      <x:c r="M24" s="12" t="str">
        <x:v>NO</x:v>
      </x:c>
      <x:c r="N24" s="12" t="str">
        <x:v>PASS</x:v>
      </x:c>
      <x:c r="O24" s="12" t="str">
        <x:v>FACTUAL</x:v>
      </x:c>
      <x:c r="P24" s="12" t="str">
        <x:v>PASS</x:v>
      </x:c>
      <x:c r="Q24" s="12" t="str">
        <x:v>Verified against Applied Materials historical IR / event page and exact earnings date.</x:v>
      </x:c>
    </x:row>
    <x:row r="25">
      <x:c r="A25" s="12" t="str">
        <x:v>2018-02-14</x:v>
      </x:c>
      <x:c r="B25" s="12" t="str">
        <x:v>AMAT</x:v>
      </x:c>
      <x:c r="C25" s="12" t="str">
        <x:v>reaction</x:v>
      </x:c>
      <x:c r="D25" s="12" t="str">
        <x:v>2018-02-16</x:v>
      </x:c>
      <x:c r="E25" s="12" t="n">
        <x:v>2</x:v>
      </x:c>
      <x:c r="F25" s="12" t="str">
        <x:v>InvestorPlace</x:v>
      </x:c>
      <x:c r="G25" s="12" t="str">
        <x:v>Applied Materials Stock Is a Screaming Buy Right Now!</x:v>
      </x:c>
      <x:c r="H25" s="12" t="str">
        <x:v>https://investorplace.com/2018/02/applied-materials-amat-stock-screaming-buy/</x:v>
      </x:c>
      <x:c r="I25" s="12" t="str">
        <x:v>WEB_VERIFIED</x:v>
      </x:c>
      <x:c r="J25" s="12" t="str">
        <x:v>PASS</x:v>
      </x:c>
      <x:c r="K25" s="12" t="str">
        <x:v>PASS</x:v>
      </x:c>
      <x:c r="L25" s="12" t="str">
        <x:v>PASS</x:v>
      </x:c>
      <x:c r="M25" s="12" t="str">
        <x:v>NO</x:v>
      </x:c>
      <x:c r="N25" s="12" t="str">
        <x:v>PASS</x:v>
      </x:c>
      <x:c r="O25" s="12" t="str">
        <x:v>EXPLICIT</x:v>
      </x:c>
      <x:c r="P25" s="12" t="str">
        <x:v>PASS</x:v>
      </x:c>
      <x:c r="Q25" s="12" t="str">
        <x:v>Contemporaneous source explicitly describes the post-earnings market reaction or immediate interpretation.</x:v>
      </x:c>
    </x:row>
    <x:row r="26">
      <x:c r="A26" s="12" t="str">
        <x:v>2018-05-17</x:v>
      </x:c>
      <x:c r="B26" s="12" t="str">
        <x:v>AMAT</x:v>
      </x:c>
      <x:c r="C26" s="12" t="str">
        <x:v>prior</x:v>
      </x:c>
      <x:c r="D26" s="12" t="str">
        <x:v>2018-02-14</x:v>
      </x:c>
      <x:c r="E26" s="12" t="n">
        <x:v>-92</x:v>
      </x:c>
      <x:c r="F26" s="12" t="str">
        <x:v>Applied Materials</x:v>
      </x:c>
      <x:c r="G26" s="12" t="str">
        <x:v>Applied Materials Delivers Strong Year-on-Year Growth in Quarterly Revenue and Operating Profit</x:v>
      </x:c>
      <x:c r="H26" s="12" t="str">
        <x:v>https://ir.appliedmaterials.com/news-releases/news-release-details/applied-materials-delivers-strong-year-year-growth-quarterly/</x:v>
      </x:c>
      <x:c r="I26" s="12" t="str">
        <x:v>WEB_VERIFIED</x:v>
      </x:c>
      <x:c r="J26" s="12" t="str">
        <x:v>PASS</x:v>
      </x:c>
      <x:c r="K26" s="12" t="str">
        <x:v>PASS</x:v>
      </x:c>
      <x:c r="L26" s="12" t="str">
        <x:v>PASS</x:v>
      </x:c>
      <x:c r="M26" s="12" t="str">
        <x:v>NO</x:v>
      </x:c>
      <x:c r="N26" s="12" t="str">
        <x:v>PASS</x:v>
      </x:c>
      <x:c r="O26" s="12" t="str">
        <x:v>FACTUAL</x:v>
      </x:c>
      <x:c r="P26" s="12" t="str">
        <x:v>PASS</x:v>
      </x:c>
      <x:c r="Q26" s="12" t="str">
        <x:v>Verified against Applied Materials historical IR / event page and exact earnings date.</x:v>
      </x:c>
    </x:row>
    <x:row r="27">
      <x:c r="A27" s="12" t="str">
        <x:v>2018-05-17</x:v>
      </x:c>
      <x:c r="B27" s="12" t="str">
        <x:v>AMAT</x:v>
      </x:c>
      <x:c r="C27" s="12" t="str">
        <x:v>release</x:v>
      </x:c>
      <x:c r="D27" s="12" t="str">
        <x:v>2018-05-17</x:v>
      </x:c>
      <x:c r="E27" s="12" t="n">
        <x:v>0</x:v>
      </x:c>
      <x:c r="F27" s="12" t="str">
        <x:v>Applied Materials</x:v>
      </x:c>
      <x:c r="G27" s="12" t="str">
        <x:v>Applied Materials Delivers Strong Year-On-Year Growth in Quarterly Revenue and Earnings Per Share</x:v>
      </x:c>
      <x:c r="H27" s="12" t="str">
        <x:v>https://ir.appliedmaterials.com/news-releases/news-release-details/applied-materials-delivers-strong-year-year-growth-quarterly-1/</x:v>
      </x:c>
      <x:c r="I27" s="12" t="str">
        <x:v>WEB_VERIFIED</x:v>
      </x:c>
      <x:c r="J27" s="12" t="str">
        <x:v>PASS</x:v>
      </x:c>
      <x:c r="K27" s="12" t="str">
        <x:v>PASS</x:v>
      </x:c>
      <x:c r="L27" s="12" t="str">
        <x:v>PASS</x:v>
      </x:c>
      <x:c r="M27" s="12" t="str">
        <x:v>NO</x:v>
      </x:c>
      <x:c r="N27" s="12" t="str">
        <x:v>PASS</x:v>
      </x:c>
      <x:c r="O27" s="12" t="str">
        <x:v>FACTUAL</x:v>
      </x:c>
      <x:c r="P27" s="12" t="str">
        <x:v>PASS</x:v>
      </x:c>
      <x:c r="Q27" s="12" t="str">
        <x:v>Verified against Applied Materials historical IR / event page and exact earnings date.</x:v>
      </x:c>
    </x:row>
    <x:row r="28">
      <x:c r="A28" s="12" t="str">
        <x:v>2018-05-17</x:v>
      </x:c>
      <x:c r="B28" s="12" t="str">
        <x:v>AMAT</x:v>
      </x:c>
      <x:c r="C28" s="12" t="str">
        <x:v>reaction</x:v>
      </x:c>
      <x:c r="D28" s="12" t="str">
        <x:v>2018-05-18</x:v>
      </x:c>
      <x:c r="E28" s="12" t="n">
        <x:v>1</x:v>
      </x:c>
      <x:c r="F28" s="12" t="str">
        <x:v>The Motley Fool</x:v>
      </x:c>
      <x:c r="G28" s="12" t="str">
        <x:v>Why Shares of Applied Materials, Inc. Plunged 10% Today</x:v>
      </x:c>
      <x:c r="H28" s="12" t="str">
        <x:v>https://www.fool.com/investing/2018/05/18/why-shares-of-applied-materials-inc-plunged-10-tod.aspx</x:v>
      </x:c>
      <x:c r="I28" s="12" t="str">
        <x:v>WEB_VERIFIED</x:v>
      </x:c>
      <x:c r="J28" s="12" t="str">
        <x:v>PASS</x:v>
      </x:c>
      <x:c r="K28" s="12" t="str">
        <x:v>PASS</x:v>
      </x:c>
      <x:c r="L28" s="12" t="str">
        <x:v>PASS</x:v>
      </x:c>
      <x:c r="M28" s="12" t="str">
        <x:v>NO</x:v>
      </x:c>
      <x:c r="N28" s="12" t="str">
        <x:v>PASS</x:v>
      </x:c>
      <x:c r="O28" s="12" t="str">
        <x:v>EXPLICIT</x:v>
      </x:c>
      <x:c r="P28" s="12" t="str">
        <x:v>PASS</x:v>
      </x:c>
      <x:c r="Q28" s="12" t="str">
        <x:v>Contemporaneous source explicitly describes the post-earnings market reaction or immediate interpretation.</x:v>
      </x:c>
    </x:row>
    <x:row r="29">
      <x:c r="A29" s="12" t="str">
        <x:v>2018-08-16</x:v>
      </x:c>
      <x:c r="B29" s="12" t="str">
        <x:v>AMAT</x:v>
      </x:c>
      <x:c r="C29" s="12" t="str">
        <x:v>prior</x:v>
      </x:c>
      <x:c r="D29" s="12" t="str">
        <x:v>2018-05-17</x:v>
      </x:c>
      <x:c r="E29" s="12" t="n">
        <x:v>-91</x:v>
      </x:c>
      <x:c r="F29" s="12" t="str">
        <x:v>Applied Materials</x:v>
      </x:c>
      <x:c r="G29" s="12" t="str">
        <x:v>Applied Materials Delivers Strong Year-On-Year Growth in Quarterly Revenue and Earnings Per Share</x:v>
      </x:c>
      <x:c r="H29" s="12" t="str">
        <x:v>https://ir.appliedmaterials.com/news-releases/news-release-details/applied-materials-delivers-strong-year-year-growth-quarterly-1/</x:v>
      </x:c>
      <x:c r="I29" s="12" t="str">
        <x:v>WEB_VERIFIED</x:v>
      </x:c>
      <x:c r="J29" s="12" t="str">
        <x:v>PASS</x:v>
      </x:c>
      <x:c r="K29" s="12" t="str">
        <x:v>PASS</x:v>
      </x:c>
      <x:c r="L29" s="12" t="str">
        <x:v>PASS</x:v>
      </x:c>
      <x:c r="M29" s="12" t="str">
        <x:v>NO</x:v>
      </x:c>
      <x:c r="N29" s="12" t="str">
        <x:v>PASS</x:v>
      </x:c>
      <x:c r="O29" s="12" t="str">
        <x:v>FACTUAL</x:v>
      </x:c>
      <x:c r="P29" s="12" t="str">
        <x:v>PASS</x:v>
      </x:c>
      <x:c r="Q29" s="12" t="str">
        <x:v>Verified against Applied Materials historical IR / event page and exact earnings date.</x:v>
      </x:c>
    </x:row>
    <x:row r="30">
      <x:c r="A30" s="12" t="str">
        <x:v>2018-08-16</x:v>
      </x:c>
      <x:c r="B30" s="12" t="str">
        <x:v>AMAT</x:v>
      </x:c>
      <x:c r="C30" s="12" t="str">
        <x:v>release</x:v>
      </x:c>
      <x:c r="D30" s="12" t="str">
        <x:v>2018-08-16</x:v>
      </x:c>
      <x:c r="E30" s="12" t="n">
        <x:v>0</x:v>
      </x:c>
      <x:c r="F30" s="12" t="str">
        <x:v>Applied Materials</x:v>
      </x:c>
      <x:c r="G30" s="12" t="str">
        <x:v>Applied Materials Delivers Strong Year-On-Year Growth in Quarterly Revenue and Operating Income</x:v>
      </x:c>
      <x:c r="H30" s="12" t="str">
        <x:v>https://ir.appliedmaterials.com/news-releases/news-release-details/applied-materials-delivers-strong-year-year-growth-quarterly-2/</x:v>
      </x:c>
      <x:c r="I30" s="12" t="str">
        <x:v>WEB_VERIFIED</x:v>
      </x:c>
      <x:c r="J30" s="12" t="str">
        <x:v>PASS</x:v>
      </x:c>
      <x:c r="K30" s="12" t="str">
        <x:v>PASS</x:v>
      </x:c>
      <x:c r="L30" s="12" t="str">
        <x:v>PASS</x:v>
      </x:c>
      <x:c r="M30" s="12" t="str">
        <x:v>NO</x:v>
      </x:c>
      <x:c r="N30" s="12" t="str">
        <x:v>PASS</x:v>
      </x:c>
      <x:c r="O30" s="12" t="str">
        <x:v>FACTUAL</x:v>
      </x:c>
      <x:c r="P30" s="12" t="str">
        <x:v>PASS</x:v>
      </x:c>
      <x:c r="Q30" s="12" t="str">
        <x:v>Verified against Applied Materials historical IR / event page and exact earnings date.</x:v>
      </x:c>
    </x:row>
    <x:row r="31">
      <x:c r="A31" s="12" t="str">
        <x:v>2018-08-16</x:v>
      </x:c>
      <x:c r="B31" s="12" t="str">
        <x:v>AMAT</x:v>
      </x:c>
      <x:c r="C31" s="12" t="str">
        <x:v>reaction</x:v>
      </x:c>
      <x:c r="D31" s="12" t="str">
        <x:v>2018-08-17</x:v>
      </x:c>
      <x:c r="E31" s="12" t="n">
        <x:v>1</x:v>
      </x:c>
      <x:c r="F31" s="12" t="str">
        <x:v>The Motley Fool</x:v>
      </x:c>
      <x:c r="G31" s="12" t="str">
        <x:v>Why Applied Materials, Tesla, and Dean Foods Slumped Today</x:v>
      </x:c>
      <x:c r="H31" s="12" t="str">
        <x:v>https://www.fool.com/investing/2018/08/17/why-applied-materials-tesla-and-dean-foods-slumped.aspx</x:v>
      </x:c>
      <x:c r="I31" s="12" t="str">
        <x:v>WEB_VERIFIED</x:v>
      </x:c>
      <x:c r="J31" s="12" t="str">
        <x:v>PASS</x:v>
      </x:c>
      <x:c r="K31" s="12" t="str">
        <x:v>PASS</x:v>
      </x:c>
      <x:c r="L31" s="12" t="str">
        <x:v>PASS</x:v>
      </x:c>
      <x:c r="M31" s="12" t="str">
        <x:v>NO</x:v>
      </x:c>
      <x:c r="N31" s="12" t="str">
        <x:v>PASS</x:v>
      </x:c>
      <x:c r="O31" s="12" t="str">
        <x:v>EXPLICIT</x:v>
      </x:c>
      <x:c r="P31" s="12" t="str">
        <x:v>PASS</x:v>
      </x:c>
      <x:c r="Q31" s="12" t="str">
        <x:v>Contemporaneous source explicitly describes the post-earnings market reaction or immediate interpretation.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24" hidden="0" customWidth="1"/>
    <x:col min="4" max="4" width="19" hidden="0" customWidth="1"/>
    <x:col min="5" max="5" width="19" hidden="0" customWidth="1"/>
    <x:col min="6" max="6" width="20" hidden="0" customWidth="1"/>
    <x:col min="7" max="7" width="20" hidden="0" customWidth="1"/>
    <x:col min="8" max="8" width="20" hidden="0" customWidth="1"/>
    <x:col min="9" max="9" width="14" hidden="0" customWidth="1"/>
    <x:col min="10" max="10" width="23" hidden="0" customWidth="1"/>
    <x:col min="11" max="11" width="14" hidden="0" customWidth="1"/>
  </x:cols>
  <x:sheetData>
    <x:row r="1">
      <x:c r="A1" s="5" t="str">
        <x:v>earnings_date</x:v>
      </x:c>
      <x:c r="B1" s="5" t="str">
        <x:v>ticker</x:v>
      </x:c>
      <x:c r="C1" s="5" t="str">
        <x:v>verified_market_direction</x:v>
      </x:c>
      <x:c r="D1" s="5" t="str">
        <x:v>supplied_post_return</x:v>
      </x:c>
      <x:c r="E1" s="5" t="str">
        <x:v>supplied_direction</x:v>
      </x:c>
      <x:c r="F1" s="5" t="str">
        <x:v>direction_consistency</x:v>
      </x:c>
      <x:c r="G1" s="5" t="str">
        <x:v>narrative_direction</x:v>
      </x:c>
      <x:c r="H1" s="5" t="str">
        <x:v>narrative_vs_verified</x:v>
      </x:c>
      <x:c r="I1" s="5" t="str">
        <x:v>source_count</x:v>
      </x:c>
      <x:c r="J1" s="5" t="str">
        <x:v>source_audit_pass_count</x:v>
      </x:c>
      <x:c r="K1" s="5" t="str">
        <x:v>qa_status</x:v>
      </x:c>
    </x:row>
    <x:row r="2">
      <x:c r="A2" t="str">
        <x:v>2016-05-19</x:v>
      </x:c>
      <x:c r="B2" t="str">
        <x:v>AMAT</x:v>
      </x:c>
      <x:c r="C2" t="str">
        <x:v>UP</x:v>
      </x:c>
      <x:c r="D2" s="20" t="n">
        <x:v>13.05</x:v>
      </x:c>
      <x:c r="E2" t="str">
        <x:v>UP</x:v>
      </x:c>
      <x:c r="F2" t="str">
        <x:v>MATCH</x:v>
      </x:c>
      <x:c r="G2" t="str">
        <x:v>UP</x:v>
      </x:c>
      <x:c r="H2" t="str">
        <x:f>IF(C2=G2,"PASS","FAIL")</x:f>
        <x:v>PASS</x:v>
      </x:c>
      <x:c r="I2" t="n">
        <x:v>3</x:v>
      </x:c>
      <x:c r="J2" t="n">
        <x:f>COUNTIFS('Source Audit'!$A:$A,A2,'Source Audit'!$P:$P,"PASS")</x:f>
        <x:v>3</x:v>
      </x:c>
      <x:c r="K2" t="str">
        <x:f>IF(AND(H2="PASS",J2=I2),"PASS","FAIL")</x:f>
        <x:v>PASS</x:v>
      </x:c>
    </x:row>
    <x:row r="3">
      <x:c r="A3" t="str">
        <x:v>2016-08-18</x:v>
      </x:c>
      <x:c r="B3" t="str">
        <x:v>AMAT</x:v>
      </x:c>
      <x:c r="C3" t="str">
        <x:v>UP</x:v>
      </x:c>
      <x:c r="D3" s="20" t="n">
        <x:v>7.26</x:v>
      </x:c>
      <x:c r="E3" t="str">
        <x:v>UP</x:v>
      </x:c>
      <x:c r="F3" t="str">
        <x:v>MATCH</x:v>
      </x:c>
      <x:c r="G3" t="str">
        <x:v>UP</x:v>
      </x:c>
      <x:c r="H3" t="str">
        <x:f>IF(C3=G3,"PASS","FAIL")</x:f>
        <x:v>PASS</x:v>
      </x:c>
      <x:c r="I3" t="n">
        <x:v>3</x:v>
      </x:c>
      <x:c r="J3" t="n">
        <x:f>COUNTIFS('Source Audit'!$A:$A,A3,'Source Audit'!$P:$P,"PASS")</x:f>
        <x:v>3</x:v>
      </x:c>
      <x:c r="K3" t="str">
        <x:f>IF(AND(H3="PASS",J3=I3),"PASS","FAIL")</x:f>
        <x:v>PASS</x:v>
      </x:c>
    </x:row>
    <x:row r="4">
      <x:c r="A4" t="str">
        <x:v>2016-11-17</x:v>
      </x:c>
      <x:c r="B4" t="str">
        <x:v>AMAT</x:v>
      </x:c>
      <x:c r="C4" t="str">
        <x:v>FLAT</x:v>
      </x:c>
      <x:c r="D4" s="20" t="n">
        <x:v>0.17</x:v>
      </x:c>
      <x:c r="E4" t="str">
        <x:v>UP</x:v>
      </x:c>
      <x:c r="F4" t="str">
        <x:v>MISMATCH</x:v>
      </x:c>
      <x:c r="G4" t="str">
        <x:v>FLAT</x:v>
      </x:c>
      <x:c r="H4" t="str">
        <x:f>IF(C4=G4,"PASS","FAIL")</x:f>
        <x:v>PASS</x:v>
      </x:c>
      <x:c r="I4" t="n">
        <x:v>3</x:v>
      </x:c>
      <x:c r="J4" t="n">
        <x:f>COUNTIFS('Source Audit'!$A:$A,A4,'Source Audit'!$P:$P,"PASS")</x:f>
        <x:v>3</x:v>
      </x:c>
      <x:c r="K4" t="str">
        <x:f>IF(AND(H4="PASS",J4=I4),"PASS","FAIL")</x:f>
        <x:v>PASS</x:v>
      </x:c>
    </x:row>
    <x:row r="5">
      <x:c r="A5" t="str">
        <x:v>2017-02-15</x:v>
      </x:c>
      <x:c r="B5" t="str">
        <x:v>AMAT</x:v>
      </x:c>
      <x:c r="C5" t="str">
        <x:v>UP</x:v>
      </x:c>
      <x:c r="D5" s="20" t="n">
        <x:v>-0.75</x:v>
      </x:c>
      <x:c r="E5" t="str">
        <x:v>DOWN</x:v>
      </x:c>
      <x:c r="F5" t="str">
        <x:v>MISMATCH</x:v>
      </x:c>
      <x:c r="G5" t="str">
        <x:v>UP</x:v>
      </x:c>
      <x:c r="H5" t="str">
        <x:f>IF(C5=G5,"PASS","FAIL")</x:f>
        <x:v>PASS</x:v>
      </x:c>
      <x:c r="I5" t="n">
        <x:v>3</x:v>
      </x:c>
      <x:c r="J5" t="n">
        <x:f>COUNTIFS('Source Audit'!$A:$A,A5,'Source Audit'!$P:$P,"PASS")</x:f>
        <x:v>3</x:v>
      </x:c>
      <x:c r="K5" t="str">
        <x:f>IF(AND(H5="PASS",J5=I5),"PASS","FAIL")</x:f>
        <x:v>PASS</x:v>
      </x:c>
    </x:row>
    <x:row r="6">
      <x:c r="A6" t="str">
        <x:v>2017-05-18</x:v>
      </x:c>
      <x:c r="B6" t="str">
        <x:v>AMAT</x:v>
      </x:c>
      <x:c r="C6" t="str">
        <x:v>UP</x:v>
      </x:c>
      <x:c r="D6" s="20" t="n">
        <x:v>-0.37</x:v>
      </x:c>
      <x:c r="E6" t="str">
        <x:v>DOWN</x:v>
      </x:c>
      <x:c r="F6" t="str">
        <x:v>MISMATCH</x:v>
      </x:c>
      <x:c r="G6" t="str">
        <x:v>UP</x:v>
      </x:c>
      <x:c r="H6" t="str">
        <x:f>IF(C6=G6,"PASS","FAIL")</x:f>
        <x:v>PASS</x:v>
      </x:c>
      <x:c r="I6" t="n">
        <x:v>3</x:v>
      </x:c>
      <x:c r="J6" t="n">
        <x:f>COUNTIFS('Source Audit'!$A:$A,A6,'Source Audit'!$P:$P,"PASS")</x:f>
        <x:v>3</x:v>
      </x:c>
      <x:c r="K6" t="str">
        <x:f>IF(AND(H6="PASS",J6=I6),"PASS","FAIL")</x:f>
        <x:v>PASS</x:v>
      </x:c>
    </x:row>
    <x:row r="7">
      <x:c r="A7" t="str">
        <x:v>2017-08-17</x:v>
      </x:c>
      <x:c r="B7" t="str">
        <x:v>AMAT</x:v>
      </x:c>
      <x:c r="C7" t="str">
        <x:v>UP</x:v>
      </x:c>
      <x:c r="D7" s="20" t="n">
        <x:v>2.86</x:v>
      </x:c>
      <x:c r="E7" t="str">
        <x:v>UP</x:v>
      </x:c>
      <x:c r="F7" t="str">
        <x:v>MATCH</x:v>
      </x:c>
      <x:c r="G7" t="str">
        <x:v>UP</x:v>
      </x:c>
      <x:c r="H7" t="str">
        <x:f>IF(C7=G7,"PASS","FAIL")</x:f>
        <x:v>PASS</x:v>
      </x:c>
      <x:c r="I7" t="n">
        <x:v>3</x:v>
      </x:c>
      <x:c r="J7" t="n">
        <x:f>COUNTIFS('Source Audit'!$A:$A,A7,'Source Audit'!$P:$P,"PASS")</x:f>
        <x:v>3</x:v>
      </x:c>
      <x:c r="K7" t="str">
        <x:f>IF(AND(H7="PASS",J7=I7),"PASS","FAIL")</x:f>
        <x:v>PASS</x:v>
      </x:c>
    </x:row>
    <x:row r="8">
      <x:c r="A8" t="str">
        <x:v>2017-11-16</x:v>
      </x:c>
      <x:c r="B8" t="str">
        <x:v>AMAT</x:v>
      </x:c>
      <x:c r="C8" t="str">
        <x:v>UP</x:v>
      </x:c>
      <x:c r="D8" s="20" t="n">
        <x:v>-2.24</x:v>
      </x:c>
      <x:c r="E8" t="str">
        <x:v>DOWN</x:v>
      </x:c>
      <x:c r="F8" t="str">
        <x:v>MISMATCH</x:v>
      </x:c>
      <x:c r="G8" t="str">
        <x:v>UP</x:v>
      </x:c>
      <x:c r="H8" t="str">
        <x:f>IF(C8=G8,"PASS","FAIL")</x:f>
        <x:v>PASS</x:v>
      </x:c>
      <x:c r="I8" t="n">
        <x:v>3</x:v>
      </x:c>
      <x:c r="J8" t="n">
        <x:f>COUNTIFS('Source Audit'!$A:$A,A8,'Source Audit'!$P:$P,"PASS")</x:f>
        <x:v>3</x:v>
      </x:c>
      <x:c r="K8" t="str">
        <x:f>IF(AND(H8="PASS",J8=I8),"PASS","FAIL")</x:f>
        <x:v>PASS</x:v>
      </x:c>
    </x:row>
    <x:row r="9">
      <x:c r="A9" t="str">
        <x:v>2018-02-14</x:v>
      </x:c>
      <x:c r="B9" t="str">
        <x:v>AMAT</x:v>
      </x:c>
      <x:c r="C9" t="str">
        <x:v>UP</x:v>
      </x:c>
      <x:c r="D9" s="20" t="n">
        <x:v>2.8</x:v>
      </x:c>
      <x:c r="E9" t="str">
        <x:v>UP</x:v>
      </x:c>
      <x:c r="F9" t="str">
        <x:v>MATCH</x:v>
      </x:c>
      <x:c r="G9" t="str">
        <x:v>UP</x:v>
      </x:c>
      <x:c r="H9" t="str">
        <x:f>IF(C9=G9,"PASS","FAIL")</x:f>
        <x:v>PASS</x:v>
      </x:c>
      <x:c r="I9" t="n">
        <x:v>3</x:v>
      </x:c>
      <x:c r="J9" t="n">
        <x:f>COUNTIFS('Source Audit'!$A:$A,A9,'Source Audit'!$P:$P,"PASS")</x:f>
        <x:v>3</x:v>
      </x:c>
      <x:c r="K9" t="str">
        <x:f>IF(AND(H9="PASS",J9=I9),"PASS","FAIL")</x:f>
        <x:v>PASS</x:v>
      </x:c>
    </x:row>
    <x:row r="10">
      <x:c r="A10" t="str">
        <x:v>2018-05-17</x:v>
      </x:c>
      <x:c r="B10" t="str">
        <x:v>AMAT</x:v>
      </x:c>
      <x:c r="C10" t="str">
        <x:v>DOWN</x:v>
      </x:c>
      <x:c r="D10" s="20" t="n">
        <x:v>-8.02</x:v>
      </x:c>
      <x:c r="E10" t="str">
        <x:v>DOWN</x:v>
      </x:c>
      <x:c r="F10" t="str">
        <x:v>MATCH</x:v>
      </x:c>
      <x:c r="G10" t="str">
        <x:v>DOWN</x:v>
      </x:c>
      <x:c r="H10" t="str">
        <x:f>IF(C10=G10,"PASS","FAIL")</x:f>
        <x:v>PASS</x:v>
      </x:c>
      <x:c r="I10" t="n">
        <x:v>3</x:v>
      </x:c>
      <x:c r="J10" t="n">
        <x:f>COUNTIFS('Source Audit'!$A:$A,A10,'Source Audit'!$P:$P,"PASS")</x:f>
        <x:v>3</x:v>
      </x:c>
      <x:c r="K10" t="str">
        <x:f>IF(AND(H10="PASS",J10=I10),"PASS","FAIL")</x:f>
        <x:v>PASS</x:v>
      </x:c>
    </x:row>
    <x:row r="11">
      <x:c r="A11" t="str">
        <x:v>2018-08-16</x:v>
      </x:c>
      <x:c r="B11" t="str">
        <x:v>AMAT</x:v>
      </x:c>
      <x:c r="C11" t="str">
        <x:v>DOWN</x:v>
      </x:c>
      <x:c r="D11" s="20" t="n">
        <x:v>-8.1</x:v>
      </x:c>
      <x:c r="E11" t="str">
        <x:v>DOWN</x:v>
      </x:c>
      <x:c r="F11" t="str">
        <x:v>MATCH</x:v>
      </x:c>
      <x:c r="G11" t="str">
        <x:v>DOWN</x:v>
      </x:c>
      <x:c r="H11" t="str">
        <x:f>IF(C11=G11,"PASS","FAIL")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5" hidden="0" customWidth="1"/>
  </x:cols>
  <x:sheetData>
    <x:row r="1">
      <x:c r="A1" s="5" t="str">
        <x:v>Item</x:v>
      </x:c>
      <x:c r="B1" s="5" t="str">
        <x:v>Rule</x:v>
      </x:c>
    </x:row>
    <x:row r="2">
      <x:c r="A2" s="12" t="str">
        <x:v>Rebuild status</x:v>
      </x:c>
      <x:c r="B2" s="12" t="str">
        <x:v>AMAT rebuilt from scratch under the corrected verification protocol.</x:v>
      </x:c>
    </x:row>
    <x:row r="3">
      <x:c r="A3" s="12" t="str">
        <x:v>Identity source</x:v>
      </x:c>
      <x:c r="B3" s="12" t="str">
        <x:v>Ticker/company, exact earnings dates and supplied return fields come from group_observations.csv.</x:v>
      </x:c>
    </x:row>
    <x:row r="4">
      <x:c r="A4" s="12" t="str">
        <x:v>Reaction direction</x:v>
      </x:c>
      <x:c r="B4" s="12" t="str">
        <x:v>Narrative stock direction is determined from contemporaneous market-reaction coverage, not mechanically from ret_1daypost_pct.</x:v>
      </x:c>
    </x:row>
    <x:row r="5">
      <x:c r="A5" s="12" t="str">
        <x:v>Return consistency</x:v>
      </x:c>
      <x:c r="B5" s="12" t="str">
        <x:v>The workbook keeps the supplied returns but separately computes whether their direction matches the verified contemporaneous market move. A mismatch is shown explicitly rather than forcing the narrative to agree with the CSV.</x:v>
      </x:c>
    </x:row>
    <x:row r="6">
      <x:c r="A6" s="12" t="str">
        <x:v>Narrative</x:v>
      </x:c>
      <x:c r="B6" s="12" t="str">
        <x:v>Short Prior Context, detailed Current Earnings Release, and three concise event-specific Possible Drivers.</x:v>
      </x:c>
    </x:row>
    <x:row r="7">
      <x:c r="A7" s="12" t="str">
        <x:v>Sources</x:v>
      </x:c>
      <x:c r="B7" s="12" t="str">
        <x:v>Applied Materials Investor Relations is the factual anchor; each event has one contemporaneous open reaction source.</x:v>
      </x:c>
    </x:row>
    <x:row r="8">
      <x:c r="A8" s="12" t="str">
        <x:v>Timing</x:v>
      </x:c>
      <x:c r="B8" s="12" t="str">
        <x:v>Prior = -100..-1 days; release = day 0; reaction = day 0..+3.</x:v>
      </x:c>
    </x:row>
    <x:row r="9">
      <x:c r="A9" s="12" t="str">
        <x:v>Restrictions</x:v>
      </x:c>
      <x:c r="B9" s="12" t="str">
        <x:v>No WSJ, Reuters, Dow Jones or MarketWatch-syndicated article is included.</x:v>
      </x:c>
    </x:row>
    <x:row r="10">
      <x:c r="A10" s="12" t="str">
        <x:v>QA</x:v>
      </x:c>
      <x:c r="B10" s="12" t="str">
        <x:v>Event QA requires the narrative direction to match the verified reaction source and all source-audit rows to PASS. A supplied-return mismatch is informational, not overwritten.</x:v>
      </x:c>
    </x:row>
  </x:sheetData>
  <x:pageMargins left="0.7" right="0.7" top="0.75" bottom="0.75" header="0.3" footer="0.3"/>
</x:worksheet>
</file>