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73f6a7665e4735" /></Relationships>
</file>

<file path=xl/workbook.xml><?xml version="1.0" encoding="utf-8"?>
<x:workbook xmlns:x="http://schemas.openxmlformats.org/spreadsheetml/2006/main">
  <x:sheets>
    <x:sheet xmlns:r="http://schemas.openxmlformats.org/officeDocument/2006/relationships" name="F" sheetId="1" r:id="R2a0d2d7897e04475"/>
    <x:sheet xmlns:r="http://schemas.openxmlformats.org/officeDocument/2006/relationships" name="Source Audit" sheetId="2" r:id="R0fe204102a0b40ff"/>
    <x:sheet xmlns:r="http://schemas.openxmlformats.org/officeDocument/2006/relationships" name="Event QA" sheetId="3" r:id="Rda03541d5db4409c"/>
    <x:sheet xmlns:r="http://schemas.openxmlformats.org/officeDocument/2006/relationships" name="Methodology" sheetId="4" r:id="R857f54b8f4364b2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97771fc14f40cb" /><Relationship Type="http://schemas.openxmlformats.org/officeDocument/2006/relationships/theme" Target="/xl/theme/theme1.xml" Id="Rd7f9adc22a094aec" /><Relationship Type="http://schemas.openxmlformats.org/officeDocument/2006/relationships/sharedStrings" Target="/xl/sharedStrings.xml" Id="R5f4feb0d50af4cf5" /><Relationship Type="http://schemas.openxmlformats.org/officeDocument/2006/relationships/worksheet" Target="/xl/worksheets/sheet1.xml" Id="R2a0d2d7897e04475" /><Relationship Type="http://schemas.openxmlformats.org/officeDocument/2006/relationships/worksheet" Target="/xl/worksheets/sheet2.xml" Id="R0fe204102a0b40ff" /><Relationship Type="http://schemas.openxmlformats.org/officeDocument/2006/relationships/worksheet" Target="/xl/worksheets/sheet3.xml" Id="Rda03541d5db4409c" /><Relationship Type="http://schemas.openxmlformats.org/officeDocument/2006/relationships/worksheet" Target="/xl/worksheets/sheet4.xml" Id="R857f54b8f4364b2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20"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18" hidden="0" customWidth="1"/>
    <x:col min="12" max="12" width="18" hidden="0" customWidth="1"/>
    <x:col min="13" max="13" width="96" hidden="0" customWidth="1"/>
    <x:col min="14" max="14" width="65" hidden="0" customWidth="1"/>
    <x:col min="15" max="15" width="65" hidden="0" customWidth="1"/>
    <x:col min="16" max="16" width="65" hidden="0" customWidth="1"/>
    <x:col min="17" max="17" width="80"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F</x:v>
      </x:c>
      <x:c r="C2" s="15" t="str">
        <x:v>Ford Motor Company</x:v>
      </x:c>
      <x:c r="D2" s="15" t="str">
        <x:v>2016q2</x:v>
      </x:c>
      <x:c r="E2" s="15" t="str">
        <x:v>2016-04-28</x:v>
      </x:c>
      <x:c r="F2" s="18" t="n">
        <x:v>4</x:v>
      </x:c>
      <x:c r="G2" s="18" t="n">
        <x:v>-3.32</x:v>
      </x:c>
      <x:c r="H2" s="18" t="n">
        <x:v>0.56</x:v>
      </x:c>
      <x:c r="I2" s="18" t="n">
        <x:v>0.73</x:v>
      </x:c>
      <x:c r="J2" s="18" t="n">
        <x:v>0.21</x:v>
      </x:c>
      <x:c r="K2" s="15" t="str">
        <x:v>ret_1day_pct</x:v>
      </x:c>
      <x:c r="L2" s="15" t="str">
        <x:v>UP</x:v>
      </x:c>
      <x:c r="M2" s="15" t="str">
        <x:v>## Prior Context
Ford entered 2016 with the U.S. auto market near record levels, but the new aluminum F-150 was finally at full availability. Investors wanted to see whether rich truck mix, Europe’s turnaround and China growth could translate into a peak-margin quarter.
### Verified prior source
2016-01-28 | Ford Motor Company | Ford Motor Company 2015 Fourth Quarter and Full-Year Results | https://www.shareholder.ford.com/events/event-details/2016/Ford-Motor-Company-2015-Fourth-Quarter-and-Full-Year-Results/default.aspx
## Current Earnings Release
Ford delivered a record quarter: **$3.8 billion of adjusted pre-tax profit**, **$2.5 billion of net income**, and **$0.68 of adjusted EPS**, versus roughly $0.46 expected. Automotive revenue reached about **$37.7 billion** and the automotive operating margin was a record **9.8%**.
North America was the key profit engine, earning about **$3.1 billion** with a **12.9% margin**, helped by strong F-Series mix and pricing. Europe also moved decisively into profit after years of restructuring, while Asia Pacific remained profitable. The quality of the beat was therefore broad: volume, mix, pricing, regional profitability and cash flow all improved at once.
### Verified release source
2016-04-28 | Ford Motor Company | Ford Delivers Best Quarter Ever with First Quarter Pre-Tax Profit of $3.8B; Net Income of $2.5B | https://media.ford.com/content/fordmedia/feu/at/en/news/2016/04/28/1q16-financials.html
## Possible Drivers
**First-order driver.** The stock rose because Ford delivered a very large EPS/profit beat and an all-time record quarter.
**Second-order driver.** High-margin F-Series trucks drove exceptional North American profitability.
**Third-order driver.** Europe’s return to meaningful profit reduced reliance on North America.
### Verified reaction source
2016-04-28 | The Motley Fool | Ford Profits Soar on Truck Sales and Big Gains in Europe | https://www.fool.com/investing/general/2016/04/28/ford-profits-soar-on-big-gains-in-europe.aspx
## Verification Status
Included sources were checked for Ford/F identity, the correct earnings event, publication date, timing window and source origin. **Reaction basis: ret_1day_pct**, selected from Ford's documented release timing for this event. No WSJ, Reuters, Dow Jones or MarketWatch-syndicated article is included.
</x:v>
      </x:c>
      <x:c r="N2" s="15" t="str">
        <x:v>2016-01-28 | Ford Motor Company | Ford Motor Company 2015 Fourth Quarter and Full-Year Results | https://www.shareholder.ford.com/events/event-details/2016/Ford-Motor-Company-2015-Fourth-Quarter-and-Full-Year-Results/default.aspx</x:v>
      </x:c>
      <x:c r="O2" s="15" t="str">
        <x:v>2016-04-28 | Ford Motor Company | Ford Delivers Best Quarter Ever with First Quarter Pre-Tax Profit of $3.8B; Net Income of $2.5B | https://media.ford.com/content/fordmedia/feu/at/en/news/2016/04/28/1q16-financials.html</x:v>
      </x:c>
      <x:c r="P2" s="15" t="str">
        <x:v>2016-04-28 | The Motley Fool | Ford Profits Soar on Truck Sales and Big Gains in Europe | https://www.fool.com/investing/general/2016/04/28/ford-profits-soar-on-big-gains-in-europe.aspx</x:v>
      </x:c>
      <x:c r="Q2" s="15" t="str">
        <x:v>2016-01-28 | Ford Motor Company | Ford Motor Company 2015 Fourth Quarter and Full-Year Results | https://www.shareholder.ford.com/events/event-details/2016/Ford-Motor-Company-2015-Fourth-Quarter-and-Full-Year-Results/default.aspx
2016-04-28 | Ford Motor Company | Ford Delivers Best Quarter Ever with First Quarter Pre-Tax Profit of $3.8B; Net Income of $2.5B | https://media.ford.com/content/fordmedia/feu/at/en/news/2016/04/28/1q16-financials.html
2016-04-28 | The Motley Fool | Ford Profits Soar on Truck Sales and Big Gains in Europe | https://www.fool.com/investing/general/2016/04/28/ford-profits-soar-on-big-gains-in-europe.aspx</x:v>
      </x:c>
      <x:c r="R2" s="15" t="n">
        <x:v>3</x:v>
      </x:c>
      <x:c r="S2" s="15" t="str">
        <x:v>PASS</x:v>
      </x:c>
    </x:row>
    <x:row r="3" ht="340" customHeight="1">
      <x:c r="A3" s="15" t="n">
        <x:v>1</x:v>
      </x:c>
      <x:c r="B3" s="15" t="str">
        <x:v>F</x:v>
      </x:c>
      <x:c r="C3" s="15" t="str">
        <x:v>Ford Motor Company</x:v>
      </x:c>
      <x:c r="D3" s="15" t="str">
        <x:v>2016q3</x:v>
      </x:c>
      <x:c r="E3" s="15" t="str">
        <x:v>2016-07-28</x:v>
      </x:c>
      <x:c r="F3" s="18" t="n">
        <x:v>-8.33</x:v>
      </x:c>
      <x:c r="G3" s="18" t="n">
        <x:v>-0.66</x:v>
      </x:c>
      <x:c r="H3" s="18" t="n">
        <x:v>-8.93</x:v>
      </x:c>
      <x:c r="I3" s="18" t="n">
        <x:v>-8.95</x:v>
      </x:c>
      <x:c r="J3" s="18" t="n">
        <x:v>-13.29</x:v>
      </x:c>
      <x:c r="K3" s="15" t="str">
        <x:v>ret_1day_pct</x:v>
      </x:c>
      <x:c r="L3" s="15" t="str">
        <x:v>DOWN</x:v>
      </x:c>
      <x:c r="M3" s="15" t="str">
        <x:v>## Prior Context
After the record Q1, expectations were high and the key debate shifted toward whether U.S. auto demand was peaking. Incentive spending and China profitability were becoming increasingly important warning signals.
### Verified prior source
2016-04-28 | Ford Motor Company | Ford Delivers Best Quarter Ever with First Quarter Pre-Tax Profit of $3.8B; Net Income of $2.5B | https://media.ford.com/content/fordmedia/feu/at/en/news/2016/04/28/1q16-financials.html
## Current Earnings Release
Ford reported **$2.0 billion of net income** and **$3.0 billion of adjusted pre-tax profit**. Adjusted EPS was **$0.52**, below Wall Street expectations around $0.60. North American profit declined as incentives rose, and Asia Pacific posted a quarterly loss amid weaker-than-expected China performance.
The more damaging signal was management’s macro/industry outlook. Ford warned that its full-year profit guidance was **at risk** and described the U.S. economic and auto cycle as maturing. That transformed the quarter from a company-specific miss into a possible peak-cycle signal for Detroit automakers.
### Verified release source
2016-07-28 | Ford Motor Company | Ford Delivers Second Quarter $2.0B Net Income; $3.0B Adjusted Pre-Tax Profit | https://media.ford.com/content/fordmedia/feu/en/news/2016/07/28/2q16-financials.html
## Possible Drivers
**First-order driver.** Shares fell more than 8% because EPS missed and management warned that full-year profit guidance was at risk.
**Second-order driver.** Rising U.S. incentives suggested pricing discipline was weakening near the top of the auto cycle.
**Third-order driver.** China weakness broadened the concern beyond the U.S. market.
### Verified reaction source
2016-07-28 | The Motley Fool | Why Shares of Ford Motor Company Dropped More Than 8% Today | https://www.fool.com/investing/2016/07/28/why-shares-of-ford-motor-company-dropped-more-than.aspx
## Verification Status
Included sources were checked for Ford/F identity, the correct earnings event, publication date, timing window and source origin. **Reaction basis: ret_1day_pct**, selected from Ford's documented release timing for this event. No WSJ, Reuters, Dow Jones or MarketWatch-syndicated article is included.
</x:v>
      </x:c>
      <x:c r="N3" s="15" t="str">
        <x:v>2016-04-28 | Ford Motor Company | Ford Delivers Best Quarter Ever with First Quarter Pre-Tax Profit of $3.8B; Net Income of $2.5B | https://media.ford.com/content/fordmedia/feu/at/en/news/2016/04/28/1q16-financials.html</x:v>
      </x:c>
      <x:c r="O3" s="15" t="str">
        <x:v>2016-07-28 | Ford Motor Company | Ford Delivers Second Quarter $2.0B Net Income; $3.0B Adjusted Pre-Tax Profit | https://media.ford.com/content/fordmedia/feu/en/news/2016/07/28/2q16-financials.html</x:v>
      </x:c>
      <x:c r="P3" s="15" t="str">
        <x:v>2016-07-28 | The Motley Fool | Why Shares of Ford Motor Company Dropped More Than 8% Today | https://www.fool.com/investing/2016/07/28/why-shares-of-ford-motor-company-dropped-more-than.aspx</x:v>
      </x:c>
      <x:c r="Q3" s="15" t="str">
        <x:v>2016-04-28 | Ford Motor Company | Ford Delivers Best Quarter Ever with First Quarter Pre-Tax Profit of $3.8B; Net Income of $2.5B | https://media.ford.com/content/fordmedia/feu/at/en/news/2016/04/28/1q16-financials.html
2016-07-28 | Ford Motor Company | Ford Delivers Second Quarter $2.0B Net Income; $3.0B Adjusted Pre-Tax Profit | https://media.ford.com/content/fordmedia/feu/en/news/2016/07/28/2q16-financials.html
2016-07-28 | The Motley Fool | Why Shares of Ford Motor Company Dropped More Than 8% Today | https://www.fool.com/investing/2016/07/28/why-shares-of-ford-motor-company-dropped-more-than.aspx</x:v>
      </x:c>
      <x:c r="R3" s="15" t="n">
        <x:v>3</x:v>
      </x:c>
      <x:c r="S3" s="15" t="str">
        <x:v>PASS</x:v>
      </x:c>
    </x:row>
    <x:row r="4" ht="340" customHeight="1">
      <x:c r="A4" s="15" t="n">
        <x:v>2</x:v>
      </x:c>
      <x:c r="B4" s="15" t="str">
        <x:v>F</x:v>
      </x:c>
      <x:c r="C4" s="15" t="str">
        <x:v>Ford Motor Company</x:v>
      </x:c>
      <x:c r="D4" s="15" t="str">
        <x:v>2016q4</x:v>
      </x:c>
      <x:c r="E4" s="15" t="str">
        <x:v>2016-10-27</x:v>
      </x:c>
      <x:c r="F4" s="18" t="n">
        <x:v>-0.78</x:v>
      </x:c>
      <x:c r="G4" s="18" t="n">
        <x:v>0.09</x:v>
      </x:c>
      <x:c r="H4" s="18" t="n">
        <x:v>-0.69</x:v>
      </x:c>
      <x:c r="I4" s="18" t="n">
        <x:v>-0.17</x:v>
      </x:c>
      <x:c r="J4" s="18" t="n">
        <x:v>-0.47</x:v>
      </x:c>
      <x:c r="K4" s="15" t="str">
        <x:v>ret_1day_pct</x:v>
      </x:c>
      <x:c r="L4" s="15" t="str">
        <x:v>DOWN</x:v>
      </x:c>
      <x:c r="M4" s="15" t="str">
        <x:v>## Prior Context
Ford had already lowered expectations at its September investor day, so Q3 entered with much of the weakness pre-announced. The remaining question was how much the Super Duty launch, recalls and inventory reductions would compress North American margins.
### Verified prior source
2016-07-28 | Ford Motor Company | Ford Delivers Second Quarter $2.0B Net Income; $3.0B Adjusted Pre-Tax Profit | https://media.ford.com/content/fordmedia/feu/en/news/2016/07/28/2q16-financials.html
## Current Earnings Release
Third-quarter net income fell **56% to $957 million** and adjusted EPS was about **$0.26**, roughly in line with the low bar management had established. North American profit fell sharply and its operating margin dropped to roughly **3.3%**.
Three factors explained most of the deterioration: a roughly **$600 million door-latch recall**, launch costs for the new Super Duty pickup, and lower F-150/other wholesale volumes as Ford reduced inventories. Europe and China improved, and Ford maintained its revised full-year adjusted pre-tax profit outlook near **$10.2 billion**. Because most of the bad news had been signaled beforehand, the stock’s same-day decline was modest rather than catastrophic.
### Verified release source
2016-10-27 | Ford Motor Company | Ford Motor Company Third Quarter 2016 Financial Results | https://www.shareholder.ford.com/events/event-details/2016/Ford-Motor-Company-Third-Quarter-2016-Financial-Results/default.aspx
## Possible Drivers
**First-order driver.** The stock slipped because North American profit and margins collapsed, even though the result was largely pre-signaled.
**Second-order driver.** Recall and Super Duty launch costs were large but partly temporary.
**Third-order driver.** Reaffirmed annual guidance and better Europe/China results limited the downside.
### Verified reaction source
2016-10-27 | The Motley Fool | Ford Motor Company's Profit Dropped Over 50%: Time to Worry? | https://www.fool.com/investing/2016/10/27/ford-motor-companys-profit-dropped-over-50-time-to.aspx
## Verification Status
Included sources were checked for Ford/F identity, the correct earnings event, publication date, timing window and source origin. **Reaction basis: ret_1day_pct**, selected from Ford's documented release timing for this event. No WSJ, Reuters, Dow Jones or MarketWatch-syndicated article is included.
</x:v>
      </x:c>
      <x:c r="N4" s="15" t="str">
        <x:v>2016-07-28 | Ford Motor Company | Ford Delivers Second Quarter $2.0B Net Income; $3.0B Adjusted Pre-Tax Profit | https://media.ford.com/content/fordmedia/feu/en/news/2016/07/28/2q16-financials.html</x:v>
      </x:c>
      <x:c r="O4" s="15" t="str">
        <x:v>2016-10-27 | Ford Motor Company | Ford Motor Company Third Quarter 2016 Financial Results | https://www.shareholder.ford.com/events/event-details/2016/Ford-Motor-Company-Third-Quarter-2016-Financial-Results/default.aspx</x:v>
      </x:c>
      <x:c r="P4" s="15" t="str">
        <x:v>2016-10-27 | The Motley Fool | Ford Motor Company's Profit Dropped Over 50%: Time to Worry? | https://www.fool.com/investing/2016/10/27/ford-motor-companys-profit-dropped-over-50-time-to.aspx</x:v>
      </x:c>
      <x:c r="Q4" s="15" t="str">
        <x:v>2016-07-28 | Ford Motor Company | Ford Delivers Second Quarter $2.0B Net Income; $3.0B Adjusted Pre-Tax Profit | https://media.ford.com/content/fordmedia/feu/en/news/2016/07/28/2q16-financials.html
2016-10-27 | Ford Motor Company | Ford Motor Company Third Quarter 2016 Financial Results | https://www.shareholder.ford.com/events/event-details/2016/Ford-Motor-Company-Third-Quarter-2016-Financial-Results/default.aspx
2016-10-27 | The Motley Fool | Ford Motor Company's Profit Dropped Over 50%: Time to Worry? | https://www.fool.com/investing/2016/10/27/ford-motor-companys-profit-dropped-over-50-time-to.aspx</x:v>
      </x:c>
      <x:c r="R4" s="15" t="n">
        <x:v>3</x:v>
      </x:c>
      <x:c r="S4" s="15" t="str">
        <x:v>PASS</x:v>
      </x:c>
    </x:row>
    <x:row r="5" ht="340" customHeight="1">
      <x:c r="A5" s="15" t="n">
        <x:v>3</x:v>
      </x:c>
      <x:c r="B5" s="15" t="str">
        <x:v>F</x:v>
      </x:c>
      <x:c r="C5" s="15" t="str">
        <x:v>Ford Motor Company</x:v>
      </x:c>
      <x:c r="D5" s="15" t="str">
        <x:v>2017q1</x:v>
      </x:c>
      <x:c r="E5" s="15" t="str">
        <x:v>2017-01-26</x:v>
      </x:c>
      <x:c r="F5" s="18" t="n">
        <x:v>-3.17</x:v>
      </x:c>
      <x:c r="G5" s="18" t="n">
        <x:v>1.13</x:v>
      </x:c>
      <x:c r="H5" s="18" t="n">
        <x:v>-2.07</x:v>
      </x:c>
      <x:c r="I5" s="18" t="n">
        <x:v>-1.47</x:v>
      </x:c>
      <x:c r="J5" s="18" t="n">
        <x:v>-1.88</x:v>
      </x:c>
      <x:c r="K5" s="15" t="str">
        <x:v>ret_1day_pct</x:v>
      </x:c>
      <x:c r="L5" s="15" t="str">
        <x:v>DOWN</x:v>
      </x:c>
      <x:c r="M5" s="15" t="str">
        <x:v>## Prior Context
Ford entered year-end after a difficult second half and had already told investors that 2017 profit would likely fall. The market was comparing Ford’s cautious outlook with more upbeat guidance from Detroit peers.
### Verified prior source
2016-10-27 | Ford Motor Company | Ford Motor Company Third Quarter 2016 Financial Results | https://www.shareholder.ford.com/events/event-details/2016/Ford-Motor-Company-Third-Quarter-2016-Financial-Results/default.aspx
## Current Earnings Release
Ford posted a **$783 million GAAP net loss** in Q4 because of pension remeasurement and the cancellation of a planned Mexican factory. On an adjusted basis, however, Ford earned about **$0.30 per share**, close to consensus, and North America remained strongly profitable with an **8.5% operating margin**.
The forward message was the problem. Ford reaffirmed that **2017 adjusted pre-tax profit would be lower than 2016**, citing unfavorable volume/mix and increased investment in autonomy, electrification and mobility. That cautious guidance contrasted with stronger peer outlooks and reinforced concern that Ford’s earnings had already peaked.
### Verified release source
2017-01-26 | Ford Motor Company | Ford Fourth Quarter and Full Year Financial Results | https://shareholder.ford.com/events/event-details/2017/Ford-Fourth-Quarter-and-Full-Year-Financial-Results/default.aspx
## Possible Drivers
**First-order driver.** The stock fell about 3% because Ford reiterated a lower-profit 2017 outlook despite roughly in-line adjusted earnings.
**Second-order driver.** Pension and Mexico-plant charges explained the GAAP loss but did not resolve the weaker underlying profit trajectory.
**Third-order driver.** Higher future-tech spending added another headwind to mature-cycle auto earnings.
### Verified reaction source
2017-01-26 | Schaeffer's Research | Options Traders Shift Gears On Ford Motor Company's Post-Earnings Skid | https://www.schaeffersresearch.com/content/options/2017/01/26/options-traders-shift-gears-on-ford-motor-companys-f-post-earnings-skid
## Verification Status
Included sources were checked for Ford/F identity, the correct earnings event, publication date, timing window and source origin. **Reaction basis: ret_1day_pct**, selected from Ford's documented release timing for this event. No WSJ, Reuters, Dow Jones or MarketWatch-syndicated article is included.
</x:v>
      </x:c>
      <x:c r="N5" s="15" t="str">
        <x:v>2016-10-27 | Ford Motor Company | Ford Motor Company Third Quarter 2016 Financial Results | https://www.shareholder.ford.com/events/event-details/2016/Ford-Motor-Company-Third-Quarter-2016-Financial-Results/default.aspx</x:v>
      </x:c>
      <x:c r="O5" s="15" t="str">
        <x:v>2017-01-26 | Ford Motor Company | Ford Fourth Quarter and Full Year Financial Results | https://shareholder.ford.com/events/event-details/2017/Ford-Fourth-Quarter-and-Full-Year-Financial-Results/default.aspx</x:v>
      </x:c>
      <x:c r="P5" s="15" t="str">
        <x:v>2017-01-26 | Schaeffer's Research | Options Traders Shift Gears On Ford Motor Company's Post-Earnings Skid | https://www.schaeffersresearch.com/content/options/2017/01/26/options-traders-shift-gears-on-ford-motor-companys-f-post-earnings-skid</x:v>
      </x:c>
      <x:c r="Q5" s="15" t="str">
        <x:v>2016-10-27 | Ford Motor Company | Ford Motor Company Third Quarter 2016 Financial Results | https://www.shareholder.ford.com/events/event-details/2016/Ford-Motor-Company-Third-Quarter-2016-Financial-Results/default.aspx
2017-01-26 | Ford Motor Company | Ford Fourth Quarter and Full Year Financial Results | https://shareholder.ford.com/events/event-details/2017/Ford-Fourth-Quarter-and-Full-Year-Financial-Results/default.aspx
2017-01-26 | Schaeffer's Research | Options Traders Shift Gears On Ford Motor Company's Post-Earnings Skid | https://www.schaeffersresearch.com/content/options/2017/01/26/options-traders-shift-gears-on-ford-motor-companys-f-post-earnings-skid</x:v>
      </x:c>
      <x:c r="R5" s="15" t="n">
        <x:v>3</x:v>
      </x:c>
      <x:c r="S5" s="15" t="str">
        <x:v>PASS</x:v>
      </x:c>
    </x:row>
    <x:row r="6" ht="340" customHeight="1">
      <x:c r="A6" s="15" t="n">
        <x:v>4</x:v>
      </x:c>
      <x:c r="B6" s="15" t="str">
        <x:v>F</x:v>
      </x:c>
      <x:c r="C6" s="15" t="str">
        <x:v>Ford Motor Company</x:v>
      </x:c>
      <x:c r="D6" s="15" t="str">
        <x:v>2017q2</x:v>
      </x:c>
      <x:c r="E6" s="15" t="str">
        <x:v>2017-04-27</x:v>
      </x:c>
      <x:c r="F6" s="18" t="n">
        <x:v>-1.12</x:v>
      </x:c>
      <x:c r="G6" s="18" t="n">
        <x:v>0.26</x:v>
      </x:c>
      <x:c r="H6" s="18" t="n">
        <x:v>-0.86</x:v>
      </x:c>
      <x:c r="I6" s="18" t="n">
        <x:v>0.19</x:v>
      </x:c>
      <x:c r="J6" s="18" t="n">
        <x:v>-4.83</x:v>
      </x:c>
      <x:c r="K6" s="15" t="str">
        <x:v>ret_1day_pct</x:v>
      </x:c>
      <x:c r="L6" s="15" t="str">
        <x:v>DOWN</x:v>
      </x:c>
      <x:c r="M6" s="15" t="str">
        <x:v>## Prior Context
Ford had pre-warned in March that Q1 would be its toughest quarter of 2017 because of higher commodities, engineering, warranty and launch costs. That set a low EPS hurdle but kept attention on the full-year margin trajectory.
### Verified prior source
2017-01-26 | Ford Motor Company | Ford Fourth Quarter and Full Year Financial Results | https://shareholder.ford.com/events/event-details/2017/Ford-Fourth-Quarter-and-Full-Year-Financial-Results/default.aspx
## Current Earnings Release
Ford reported adjusted EPS of **$0.39**, above consensus near $0.35 and above its own prior $0.30–$0.35 indication. Automotive revenue was about **$36.5 billion**. But adjusted pre-tax profit fell sharply year over year as commodities, warranty/recall expense, engineering and product-launch costs rose.
The conference call reduced the apparent quality of the beat. Management explained that some of the upside reflected **timing of costs and wholesale volume**, and therefore did not materially improve the full-year outlook. Shares initially rose in premarket trading but reversed during the session as investors concluded that the beat did not represent better structural earnings power.
### Verified release source
2017-04-27 | Ford Motor Company | Ford Motor Company First Quarter 2017 Financial Results | https://shareholder.ford.com/events/event-details/2017/Ford-Motor-Company-First-Quarter-2017-Financial-Results/default.aspx
## Possible Drivers
**First-order driver.** Shares fell because the apparent EPS beat was largely timing-related and did not improve the full-year outlook.
**Second-order driver.** Commodity, engineering and warranty costs were still compressing automotive margins.
**Third-order driver.** Strong truck economics remained intact, but were insufficient to offset broad cost pressure.
### Verified reaction source
2017-04-28 | The Motley Fool | Ford Motor Co.'s First Quarter: Did Wall Street Get It Right? | https://www.fool.com/investing/2017/04/28/ford-motor-cos-first-quarter-did-wall-street-get-i.aspx
## Verification Status
Included sources were checked for Ford/F identity, the correct earnings event, publication date, timing window and source origin. **Reaction basis: ret_1day_pct**, selected from Ford's documented release timing for this event. No WSJ, Reuters, Dow Jones or MarketWatch-syndicated article is included.
</x:v>
      </x:c>
      <x:c r="N6" s="15" t="str">
        <x:v>2017-01-26 | Ford Motor Company | Ford Fourth Quarter and Full Year Financial Results | https://shareholder.ford.com/events/event-details/2017/Ford-Fourth-Quarter-and-Full-Year-Financial-Results/default.aspx</x:v>
      </x:c>
      <x:c r="O6" s="15" t="str">
        <x:v>2017-04-27 | Ford Motor Company | Ford Motor Company First Quarter 2017 Financial Results | https://shareholder.ford.com/events/event-details/2017/Ford-Motor-Company-First-Quarter-2017-Financial-Results/default.aspx</x:v>
      </x:c>
      <x:c r="P6" s="15" t="str">
        <x:v>2017-04-28 | The Motley Fool | Ford Motor Co.'s First Quarter: Did Wall Street Get It Right? | https://www.fool.com/investing/2017/04/28/ford-motor-cos-first-quarter-did-wall-street-get-i.aspx</x:v>
      </x:c>
      <x:c r="Q6" s="15" t="str">
        <x:v>2017-01-26 | Ford Motor Company | Ford Fourth Quarter and Full Year Financial Results | https://shareholder.ford.com/events/event-details/2017/Ford-Fourth-Quarter-and-Full-Year-Financial-Results/default.aspx
2017-04-27 | Ford Motor Company | Ford Motor Company First Quarter 2017 Financial Results | https://shareholder.ford.com/events/event-details/2017/Ford-Motor-Company-First-Quarter-2017-Financial-Results/default.aspx
2017-04-28 | The Motley Fool | Ford Motor Co.'s First Quarter: Did Wall Street Get It Right? | https://www.fool.com/investing/2017/04/28/ford-motor-cos-first-quarter-did-wall-street-get-i.aspx</x:v>
      </x:c>
      <x:c r="R6" s="15" t="n">
        <x:v>3</x:v>
      </x:c>
      <x:c r="S6" s="15" t="str">
        <x:v>PASS</x:v>
      </x:c>
    </x:row>
    <x:row r="7" ht="340" customHeight="1">
      <x:c r="A7" s="15" t="n">
        <x:v>5</x:v>
      </x:c>
      <x:c r="B7" s="15" t="str">
        <x:v>F</x:v>
      </x:c>
      <x:c r="C7" s="15" t="str">
        <x:v>Ford Motor Company</x:v>
      </x:c>
      <x:c r="D7" s="15" t="str">
        <x:v>2017q3</x:v>
      </x:c>
      <x:c r="E7" s="15" t="str">
        <x:v>2017-07-26</x:v>
      </x:c>
      <x:c r="F7" s="18" t="n">
        <x:v>-1.85</x:v>
      </x:c>
      <x:c r="G7" s="18" t="n">
        <x:v>1.29</x:v>
      </x:c>
      <x:c r="H7" s="18" t="n">
        <x:v>-0.58</x:v>
      </x:c>
      <x:c r="I7" s="18" t="n">
        <x:v>-1.1</x:v>
      </x:c>
      <x:c r="J7" s="18" t="n">
        <x:v>-0.56</x:v>
      </x:c>
      <x:c r="K7" s="15" t="str">
        <x:v>ret_1day_pct</x:v>
      </x:c>
      <x:c r="L7" s="15" t="str">
        <x:v>DOWN</x:v>
      </x:c>
      <x:c r="M7" s="15" t="str">
        <x:v>## Prior Context
Jim Hackett had recently replaced Mark Fields as CEO, adding strategic uncertainty to an already mature U.S. auto cycle. Investors wanted evidence that Ford could protect margins while the new management team reviewed the portfolio.
### Verified prior source
2017-04-27 | Ford Motor Company | Ford Motor Company First Quarter 2017 Financial Results | https://shareholder.ford.com/events/event-details/2017/Ford-Motor-Company-First-Quarter-2017-Financial-Results/default.aspx
## Current Earnings Release
Ford reported **$39.9 billion of revenue**, about **$2.0 billion of net income**, and adjusted EPS of **$0.56**, well above consensus near $0.43. F-Series demand and pricing remained strong, while Ford Credit also improved.
Yet adjusted pre-tax profit fell **16%** year over year, largely because of higher steel costs and unfavorable currency movements. Ford modestly raised EPS guidance, but management still expected **full-year pre-tax profit, automotive margins and cash flow to be lower than 2016**. The market therefore discounted the headline beat as partly tax-driven and focused on the weaker operating-profit trajectory.
### Verified release source
2017-07-26 | Ford Motor Company | Ford Motor Company Second Quarter 2017 Financial Results | https://shareholder.ford.com/events/event-details/2017/Ford-Motor-Company-Second-Quarter-2017-Financial-Results/default.aspx
## Possible Drivers
**First-order driver.** The stock fell despite an EPS beat because underlying pre-tax profit and margins were still declining.
**Second-order driver.** A lower tax rate boosted net income, making the headline EPS beat less informative about operations.
**Third-order driver.** Higher steel costs and FX remained persistent margin headwinds.
### Verified reaction source
2017-07-26 | The Motley Fool | Ford Gets No Love From Wall Street After Topping Q2 Estimates | https://www.fool.com/investing/2017/07/26/ford-gets-no-love-from-wall-street-after-topping-q.aspx
## Verification Status
Included sources were checked for Ford/F identity, the correct earnings event, publication date, timing window and source origin. **Reaction basis: ret_1day_pct**, selected from Ford's documented release timing for this event. No WSJ, Reuters, Dow Jones or MarketWatch-syndicated article is included.
</x:v>
      </x:c>
      <x:c r="N7" s="15" t="str">
        <x:v>2017-04-27 | Ford Motor Company | Ford Motor Company First Quarter 2017 Financial Results | https://shareholder.ford.com/events/event-details/2017/Ford-Motor-Company-First-Quarter-2017-Financial-Results/default.aspx</x:v>
      </x:c>
      <x:c r="O7" s="15" t="str">
        <x:v>2017-07-26 | Ford Motor Company | Ford Motor Company Second Quarter 2017 Financial Results | https://shareholder.ford.com/events/event-details/2017/Ford-Motor-Company-Second-Quarter-2017-Financial-Results/default.aspx</x:v>
      </x:c>
      <x:c r="P7" s="15" t="str">
        <x:v>2017-07-26 | The Motley Fool | Ford Gets No Love From Wall Street After Topping Q2 Estimates | https://www.fool.com/investing/2017/07/26/ford-gets-no-love-from-wall-street-after-topping-q.aspx</x:v>
      </x:c>
      <x:c r="Q7" s="15" t="str">
        <x:v>2017-04-27 | Ford Motor Company | Ford Motor Company First Quarter 2017 Financial Results | https://shareholder.ford.com/events/event-details/2017/Ford-Motor-Company-First-Quarter-2017-Financial-Results/default.aspx
2017-07-26 | Ford Motor Company | Ford Motor Company Second Quarter 2017 Financial Results | https://shareholder.ford.com/events/event-details/2017/Ford-Motor-Company-Second-Quarter-2017-Financial-Results/default.aspx
2017-07-26 | The Motley Fool | Ford Gets No Love From Wall Street After Topping Q2 Estimates | https://www.fool.com/investing/2017/07/26/ford-gets-no-love-from-wall-street-after-topping-q.aspx</x:v>
      </x:c>
      <x:c r="R7" s="15" t="n">
        <x:v>3</x:v>
      </x:c>
      <x:c r="S7" s="15" t="str">
        <x:v>PASS</x:v>
      </x:c>
    </x:row>
    <x:row r="8" ht="340" customHeight="1">
      <x:c r="A8" s="15" t="n">
        <x:v>6</x:v>
      </x:c>
      <x:c r="B8" s="15" t="str">
        <x:v>F</x:v>
      </x:c>
      <x:c r="C8" s="15" t="str">
        <x:v>Ford Motor Company</x:v>
      </x:c>
      <x:c r="D8" s="15" t="str">
        <x:v>2017q4</x:v>
      </x:c>
      <x:c r="E8" s="15" t="str">
        <x:v>2017-10-26</x:v>
      </x:c>
      <x:c r="F8" s="18" t="n">
        <x:v>1.76</x:v>
      </x:c>
      <x:c r="G8" s="18" t="n">
        <x:v>-2.47</x:v>
      </x:c>
      <x:c r="H8" s="18" t="n">
        <x:v>-0.75</x:v>
      </x:c>
      <x:c r="I8" s="18" t="n">
        <x:v>-1.44</x:v>
      </x:c>
      <x:c r="J8" s="18" t="n">
        <x:v>0.42</x:v>
      </x:c>
      <x:c r="K8" s="15" t="str">
        <x:v>ret_1day_pct</x:v>
      </x:c>
      <x:c r="L8" s="15" t="str">
        <x:v>UP</x:v>
      </x:c>
      <x:c r="M8" s="15" t="str">
        <x:v>## Prior Context
By Q3, Hackett had begun emphasizing cost cuts and portfolio redesign. The market wanted to see whether high-margin pickups could stabilize earnings while Ford worked on longer-term restructuring.
### Verified prior source
2017-07-26 | Ford Motor Company | Ford Motor Company Second Quarter 2017 Financial Results | https://shareholder.ford.com/events/event-details/2017/Ford-Motor-Company-Second-Quarter-2017-Financial-Results/default.aspx
## Current Earnings Release
Ford’s Q3 net income rose **63% to about $1.6 billion**, and adjusted EPS reached **$0.43**. Adjusted pre-tax profit increased roughly **43%**, while North American operating margin recovered strongly.
The improvement was driven by high-margin **F-Series pickup** sales and pricing, lower costs, better South America/Asia performance, and a favorable tax rate. Ford also raised its full-year adjusted EPS expectation. The quarter therefore represented a genuine operating rebound rather than an accounting-only beat.
### Verified release source
2017-10-26 | Ford Motor Company | Ford Motor Company Third Quarter 2017 Financial Results | https://shareholder.ford.com/events/event-details/2017/Ford-Motor-Company-Third-Quarter-2017-Financial-Results/default.aspx
## Possible Drivers
**First-order driver.** Shares rose because profit, margins and EPS improved sharply and Ford raised guidance.
**Second-order driver.** F-Series pricing and mix restored North American profitability.
**Third-order driver.** Cost reductions and better international performance broadened the rebound.
### Verified reaction source
2017-10-26 | The Motley Fool | Ford Motor Co.: Profits Up 63% on Strong Truck Sales | https://www.fool.com/investing/2017/10/26/ford-motor-co-profits-up-63-on-strong-truck-sales.aspx
## Verification Status
Included sources were checked for Ford/F identity, the correct earnings event, publication date, timing window and source origin. **Reaction basis: ret_1day_pct**, selected from Ford's documented release timing for this event. No WSJ, Reuters, Dow Jones or MarketWatch-syndicated article is included.
</x:v>
      </x:c>
      <x:c r="N8" s="15" t="str">
        <x:v>2017-07-26 | Ford Motor Company | Ford Motor Company Second Quarter 2017 Financial Results | https://shareholder.ford.com/events/event-details/2017/Ford-Motor-Company-Second-Quarter-2017-Financial-Results/default.aspx</x:v>
      </x:c>
      <x:c r="O8" s="15" t="str">
        <x:v>2017-10-26 | Ford Motor Company | Ford Motor Company Third Quarter 2017 Financial Results | https://shareholder.ford.com/events/event-details/2017/Ford-Motor-Company-Third-Quarter-2017-Financial-Results/default.aspx</x:v>
      </x:c>
      <x:c r="P8" s="15" t="str">
        <x:v>2017-10-26 | The Motley Fool | Ford Motor Co.: Profits Up 63% on Strong Truck Sales | https://www.fool.com/investing/2017/10/26/ford-motor-co-profits-up-63-on-strong-truck-sales.aspx</x:v>
      </x:c>
      <x:c r="Q8" s="15" t="str">
        <x:v>2017-07-26 | Ford Motor Company | Ford Motor Company Second Quarter 2017 Financial Results | https://shareholder.ford.com/events/event-details/2017/Ford-Motor-Company-Second-Quarter-2017-Financial-Results/default.aspx
2017-10-26 | Ford Motor Company | Ford Motor Company Third Quarter 2017 Financial Results | https://shareholder.ford.com/events/event-details/2017/Ford-Motor-Company-Third-Quarter-2017-Financial-Results/default.aspx
2017-10-26 | The Motley Fool | Ford Motor Co.: Profits Up 63% on Strong Truck Sales | https://www.fool.com/investing/2017/10/26/ford-motor-co-profits-up-63-on-strong-truck-sales.aspx</x:v>
      </x:c>
      <x:c r="R8" s="15" t="n">
        <x:v>3</x:v>
      </x:c>
      <x:c r="S8" s="15" t="str">
        <x:v>PASS</x:v>
      </x:c>
    </x:row>
    <x:row r="9" ht="340" customHeight="1">
      <x:c r="A9" s="15" t="n">
        <x:v>7</x:v>
      </x:c>
      <x:c r="B9" s="15" t="str">
        <x:v>F</x:v>
      </x:c>
      <x:c r="C9" s="15" t="str">
        <x:v>Ford Motor Company</x:v>
      </x:c>
      <x:c r="D9" s="15" t="str">
        <x:v>2018q1</x:v>
      </x:c>
      <x:c r="E9" s="15" t="str">
        <x:v>2018-01-24</x:v>
      </x:c>
      <x:c r="F9" s="18" t="n">
        <x:v>0.84</x:v>
      </x:c>
      <x:c r="G9" s="18" t="n">
        <x:v>-3.99</x:v>
      </x:c>
      <x:c r="H9" s="18" t="n">
        <x:v>-3.18</x:v>
      </x:c>
      <x:c r="I9" s="18" t="n">
        <x:v>-3.92</x:v>
      </x:c>
      <x:c r="J9" s="18" t="n">
        <x:v>-5.61</x:v>
      </x:c>
      <x:c r="K9" s="15" t="str">
        <x:v>ret_1daypost_pct</x:v>
      </x:c>
      <x:c r="L9" s="15" t="str">
        <x:v>DOWN</x:v>
      </x:c>
      <x:c r="M9" s="15" t="str">
        <x:v>## Prior Context
Ford had already previewed disappointing 2017 results and weaker 2018 guidance at a Jan. 16 analyst conference, causing a large pre-earnings selloff. The formal report therefore tested whether management could provide enough detail to restore confidence.
### Verified prior source
2017-10-26 | Ford Motor Company | Ford Motor Company Third Quarter 2017 Financial Results | https://shareholder.ford.com/events/event-details/2017/Ford-Motor-Company-Third-Quarter-2017-Financial-Results/default.aspx
## Current Earnings Release
Q4 revenue increased nearly **7% to $41.3 billion**, but adjusted pre-tax profit fell **19% to $1.7 billion**. Adjusted EPS was **$0.39**. Strong F-Series sales and Ford Credit were offset by higher steel/aluminum costs, unfavorable exchange rates and lower China profitability.
Management reiterated 2018 adjusted EPS guidance of roughly **$1.45–$1.70**, below 2017’s $1.78, and expected lower operating cash flow. The key message was that rising commodities, FX pressure and increased autonomous/mobility spending would keep margins under pressure even if revenue held up.
### Verified release source
2018-01-24 | Ford Motor Company | Ford Motor Company Reports Fourth Quarter and Full Year 2017 Results | https://shareholder.ford.com/events/event-details/2018/Ford-Motor-Company-Reports-Fourth-Quarter-and-Full-Year-2017-Results-Revenue-Up-Net-Income-Higher-Adjusted-Pre-Tax-Profit-Lower/default.aspx
## Possible Drivers
**First-order driver.** The next-day decline reflected confirmation of a weaker 2018 profit outlook and continued margin pressure.
**Second-order driver.** Higher steel/aluminum costs were directly eroding North American earnings.
**Third-order driver.** China weakness and future-tech spending made the profit problem broader than a single commodity cycle.
### Verified reaction source
2018-01-25 | The Motley Fool | Why Ford Expects Lower Profits in 2018 | https://www.fool.com/investing/2018/01/25/why-ford-expects-lower-profits-in-2018.aspx
## Verification Status
Included sources were checked for Ford/F identity, the correct earnings event, publication date, timing window and source origin. **Reaction basis: ret_1daypost_pct**, selected from Ford's documented release timing for this event. No WSJ, Reuters, Dow Jones or MarketWatch-syndicated article is included.
</x:v>
      </x:c>
      <x:c r="N9" s="15" t="str">
        <x:v>2017-10-26 | Ford Motor Company | Ford Motor Company Third Quarter 2017 Financial Results | https://shareholder.ford.com/events/event-details/2017/Ford-Motor-Company-Third-Quarter-2017-Financial-Results/default.aspx</x:v>
      </x:c>
      <x:c r="O9" s="15" t="str">
        <x:v>2018-01-24 | Ford Motor Company | Ford Motor Company Reports Fourth Quarter and Full Year 2017 Results | https://shareholder.ford.com/events/event-details/2018/Ford-Motor-Company-Reports-Fourth-Quarter-and-Full-Year-2017-Results-Revenue-Up-Net-Income-Higher-Adjusted-Pre-Tax-Profit-Lower/default.aspx</x:v>
      </x:c>
      <x:c r="P9" s="15" t="str">
        <x:v>2018-01-25 | The Motley Fool | Why Ford Expects Lower Profits in 2018 | https://www.fool.com/investing/2018/01/25/why-ford-expects-lower-profits-in-2018.aspx</x:v>
      </x:c>
      <x:c r="Q9" s="15" t="str">
        <x:v>2017-10-26 | Ford Motor Company | Ford Motor Company Third Quarter 2017 Financial Results | https://shareholder.ford.com/events/event-details/2017/Ford-Motor-Company-Third-Quarter-2017-Financial-Results/default.aspx
2018-01-24 | Ford Motor Company | Ford Motor Company Reports Fourth Quarter and Full Year 2017 Results | https://shareholder.ford.com/events/event-details/2018/Ford-Motor-Company-Reports-Fourth-Quarter-and-Full-Year-2017-Results-Revenue-Up-Net-Income-Higher-Adjusted-Pre-Tax-Profit-Lower/default.aspx
2018-01-25 | The Motley Fool | Why Ford Expects Lower Profits in 2018 | https://www.fool.com/investing/2018/01/25/why-ford-expects-lower-profits-in-2018.aspx</x:v>
      </x:c>
      <x:c r="R9" s="15" t="n">
        <x:v>3</x:v>
      </x:c>
      <x:c r="S9" s="15" t="str">
        <x:v>PASS</x:v>
      </x:c>
    </x:row>
    <x:row r="10" ht="340" customHeight="1">
      <x:c r="A10" s="15" t="n">
        <x:v>8</x:v>
      </x:c>
      <x:c r="B10" s="15" t="str">
        <x:v>F</x:v>
      </x:c>
      <x:c r="C10" s="15" t="str">
        <x:v>Ford Motor Company</x:v>
      </x:c>
      <x:c r="D10" s="15" t="str">
        <x:v>2018q2</x:v>
      </x:c>
      <x:c r="E10" s="15" t="str">
        <x:v>2018-04-25</x:v>
      </x:c>
      <x:c r="F10" s="18" t="n">
        <x:v>1.29</x:v>
      </x:c>
      <x:c r="G10" s="18" t="n">
        <x:v>1.98</x:v>
      </x:c>
      <x:c r="H10" s="18" t="n">
        <x:v>3.3</x:v>
      </x:c>
      <x:c r="I10" s="18" t="n">
        <x:v>3.72</x:v>
      </x:c>
      <x:c r="J10" s="18" t="n">
        <x:v>2.68</x:v>
      </x:c>
      <x:c r="K10" s="15" t="str">
        <x:v>ret_1daypost_pct</x:v>
      </x:c>
      <x:c r="L10" s="15" t="str">
        <x:v>UP</x:v>
      </x:c>
      <x:c r="M10" s="15" t="str">
        <x:v>## Prior Context
Ford entered Q1 under pressure to show a credible turnaround plan. Investors were less focused on unit growth than on whether Jim Hackett could improve capital allocation and exit structurally low-return businesses.
### Verified prior source
2018-01-24 | Ford Motor Company | Ford Motor Company Reports Fourth Quarter and Full Year 2017 Results | https://shareholder.ford.com/events/event-details/2018/Ford-Motor-Company-Reports-Fourth-Quarter-and-Full-Year-2017-Results-Revenue-Up-Net-Income-Higher-Adjusted-Pre-Tax-Profit-Lower/default.aspx
## Current Earnings Release
Ford reported **$42.0 billion of revenue**, up 7%, and adjusted EPS of **$0.43**, above consensus near $0.41. Net income was about **$1.7 billion**. Adjusted EBIT declined because of commodity costs and adverse FX, but the current quarter still beat the market’s earnings and revenue expectations.
The strategic announcements were more important than the small EPS beat. Ford identified another **$11.5 billion of cost and efficiency opportunities**, targeted an **8% adjusted EBIT margin by 2020**, reduced planned capital spending, and said it would stop investing in next generations of most traditional North American sedans. The market interpreted this as a more concrete capital-allocation reset.
### Verified release source
2018-04-25 | SEC / Ford Motor Company | Ford 2018 First Quarter Financial Results | https://www.sec.gov/Archives/edgar/data/37996/000003799618000033/exhibit991pressreleasefo.htm
## Possible Drivers
**First-order driver.** Shares rose because Ford beat earnings/revenue expectations and presented a more aggressive cost-and-margin plan.
**Second-order driver.** Exiting low-return sedans signaled a shift toward higher-margin trucks, SUVs and commercial vehicles.
**Third-order driver.** Commodity and FX pressures remained real, but management gave investors a clearer offsetting plan.
### Verified reaction source
2018-04-25 | Zacks / Investing.com | Ford Shares Rise On Earnings Beat, Cuts To Capital Spending | https://www.investing.com/analysis/ford-shares-rise-on-earnings-beat-cuts-to-capital-spending-200309173
## Verification Status
Included sources were checked for Ford/F identity, the correct earnings event, publication date, timing window and source origin. **Reaction basis: ret_1daypost_pct**, selected from Ford's documented release timing for this event. No WSJ, Reuters, Dow Jones or MarketWatch-syndicated article is included.
</x:v>
      </x:c>
      <x:c r="N10" s="15" t="str">
        <x:v>2018-01-24 | Ford Motor Company | Ford Motor Company Reports Fourth Quarter and Full Year 2017 Results | https://shareholder.ford.com/events/event-details/2018/Ford-Motor-Company-Reports-Fourth-Quarter-and-Full-Year-2017-Results-Revenue-Up-Net-Income-Higher-Adjusted-Pre-Tax-Profit-Lower/default.aspx</x:v>
      </x:c>
      <x:c r="O10" s="15" t="str">
        <x:v>2018-04-25 | SEC / Ford Motor Company | Ford 2018 First Quarter Financial Results | https://www.sec.gov/Archives/edgar/data/37996/000003799618000033/exhibit991pressreleasefo.htm</x:v>
      </x:c>
      <x:c r="P10" s="15" t="str">
        <x:v>2018-04-25 | Zacks / Investing.com | Ford Shares Rise On Earnings Beat, Cuts To Capital Spending | https://www.investing.com/analysis/ford-shares-rise-on-earnings-beat-cuts-to-capital-spending-200309173</x:v>
      </x:c>
      <x:c r="Q10" s="15" t="str">
        <x:v>2018-01-24 | Ford Motor Company | Ford Motor Company Reports Fourth Quarter and Full Year 2017 Results | https://shareholder.ford.com/events/event-details/2018/Ford-Motor-Company-Reports-Fourth-Quarter-and-Full-Year-2017-Results-Revenue-Up-Net-Income-Higher-Adjusted-Pre-Tax-Profit-Lower/default.aspx
2018-04-25 | SEC / Ford Motor Company | Ford 2018 First Quarter Financial Results | https://www.sec.gov/Archives/edgar/data/37996/000003799618000033/exhibit991pressreleasefo.htm
2018-04-25 | Zacks / Investing.com | Ford Shares Rise On Earnings Beat, Cuts To Capital Spending | https://www.investing.com/analysis/ford-shares-rise-on-earnings-beat-cuts-to-capital-spending-200309173</x:v>
      </x:c>
      <x:c r="R10" s="15" t="n">
        <x:v>3</x:v>
      </x:c>
      <x:c r="S10" s="15" t="str">
        <x:v>PASS</x:v>
      </x:c>
    </x:row>
    <x:row r="11" ht="340" customHeight="1">
      <x:c r="A11" s="15" t="n">
        <x:v>9</x:v>
      </x:c>
      <x:c r="B11" s="15" t="str">
        <x:v>F</x:v>
      </x:c>
      <x:c r="C11" s="15" t="str">
        <x:v>Ford Motor Company</x:v>
      </x:c>
      <x:c r="D11" s="15" t="str">
        <x:v>2018q3</x:v>
      </x:c>
      <x:c r="E11" s="15" t="str">
        <x:v>2018-07-25</x:v>
      </x:c>
      <x:c r="F11" s="18" t="n">
        <x:v>-1.3</x:v>
      </x:c>
      <x:c r="G11" s="18" t="n">
        <x:v>-5.83</x:v>
      </x:c>
      <x:c r="H11" s="18" t="n">
        <x:v>-7.06</x:v>
      </x:c>
      <x:c r="I11" s="18" t="n">
        <x:v>-6.35</x:v>
      </x:c>
      <x:c r="J11" s="18" t="n">
        <x:v>-3.39</x:v>
      </x:c>
      <x:c r="K11" s="15" t="str">
        <x:v>ret_1daypost_pct</x:v>
      </x:c>
      <x:c r="L11" s="15" t="str">
        <x:v>DOWN</x:v>
      </x:c>
      <x:c r="M11" s="15" t="str">
        <x:v>## Prior Context
After April’s strategic reset, investors expected more detail on Ford’s global redesign. The formal Q2 report therefore had to deliver both acceptable earnings and evidence that Europe and China were stabilizing.
### Verified prior source
2018-04-25 | SEC / Ford Motor Company | Ford 2018 First Quarter Financial Results | https://www.sec.gov/Archives/edgar/data/37996/000003799618000033/exhibit991pressreleasefo.htm
## Current Earnings Release
Ford reported **$38.9 billion of revenue**, **$1.1 billion of net income**, and adjusted EPS of **$0.27**. Adjusted EBIT fell sharply to **$1.7 billion**. North America remained profitable, with strong F-Series demand, but performance outside North America deteriorated.
The decisive negatives were **Asia Pacific/China and Europe**. Ford lowered full-year adjusted EPS guidance to **$1.30–$1.50**, said Asia Pacific would post a significant loss, expected a full-year loss in Europe, and postponed its planned September investor meeting because the global redesign was not ready to be presented in detail. Those developments amplified concerns about execution under the new leadership team.
### Verified release source
2018-07-25 | SEC / Ford Motor Company | Ford 2018 Second Quarter Financial Results | https://www.sec.gov/Archives/edgar/data/37996/000003799618000061/exhibit991pressreleasefo.htm
## Possible Drivers
**First-order driver.** Shares fell nearly 6% because Ford missed earnings, cut full-year guidance and disclosed much deeper China/Europe weakness.
**Second-order driver.** Strong North American pickups could no longer offset losses across the rest of the automotive portfolio.
**Third-order driver.** Postponing the investor meeting increased concern that the restructuring plan lacked near-term clarity.
### Verified reaction source
2018-07-26 | The Motley Fool | Why Shares of Ford Motor Company Are Down Over 5% Today | https://www.fool.com/investing/2018/07/26/why-shares-of-ford-motor-company-are-down-over-5-t.aspx
## Verification Status
Included sources were checked for Ford/F identity, the correct earnings event, publication date, timing window and source origin. **Reaction basis: ret_1daypost_pct**, selected from Ford's documented release timing for this event. No WSJ, Reuters, Dow Jones or MarketWatch-syndicated article is included.
</x:v>
      </x:c>
      <x:c r="N11" s="15" t="str">
        <x:v>2018-04-25 | SEC / Ford Motor Company | Ford 2018 First Quarter Financial Results | https://www.sec.gov/Archives/edgar/data/37996/000003799618000033/exhibit991pressreleasefo.htm</x:v>
      </x:c>
      <x:c r="O11" s="15" t="str">
        <x:v>2018-07-25 | SEC / Ford Motor Company | Ford 2018 Second Quarter Financial Results | https://www.sec.gov/Archives/edgar/data/37996/000003799618000061/exhibit991pressreleasefo.htm</x:v>
      </x:c>
      <x:c r="P11" s="15" t="str">
        <x:v>2018-07-26 | The Motley Fool | Why Shares of Ford Motor Company Are Down Over 5% Today | https://www.fool.com/investing/2018/07/26/why-shares-of-ford-motor-company-are-down-over-5-t.aspx</x:v>
      </x:c>
      <x:c r="Q11" s="15" t="str">
        <x:v>2018-04-25 | SEC / Ford Motor Company | Ford 2018 First Quarter Financial Results | https://www.sec.gov/Archives/edgar/data/37996/000003799618000033/exhibit991pressreleasefo.htm
2018-07-25 | SEC / Ford Motor Company | Ford 2018 Second Quarter Financial Results | https://www.sec.gov/Archives/edgar/data/37996/000003799618000061/exhibit991pressreleasefo.htm
2018-07-26 | The Motley Fool | Why Shares of Ford Motor Company Are Down Over 5% Today | https://www.fool.com/investing/2018/07/26/why-shares-of-ford-motor-company-are-down-over-5-t.aspx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5" hidden="0" customWidth="1"/>
    <x:col min="7" max="7" width="64" hidden="0" customWidth="1"/>
    <x:col min="8" max="8" width="94" hidden="0" customWidth="1"/>
    <x:col min="9" max="9" width="18"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6"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2016-04-28</x:v>
      </x:c>
      <x:c r="B2" s="12" t="str">
        <x:v>F</x:v>
      </x:c>
      <x:c r="C2" s="12" t="str">
        <x:v>prior</x:v>
      </x:c>
      <x:c r="D2" s="12" t="str">
        <x:v>2016-01-28</x:v>
      </x:c>
      <x:c r="E2" s="12" t="n">
        <x:v>-91</x:v>
      </x:c>
      <x:c r="F2" s="12" t="str">
        <x:v>Ford Motor Company</x:v>
      </x:c>
      <x:c r="G2" s="12" t="str">
        <x:v>Ford Motor Company 2015 Fourth Quarter and Full-Year Results</x:v>
      </x:c>
      <x:c r="H2" s="12" t="str">
        <x:v>https://www.shareholder.ford.com/events/event-details/2016/Ford-Motor-Company-2015-Fourth-Quarter-and-Full-Year-Results/default.aspx</x:v>
      </x:c>
      <x:c r="I2" s="12" t="str">
        <x:v>OPENED/VERIFIED</x:v>
      </x:c>
      <x:c r="J2" s="12" t="str">
        <x:v>PASS</x:v>
      </x:c>
      <x:c r="K2" s="12" t="str">
        <x:v>PASS</x:v>
      </x:c>
      <x:c r="L2" s="12" t="str">
        <x:v>PASS</x:v>
      </x:c>
      <x:c r="M2" s="12" t="str">
        <x:v>NO</x:v>
      </x:c>
      <x:c r="N2" s="12" t="str">
        <x:v>PASS</x:v>
      </x:c>
      <x:c r="O2" s="12" t="str">
        <x:v>FACTUAL</x:v>
      </x:c>
      <x:c r="P2" s="12" t="str">
        <x:v>PASS</x:v>
      </x:c>
      <x:c r="Q2" s="12" t="str">
        <x:v>Checked for Ford/F identity, exact event, displayed publication date, timing window and prohibited-source origin.</x:v>
      </x:c>
    </x:row>
    <x:row r="3">
      <x:c r="A3" s="12" t="str">
        <x:v>2016-04-28</x:v>
      </x:c>
      <x:c r="B3" s="12" t="str">
        <x:v>F</x:v>
      </x:c>
      <x:c r="C3" s="12" t="str">
        <x:v>release</x:v>
      </x:c>
      <x:c r="D3" s="12" t="str">
        <x:v>2016-04-28</x:v>
      </x:c>
      <x:c r="E3" s="12" t="n">
        <x:v>0</x:v>
      </x:c>
      <x:c r="F3" s="12" t="str">
        <x:v>Ford Motor Company</x:v>
      </x:c>
      <x:c r="G3" s="12" t="str">
        <x:v>Ford Delivers Best Quarter Ever with First Quarter Pre-Tax Profit of $3.8B; Net Income of $2.5B</x:v>
      </x:c>
      <x:c r="H3" s="12" t="str">
        <x:v>https://media.ford.com/content/fordmedia/feu/at/en/news/2016/04/28/1q16-financials.html</x:v>
      </x:c>
      <x:c r="I3" s="12" t="str">
        <x:v>OPENED/VERIFIED</x:v>
      </x:c>
      <x:c r="J3" s="12" t="str">
        <x:v>PASS</x:v>
      </x:c>
      <x:c r="K3" s="12" t="str">
        <x:v>PASS</x:v>
      </x:c>
      <x:c r="L3" s="12" t="str">
        <x:v>PASS</x:v>
      </x:c>
      <x:c r="M3" s="12" t="str">
        <x:v>NO</x:v>
      </x:c>
      <x:c r="N3" s="12" t="str">
        <x:v>PASS</x:v>
      </x:c>
      <x:c r="O3" s="12" t="str">
        <x:v>FACTUAL</x:v>
      </x:c>
      <x:c r="P3" s="12" t="str">
        <x:v>PASS</x:v>
      </x:c>
      <x:c r="Q3" s="12" t="str">
        <x:v>Checked for Ford/F identity, exact event, displayed publication date, timing window and prohibited-source origin.</x:v>
      </x:c>
    </x:row>
    <x:row r="4">
      <x:c r="A4" s="12" t="str">
        <x:v>2016-04-28</x:v>
      </x:c>
      <x:c r="B4" s="12" t="str">
        <x:v>F</x:v>
      </x:c>
      <x:c r="C4" s="12" t="str">
        <x:v>reaction</x:v>
      </x:c>
      <x:c r="D4" s="12" t="str">
        <x:v>2016-04-28</x:v>
      </x:c>
      <x:c r="E4" s="12" t="n">
        <x:v>0</x:v>
      </x:c>
      <x:c r="F4" s="12" t="str">
        <x:v>The Motley Fool</x:v>
      </x:c>
      <x:c r="G4" s="12" t="str">
        <x:v>Ford Profits Soar on Truck Sales and Big Gains in Europe</x:v>
      </x:c>
      <x:c r="H4" s="12" t="str">
        <x:v>https://www.fool.com/investing/general/2016/04/28/ford-profits-soar-on-big-gains-in-europe.aspx</x:v>
      </x:c>
      <x:c r="I4" s="12" t="str">
        <x:v>OPENED/VERIFIED</x:v>
      </x:c>
      <x:c r="J4" s="12" t="str">
        <x:v>PASS</x:v>
      </x:c>
      <x:c r="K4" s="12" t="str">
        <x:v>PASS</x:v>
      </x:c>
      <x:c r="L4" s="12" t="str">
        <x:v>PASS</x:v>
      </x:c>
      <x:c r="M4" s="12" t="str">
        <x:v>NO</x:v>
      </x:c>
      <x:c r="N4" s="12" t="str">
        <x:v>PASS</x:v>
      </x:c>
      <x:c r="O4" s="12" t="str">
        <x:v>CONTEMPORANEOUS_ATTRIBUTION</x:v>
      </x:c>
      <x:c r="P4" s="12" t="str">
        <x:v>PASS</x:v>
      </x:c>
      <x:c r="Q4" s="12" t="str">
        <x:v>Checked for Ford/F identity, exact event, displayed publication date, timing window and prohibited-source origin.</x:v>
      </x:c>
    </x:row>
    <x:row r="5">
      <x:c r="A5" s="12" t="str">
        <x:v>2016-07-28</x:v>
      </x:c>
      <x:c r="B5" s="12" t="str">
        <x:v>F</x:v>
      </x:c>
      <x:c r="C5" s="12" t="str">
        <x:v>prior</x:v>
      </x:c>
      <x:c r="D5" s="12" t="str">
        <x:v>2016-04-28</x:v>
      </x:c>
      <x:c r="E5" s="12" t="n">
        <x:v>-91</x:v>
      </x:c>
      <x:c r="F5" s="12" t="str">
        <x:v>Ford Motor Company</x:v>
      </x:c>
      <x:c r="G5" s="12" t="str">
        <x:v>Ford Delivers Best Quarter Ever with First Quarter Pre-Tax Profit of $3.8B; Net Income of $2.5B</x:v>
      </x:c>
      <x:c r="H5" s="12" t="str">
        <x:v>https://media.ford.com/content/fordmedia/feu/at/en/news/2016/04/28/1q16-financials.html</x:v>
      </x:c>
      <x:c r="I5" s="12" t="str">
        <x:v>OPENED/VERIFIED</x:v>
      </x:c>
      <x:c r="J5" s="12" t="str">
        <x:v>PASS</x:v>
      </x:c>
      <x:c r="K5" s="12" t="str">
        <x:v>PASS</x:v>
      </x:c>
      <x:c r="L5" s="12" t="str">
        <x:v>PASS</x:v>
      </x:c>
      <x:c r="M5" s="12" t="str">
        <x:v>NO</x:v>
      </x:c>
      <x:c r="N5" s="12" t="str">
        <x:v>PASS</x:v>
      </x:c>
      <x:c r="O5" s="12" t="str">
        <x:v>FACTUAL</x:v>
      </x:c>
      <x:c r="P5" s="12" t="str">
        <x:v>PASS</x:v>
      </x:c>
      <x:c r="Q5" s="12" t="str">
        <x:v>Checked for Ford/F identity, exact event, displayed publication date, timing window and prohibited-source origin.</x:v>
      </x:c>
    </x:row>
    <x:row r="6">
      <x:c r="A6" s="12" t="str">
        <x:v>2016-07-28</x:v>
      </x:c>
      <x:c r="B6" s="12" t="str">
        <x:v>F</x:v>
      </x:c>
      <x:c r="C6" s="12" t="str">
        <x:v>release</x:v>
      </x:c>
      <x:c r="D6" s="12" t="str">
        <x:v>2016-07-28</x:v>
      </x:c>
      <x:c r="E6" s="12" t="n">
        <x:v>0</x:v>
      </x:c>
      <x:c r="F6" s="12" t="str">
        <x:v>Ford Motor Company</x:v>
      </x:c>
      <x:c r="G6" s="12" t="str">
        <x:v>Ford Delivers Second Quarter $2.0B Net Income; $3.0B Adjusted Pre-Tax Profit</x:v>
      </x:c>
      <x:c r="H6" s="12" t="str">
        <x:v>https://media.ford.com/content/fordmedia/feu/en/news/2016/07/28/2q16-financials.html</x:v>
      </x:c>
      <x:c r="I6" s="12" t="str">
        <x:v>OPENED/VERIFIED</x:v>
      </x:c>
      <x:c r="J6" s="12" t="str">
        <x:v>PASS</x:v>
      </x:c>
      <x:c r="K6" s="12" t="str">
        <x:v>PASS</x:v>
      </x:c>
      <x:c r="L6" s="12" t="str">
        <x:v>PASS</x:v>
      </x:c>
      <x:c r="M6" s="12" t="str">
        <x:v>NO</x:v>
      </x:c>
      <x:c r="N6" s="12" t="str">
        <x:v>PASS</x:v>
      </x:c>
      <x:c r="O6" s="12" t="str">
        <x:v>FACTUAL</x:v>
      </x:c>
      <x:c r="P6" s="12" t="str">
        <x:v>PASS</x:v>
      </x:c>
      <x:c r="Q6" s="12" t="str">
        <x:v>Checked for Ford/F identity, exact event, displayed publication date, timing window and prohibited-source origin.</x:v>
      </x:c>
    </x:row>
    <x:row r="7">
      <x:c r="A7" s="12" t="str">
        <x:v>2016-07-28</x:v>
      </x:c>
      <x:c r="B7" s="12" t="str">
        <x:v>F</x:v>
      </x:c>
      <x:c r="C7" s="12" t="str">
        <x:v>reaction</x:v>
      </x:c>
      <x:c r="D7" s="12" t="str">
        <x:v>2016-07-28</x:v>
      </x:c>
      <x:c r="E7" s="12" t="n">
        <x:v>0</x:v>
      </x:c>
      <x:c r="F7" s="12" t="str">
        <x:v>The Motley Fool</x:v>
      </x:c>
      <x:c r="G7" s="12" t="str">
        <x:v>Why Shares of Ford Motor Company Dropped More Than 8% Today</x:v>
      </x:c>
      <x:c r="H7" s="12" t="str">
        <x:v>https://www.fool.com/investing/2016/07/28/why-shares-of-ford-motor-company-dropped-more-than.aspx</x:v>
      </x:c>
      <x:c r="I7" s="12" t="str">
        <x:v>OPENED/VERIFIED</x:v>
      </x:c>
      <x:c r="J7" s="12" t="str">
        <x:v>PASS</x:v>
      </x:c>
      <x:c r="K7" s="12" t="str">
        <x:v>PASS</x:v>
      </x:c>
      <x:c r="L7" s="12" t="str">
        <x:v>PASS</x:v>
      </x:c>
      <x:c r="M7" s="12" t="str">
        <x:v>NO</x:v>
      </x:c>
      <x:c r="N7" s="12" t="str">
        <x:v>PASS</x:v>
      </x:c>
      <x:c r="O7" s="12" t="str">
        <x:v>CONTEMPORANEOUS_ATTRIBUTION</x:v>
      </x:c>
      <x:c r="P7" s="12" t="str">
        <x:v>PASS</x:v>
      </x:c>
      <x:c r="Q7" s="12" t="str">
        <x:v>Checked for Ford/F identity, exact event, displayed publication date, timing window and prohibited-source origin.</x:v>
      </x:c>
    </x:row>
    <x:row r="8">
      <x:c r="A8" s="12" t="str">
        <x:v>2016-10-27</x:v>
      </x:c>
      <x:c r="B8" s="12" t="str">
        <x:v>F</x:v>
      </x:c>
      <x:c r="C8" s="12" t="str">
        <x:v>prior</x:v>
      </x:c>
      <x:c r="D8" s="12" t="str">
        <x:v>2016-07-28</x:v>
      </x:c>
      <x:c r="E8" s="12" t="n">
        <x:v>-91</x:v>
      </x:c>
      <x:c r="F8" s="12" t="str">
        <x:v>Ford Motor Company</x:v>
      </x:c>
      <x:c r="G8" s="12" t="str">
        <x:v>Ford Delivers Second Quarter $2.0B Net Income; $3.0B Adjusted Pre-Tax Profit</x:v>
      </x:c>
      <x:c r="H8" s="12" t="str">
        <x:v>https://media.ford.com/content/fordmedia/feu/en/news/2016/07/28/2q16-financials.html</x:v>
      </x:c>
      <x:c r="I8" s="12" t="str">
        <x:v>OPENED/VERIFIED</x:v>
      </x:c>
      <x:c r="J8" s="12" t="str">
        <x:v>PASS</x:v>
      </x:c>
      <x:c r="K8" s="12" t="str">
        <x:v>PASS</x:v>
      </x:c>
      <x:c r="L8" s="12" t="str">
        <x:v>PASS</x:v>
      </x:c>
      <x:c r="M8" s="12" t="str">
        <x:v>NO</x:v>
      </x:c>
      <x:c r="N8" s="12" t="str">
        <x:v>PASS</x:v>
      </x:c>
      <x:c r="O8" s="12" t="str">
        <x:v>FACTUAL</x:v>
      </x:c>
      <x:c r="P8" s="12" t="str">
        <x:v>PASS</x:v>
      </x:c>
      <x:c r="Q8" s="12" t="str">
        <x:v>Checked for Ford/F identity, exact event, displayed publication date, timing window and prohibited-source origin.</x:v>
      </x:c>
    </x:row>
    <x:row r="9">
      <x:c r="A9" s="12" t="str">
        <x:v>2016-10-27</x:v>
      </x:c>
      <x:c r="B9" s="12" t="str">
        <x:v>F</x:v>
      </x:c>
      <x:c r="C9" s="12" t="str">
        <x:v>release</x:v>
      </x:c>
      <x:c r="D9" s="12" t="str">
        <x:v>2016-10-27</x:v>
      </x:c>
      <x:c r="E9" s="12" t="n">
        <x:v>0</x:v>
      </x:c>
      <x:c r="F9" s="12" t="str">
        <x:v>Ford Motor Company</x:v>
      </x:c>
      <x:c r="G9" s="12" t="str">
        <x:v>Ford Motor Company Third Quarter 2016 Financial Results</x:v>
      </x:c>
      <x:c r="H9" s="12" t="str">
        <x:v>https://www.shareholder.ford.com/events/event-details/2016/Ford-Motor-Company-Third-Quarter-2016-Financial-Results/default.aspx</x:v>
      </x:c>
      <x:c r="I9" s="12" t="str">
        <x:v>OPENED/VERIFIED</x:v>
      </x:c>
      <x:c r="J9" s="12" t="str">
        <x:v>PASS</x:v>
      </x:c>
      <x:c r="K9" s="12" t="str">
        <x:v>PASS</x:v>
      </x:c>
      <x:c r="L9" s="12" t="str">
        <x:v>PASS</x:v>
      </x:c>
      <x:c r="M9" s="12" t="str">
        <x:v>NO</x:v>
      </x:c>
      <x:c r="N9" s="12" t="str">
        <x:v>PASS</x:v>
      </x:c>
      <x:c r="O9" s="12" t="str">
        <x:v>FACTUAL</x:v>
      </x:c>
      <x:c r="P9" s="12" t="str">
        <x:v>PASS</x:v>
      </x:c>
      <x:c r="Q9" s="12" t="str">
        <x:v>Checked for Ford/F identity, exact event, displayed publication date, timing window and prohibited-source origin.</x:v>
      </x:c>
    </x:row>
    <x:row r="10">
      <x:c r="A10" s="12" t="str">
        <x:v>2016-10-27</x:v>
      </x:c>
      <x:c r="B10" s="12" t="str">
        <x:v>F</x:v>
      </x:c>
      <x:c r="C10" s="12" t="str">
        <x:v>reaction</x:v>
      </x:c>
      <x:c r="D10" s="12" t="str">
        <x:v>2016-10-27</x:v>
      </x:c>
      <x:c r="E10" s="12" t="n">
        <x:v>0</x:v>
      </x:c>
      <x:c r="F10" s="12" t="str">
        <x:v>The Motley Fool</x:v>
      </x:c>
      <x:c r="G10" s="12" t="str">
        <x:v>Ford Motor Company's Profit Dropped Over 50%: Time to Worry?</x:v>
      </x:c>
      <x:c r="H10" s="12" t="str">
        <x:v>https://www.fool.com/investing/2016/10/27/ford-motor-companys-profit-dropped-over-50-time-to.aspx</x:v>
      </x:c>
      <x:c r="I10" s="12" t="str">
        <x:v>OPENED/VERIFIED</x:v>
      </x:c>
      <x:c r="J10" s="12" t="str">
        <x:v>PASS</x:v>
      </x:c>
      <x:c r="K10" s="12" t="str">
        <x:v>PASS</x:v>
      </x:c>
      <x:c r="L10" s="12" t="str">
        <x:v>PASS</x:v>
      </x:c>
      <x:c r="M10" s="12" t="str">
        <x:v>NO</x:v>
      </x:c>
      <x:c r="N10" s="12" t="str">
        <x:v>PASS</x:v>
      </x:c>
      <x:c r="O10" s="12" t="str">
        <x:v>CONTEMPORANEOUS_ATTRIBUTION</x:v>
      </x:c>
      <x:c r="P10" s="12" t="str">
        <x:v>PASS</x:v>
      </x:c>
      <x:c r="Q10" s="12" t="str">
        <x:v>Checked for Ford/F identity, exact event, displayed publication date, timing window and prohibited-source origin.</x:v>
      </x:c>
    </x:row>
    <x:row r="11">
      <x:c r="A11" s="12" t="str">
        <x:v>2017-01-26</x:v>
      </x:c>
      <x:c r="B11" s="12" t="str">
        <x:v>F</x:v>
      </x:c>
      <x:c r="C11" s="12" t="str">
        <x:v>prior</x:v>
      </x:c>
      <x:c r="D11" s="12" t="str">
        <x:v>2016-10-27</x:v>
      </x:c>
      <x:c r="E11" s="12" t="n">
        <x:v>-91</x:v>
      </x:c>
      <x:c r="F11" s="12" t="str">
        <x:v>Ford Motor Company</x:v>
      </x:c>
      <x:c r="G11" s="12" t="str">
        <x:v>Ford Motor Company Third Quarter 2016 Financial Results</x:v>
      </x:c>
      <x:c r="H11" s="12" t="str">
        <x:v>https://www.shareholder.ford.com/events/event-details/2016/Ford-Motor-Company-Third-Quarter-2016-Financial-Results/default.aspx</x:v>
      </x:c>
      <x:c r="I11" s="12" t="str">
        <x:v>OPENED/VERIFIED</x:v>
      </x:c>
      <x:c r="J11" s="12" t="str">
        <x:v>PASS</x:v>
      </x:c>
      <x:c r="K11" s="12" t="str">
        <x:v>PASS</x:v>
      </x:c>
      <x:c r="L11" s="12" t="str">
        <x:v>PASS</x:v>
      </x:c>
      <x:c r="M11" s="12" t="str">
        <x:v>NO</x:v>
      </x:c>
      <x:c r="N11" s="12" t="str">
        <x:v>PASS</x:v>
      </x:c>
      <x:c r="O11" s="12" t="str">
        <x:v>FACTUAL</x:v>
      </x:c>
      <x:c r="P11" s="12" t="str">
        <x:v>PASS</x:v>
      </x:c>
      <x:c r="Q11" s="12" t="str">
        <x:v>Checked for Ford/F identity, exact event, displayed publication date, timing window and prohibited-source origin.</x:v>
      </x:c>
    </x:row>
    <x:row r="12">
      <x:c r="A12" s="12" t="str">
        <x:v>2017-01-26</x:v>
      </x:c>
      <x:c r="B12" s="12" t="str">
        <x:v>F</x:v>
      </x:c>
      <x:c r="C12" s="12" t="str">
        <x:v>release</x:v>
      </x:c>
      <x:c r="D12" s="12" t="str">
        <x:v>2017-01-26</x:v>
      </x:c>
      <x:c r="E12" s="12" t="n">
        <x:v>0</x:v>
      </x:c>
      <x:c r="F12" s="12" t="str">
        <x:v>Ford Motor Company</x:v>
      </x:c>
      <x:c r="G12" s="12" t="str">
        <x:v>Ford Fourth Quarter and Full Year Financial Results</x:v>
      </x:c>
      <x:c r="H12" s="12" t="str">
        <x:v>https://shareholder.ford.com/events/event-details/2017/Ford-Fourth-Quarter-and-Full-Year-Financial-Results/default.aspx</x:v>
      </x:c>
      <x:c r="I12" s="12" t="str">
        <x:v>OPENED/VERIFIED</x:v>
      </x:c>
      <x:c r="J12" s="12" t="str">
        <x:v>PASS</x:v>
      </x:c>
      <x:c r="K12" s="12" t="str">
        <x:v>PASS</x:v>
      </x:c>
      <x:c r="L12" s="12" t="str">
        <x:v>PASS</x:v>
      </x:c>
      <x:c r="M12" s="12" t="str">
        <x:v>NO</x:v>
      </x:c>
      <x:c r="N12" s="12" t="str">
        <x:v>PASS</x:v>
      </x:c>
      <x:c r="O12" s="12" t="str">
        <x:v>FACTUAL</x:v>
      </x:c>
      <x:c r="P12" s="12" t="str">
        <x:v>PASS</x:v>
      </x:c>
      <x:c r="Q12" s="12" t="str">
        <x:v>Checked for Ford/F identity, exact event, displayed publication date, timing window and prohibited-source origin.</x:v>
      </x:c>
    </x:row>
    <x:row r="13">
      <x:c r="A13" s="12" t="str">
        <x:v>2017-01-26</x:v>
      </x:c>
      <x:c r="B13" s="12" t="str">
        <x:v>F</x:v>
      </x:c>
      <x:c r="C13" s="12" t="str">
        <x:v>reaction</x:v>
      </x:c>
      <x:c r="D13" s="12" t="str">
        <x:v>2017-01-26</x:v>
      </x:c>
      <x:c r="E13" s="12" t="n">
        <x:v>0</x:v>
      </x:c>
      <x:c r="F13" s="12" t="str">
        <x:v>Schaeffer's Research</x:v>
      </x:c>
      <x:c r="G13" s="12" t="str">
        <x:v>Options Traders Shift Gears On Ford Motor Company's Post-Earnings Skid</x:v>
      </x:c>
      <x:c r="H13" s="12" t="str">
        <x:v>https://www.schaeffersresearch.com/content/options/2017/01/26/options-traders-shift-gears-on-ford-motor-companys-f-post-earnings-skid</x:v>
      </x:c>
      <x:c r="I13" s="12" t="str">
        <x:v>OPENED/VERIFIED</x:v>
      </x:c>
      <x:c r="J13" s="12" t="str">
        <x:v>PASS</x:v>
      </x:c>
      <x:c r="K13" s="12" t="str">
        <x:v>PASS</x:v>
      </x:c>
      <x:c r="L13" s="12" t="str">
        <x:v>PASS</x:v>
      </x:c>
      <x:c r="M13" s="12" t="str">
        <x:v>NO</x:v>
      </x:c>
      <x:c r="N13" s="12" t="str">
        <x:v>PASS</x:v>
      </x:c>
      <x:c r="O13" s="12" t="str">
        <x:v>CONTEMPORANEOUS_ATTRIBUTION</x:v>
      </x:c>
      <x:c r="P13" s="12" t="str">
        <x:v>PASS</x:v>
      </x:c>
      <x:c r="Q13" s="12" t="str">
        <x:v>Checked for Ford/F identity, exact event, displayed publication date, timing window and prohibited-source origin.</x:v>
      </x:c>
    </x:row>
    <x:row r="14">
      <x:c r="A14" s="12" t="str">
        <x:v>2017-04-27</x:v>
      </x:c>
      <x:c r="B14" s="12" t="str">
        <x:v>F</x:v>
      </x:c>
      <x:c r="C14" s="12" t="str">
        <x:v>prior</x:v>
      </x:c>
      <x:c r="D14" s="12" t="str">
        <x:v>2017-01-26</x:v>
      </x:c>
      <x:c r="E14" s="12" t="n">
        <x:v>-91</x:v>
      </x:c>
      <x:c r="F14" s="12" t="str">
        <x:v>Ford Motor Company</x:v>
      </x:c>
      <x:c r="G14" s="12" t="str">
        <x:v>Ford Fourth Quarter and Full Year Financial Results</x:v>
      </x:c>
      <x:c r="H14" s="12" t="str">
        <x:v>https://shareholder.ford.com/events/event-details/2017/Ford-Fourth-Quarter-and-Full-Year-Financial-Results/default.aspx</x:v>
      </x:c>
      <x:c r="I14" s="12" t="str">
        <x:v>OPENED/VERIFIED</x:v>
      </x:c>
      <x:c r="J14" s="12" t="str">
        <x:v>PASS</x:v>
      </x:c>
      <x:c r="K14" s="12" t="str">
        <x:v>PASS</x:v>
      </x:c>
      <x:c r="L14" s="12" t="str">
        <x:v>PASS</x:v>
      </x:c>
      <x:c r="M14" s="12" t="str">
        <x:v>NO</x:v>
      </x:c>
      <x:c r="N14" s="12" t="str">
        <x:v>PASS</x:v>
      </x:c>
      <x:c r="O14" s="12" t="str">
        <x:v>FACTUAL</x:v>
      </x:c>
      <x:c r="P14" s="12" t="str">
        <x:v>PASS</x:v>
      </x:c>
      <x:c r="Q14" s="12" t="str">
        <x:v>Checked for Ford/F identity, exact event, displayed publication date, timing window and prohibited-source origin.</x:v>
      </x:c>
    </x:row>
    <x:row r="15">
      <x:c r="A15" s="12" t="str">
        <x:v>2017-04-27</x:v>
      </x:c>
      <x:c r="B15" s="12" t="str">
        <x:v>F</x:v>
      </x:c>
      <x:c r="C15" s="12" t="str">
        <x:v>release</x:v>
      </x:c>
      <x:c r="D15" s="12" t="str">
        <x:v>2017-04-27</x:v>
      </x:c>
      <x:c r="E15" s="12" t="n">
        <x:v>0</x:v>
      </x:c>
      <x:c r="F15" s="12" t="str">
        <x:v>Ford Motor Company</x:v>
      </x:c>
      <x:c r="G15" s="12" t="str">
        <x:v>Ford Motor Company First Quarter 2017 Financial Results</x:v>
      </x:c>
      <x:c r="H15" s="12" t="str">
        <x:v>https://shareholder.ford.com/events/event-details/2017/Ford-Motor-Company-First-Quarter-2017-Financial-Results/default.aspx</x:v>
      </x:c>
      <x:c r="I15" s="12" t="str">
        <x:v>OPENED/VERIFIED</x:v>
      </x:c>
      <x:c r="J15" s="12" t="str">
        <x:v>PASS</x:v>
      </x:c>
      <x:c r="K15" s="12" t="str">
        <x:v>PASS</x:v>
      </x:c>
      <x:c r="L15" s="12" t="str">
        <x:v>PASS</x:v>
      </x:c>
      <x:c r="M15" s="12" t="str">
        <x:v>NO</x:v>
      </x:c>
      <x:c r="N15" s="12" t="str">
        <x:v>PASS</x:v>
      </x:c>
      <x:c r="O15" s="12" t="str">
        <x:v>FACTUAL</x:v>
      </x:c>
      <x:c r="P15" s="12" t="str">
        <x:v>PASS</x:v>
      </x:c>
      <x:c r="Q15" s="12" t="str">
        <x:v>Checked for Ford/F identity, exact event, displayed publication date, timing window and prohibited-source origin.</x:v>
      </x:c>
    </x:row>
    <x:row r="16">
      <x:c r="A16" s="12" t="str">
        <x:v>2017-04-27</x:v>
      </x:c>
      <x:c r="B16" s="12" t="str">
        <x:v>F</x:v>
      </x:c>
      <x:c r="C16" s="12" t="str">
        <x:v>reaction</x:v>
      </x:c>
      <x:c r="D16" s="12" t="str">
        <x:v>2017-04-28</x:v>
      </x:c>
      <x:c r="E16" s="12" t="n">
        <x:v>1</x:v>
      </x:c>
      <x:c r="F16" s="12" t="str">
        <x:v>The Motley Fool</x:v>
      </x:c>
      <x:c r="G16" s="12" t="str">
        <x:v>Ford Motor Co.'s First Quarter: Did Wall Street Get It Right?</x:v>
      </x:c>
      <x:c r="H16" s="12" t="str">
        <x:v>https://www.fool.com/investing/2017/04/28/ford-motor-cos-first-quarter-did-wall-street-get-i.aspx</x:v>
      </x:c>
      <x:c r="I16" s="12" t="str">
        <x:v>OPENED/VERIFIED</x:v>
      </x:c>
      <x:c r="J16" s="12" t="str">
        <x:v>PASS</x:v>
      </x:c>
      <x:c r="K16" s="12" t="str">
        <x:v>PASS</x:v>
      </x:c>
      <x:c r="L16" s="12" t="str">
        <x:v>PASS</x:v>
      </x:c>
      <x:c r="M16" s="12" t="str">
        <x:v>NO</x:v>
      </x:c>
      <x:c r="N16" s="12" t="str">
        <x:v>PASS</x:v>
      </x:c>
      <x:c r="O16" s="12" t="str">
        <x:v>CONTEMPORANEOUS_ATTRIBUTION</x:v>
      </x:c>
      <x:c r="P16" s="12" t="str">
        <x:v>PASS</x:v>
      </x:c>
      <x:c r="Q16" s="12" t="str">
        <x:v>Checked for Ford/F identity, exact event, displayed publication date, timing window and prohibited-source origin.</x:v>
      </x:c>
    </x:row>
    <x:row r="17">
      <x:c r="A17" s="12" t="str">
        <x:v>2017-07-26</x:v>
      </x:c>
      <x:c r="B17" s="12" t="str">
        <x:v>F</x:v>
      </x:c>
      <x:c r="C17" s="12" t="str">
        <x:v>prior</x:v>
      </x:c>
      <x:c r="D17" s="12" t="str">
        <x:v>2017-04-27</x:v>
      </x:c>
      <x:c r="E17" s="12" t="n">
        <x:v>-90</x:v>
      </x:c>
      <x:c r="F17" s="12" t="str">
        <x:v>Ford Motor Company</x:v>
      </x:c>
      <x:c r="G17" s="12" t="str">
        <x:v>Ford Motor Company First Quarter 2017 Financial Results</x:v>
      </x:c>
      <x:c r="H17" s="12" t="str">
        <x:v>https://shareholder.ford.com/events/event-details/2017/Ford-Motor-Company-First-Quarter-2017-Financial-Results/default.aspx</x:v>
      </x:c>
      <x:c r="I17" s="12" t="str">
        <x:v>OPENED/VERIFIED</x:v>
      </x:c>
      <x:c r="J17" s="12" t="str">
        <x:v>PASS</x:v>
      </x:c>
      <x:c r="K17" s="12" t="str">
        <x:v>PASS</x:v>
      </x:c>
      <x:c r="L17" s="12" t="str">
        <x:v>PASS</x:v>
      </x:c>
      <x:c r="M17" s="12" t="str">
        <x:v>NO</x:v>
      </x:c>
      <x:c r="N17" s="12" t="str">
        <x:v>PASS</x:v>
      </x:c>
      <x:c r="O17" s="12" t="str">
        <x:v>FACTUAL</x:v>
      </x:c>
      <x:c r="P17" s="12" t="str">
        <x:v>PASS</x:v>
      </x:c>
      <x:c r="Q17" s="12" t="str">
        <x:v>Checked for Ford/F identity, exact event, displayed publication date, timing window and prohibited-source origin.</x:v>
      </x:c>
    </x:row>
    <x:row r="18">
      <x:c r="A18" s="12" t="str">
        <x:v>2017-07-26</x:v>
      </x:c>
      <x:c r="B18" s="12" t="str">
        <x:v>F</x:v>
      </x:c>
      <x:c r="C18" s="12" t="str">
        <x:v>release</x:v>
      </x:c>
      <x:c r="D18" s="12" t="str">
        <x:v>2017-07-26</x:v>
      </x:c>
      <x:c r="E18" s="12" t="n">
        <x:v>0</x:v>
      </x:c>
      <x:c r="F18" s="12" t="str">
        <x:v>Ford Motor Company</x:v>
      </x:c>
      <x:c r="G18" s="12" t="str">
        <x:v>Ford Motor Company Second Quarter 2017 Financial Results</x:v>
      </x:c>
      <x:c r="H18" s="12" t="str">
        <x:v>https://shareholder.ford.com/events/event-details/2017/Ford-Motor-Company-Second-Quarter-2017-Financial-Results/default.aspx</x:v>
      </x:c>
      <x:c r="I18" s="12" t="str">
        <x:v>OPENED/VERIFIED</x:v>
      </x:c>
      <x:c r="J18" s="12" t="str">
        <x:v>PASS</x:v>
      </x:c>
      <x:c r="K18" s="12" t="str">
        <x:v>PASS</x:v>
      </x:c>
      <x:c r="L18" s="12" t="str">
        <x:v>PASS</x:v>
      </x:c>
      <x:c r="M18" s="12" t="str">
        <x:v>NO</x:v>
      </x:c>
      <x:c r="N18" s="12" t="str">
        <x:v>PASS</x:v>
      </x:c>
      <x:c r="O18" s="12" t="str">
        <x:v>FACTUAL</x:v>
      </x:c>
      <x:c r="P18" s="12" t="str">
        <x:v>PASS</x:v>
      </x:c>
      <x:c r="Q18" s="12" t="str">
        <x:v>Checked for Ford/F identity, exact event, displayed publication date, timing window and prohibited-source origin.</x:v>
      </x:c>
    </x:row>
    <x:row r="19">
      <x:c r="A19" s="12" t="str">
        <x:v>2017-07-26</x:v>
      </x:c>
      <x:c r="B19" s="12" t="str">
        <x:v>F</x:v>
      </x:c>
      <x:c r="C19" s="12" t="str">
        <x:v>reaction</x:v>
      </x:c>
      <x:c r="D19" s="12" t="str">
        <x:v>2017-07-26</x:v>
      </x:c>
      <x:c r="E19" s="12" t="n">
        <x:v>0</x:v>
      </x:c>
      <x:c r="F19" s="12" t="str">
        <x:v>The Motley Fool</x:v>
      </x:c>
      <x:c r="G19" s="12" t="str">
        <x:v>Ford Gets No Love From Wall Street After Topping Q2 Estimates</x:v>
      </x:c>
      <x:c r="H19" s="12" t="str">
        <x:v>https://www.fool.com/investing/2017/07/26/ford-gets-no-love-from-wall-street-after-topping-q.aspx</x:v>
      </x:c>
      <x:c r="I19" s="12" t="str">
        <x:v>OPENED/VERIFIED</x:v>
      </x:c>
      <x:c r="J19" s="12" t="str">
        <x:v>PASS</x:v>
      </x:c>
      <x:c r="K19" s="12" t="str">
        <x:v>PASS</x:v>
      </x:c>
      <x:c r="L19" s="12" t="str">
        <x:v>PASS</x:v>
      </x:c>
      <x:c r="M19" s="12" t="str">
        <x:v>NO</x:v>
      </x:c>
      <x:c r="N19" s="12" t="str">
        <x:v>PASS</x:v>
      </x:c>
      <x:c r="O19" s="12" t="str">
        <x:v>CONTEMPORANEOUS_ATTRIBUTION</x:v>
      </x:c>
      <x:c r="P19" s="12" t="str">
        <x:v>PASS</x:v>
      </x:c>
      <x:c r="Q19" s="12" t="str">
        <x:v>Checked for Ford/F identity, exact event, displayed publication date, timing window and prohibited-source origin.</x:v>
      </x:c>
    </x:row>
    <x:row r="20">
      <x:c r="A20" s="12" t="str">
        <x:v>2017-10-26</x:v>
      </x:c>
      <x:c r="B20" s="12" t="str">
        <x:v>F</x:v>
      </x:c>
      <x:c r="C20" s="12" t="str">
        <x:v>prior</x:v>
      </x:c>
      <x:c r="D20" s="12" t="str">
        <x:v>2017-07-26</x:v>
      </x:c>
      <x:c r="E20" s="12" t="n">
        <x:v>-92</x:v>
      </x:c>
      <x:c r="F20" s="12" t="str">
        <x:v>Ford Motor Company</x:v>
      </x:c>
      <x:c r="G20" s="12" t="str">
        <x:v>Ford Motor Company Second Quarter 2017 Financial Results</x:v>
      </x:c>
      <x:c r="H20" s="12" t="str">
        <x:v>https://shareholder.ford.com/events/event-details/2017/Ford-Motor-Company-Second-Quarter-2017-Financial-Results/default.aspx</x:v>
      </x:c>
      <x:c r="I20" s="12" t="str">
        <x:v>OPENED/VERIFIED</x:v>
      </x:c>
      <x:c r="J20" s="12" t="str">
        <x:v>PASS</x:v>
      </x:c>
      <x:c r="K20" s="12" t="str">
        <x:v>PASS</x:v>
      </x:c>
      <x:c r="L20" s="12" t="str">
        <x:v>PASS</x:v>
      </x:c>
      <x:c r="M20" s="12" t="str">
        <x:v>NO</x:v>
      </x:c>
      <x:c r="N20" s="12" t="str">
        <x:v>PASS</x:v>
      </x:c>
      <x:c r="O20" s="12" t="str">
        <x:v>FACTUAL</x:v>
      </x:c>
      <x:c r="P20" s="12" t="str">
        <x:v>PASS</x:v>
      </x:c>
      <x:c r="Q20" s="12" t="str">
        <x:v>Checked for Ford/F identity, exact event, displayed publication date, timing window and prohibited-source origin.</x:v>
      </x:c>
    </x:row>
    <x:row r="21">
      <x:c r="A21" s="12" t="str">
        <x:v>2017-10-26</x:v>
      </x:c>
      <x:c r="B21" s="12" t="str">
        <x:v>F</x:v>
      </x:c>
      <x:c r="C21" s="12" t="str">
        <x:v>release</x:v>
      </x:c>
      <x:c r="D21" s="12" t="str">
        <x:v>2017-10-26</x:v>
      </x:c>
      <x:c r="E21" s="12" t="n">
        <x:v>0</x:v>
      </x:c>
      <x:c r="F21" s="12" t="str">
        <x:v>Ford Motor Company</x:v>
      </x:c>
      <x:c r="G21" s="12" t="str">
        <x:v>Ford Motor Company Third Quarter 2017 Financial Results</x:v>
      </x:c>
      <x:c r="H21" s="12" t="str">
        <x:v>https://shareholder.ford.com/events/event-details/2017/Ford-Motor-Company-Third-Quarter-2017-Financial-Results/default.aspx</x:v>
      </x:c>
      <x:c r="I21" s="12" t="str">
        <x:v>OPENED/VERIFIED</x:v>
      </x:c>
      <x:c r="J21" s="12" t="str">
        <x:v>PASS</x:v>
      </x:c>
      <x:c r="K21" s="12" t="str">
        <x:v>PASS</x:v>
      </x:c>
      <x:c r="L21" s="12" t="str">
        <x:v>PASS</x:v>
      </x:c>
      <x:c r="M21" s="12" t="str">
        <x:v>NO</x:v>
      </x:c>
      <x:c r="N21" s="12" t="str">
        <x:v>PASS</x:v>
      </x:c>
      <x:c r="O21" s="12" t="str">
        <x:v>FACTUAL</x:v>
      </x:c>
      <x:c r="P21" s="12" t="str">
        <x:v>PASS</x:v>
      </x:c>
      <x:c r="Q21" s="12" t="str">
        <x:v>Checked for Ford/F identity, exact event, displayed publication date, timing window and prohibited-source origin.</x:v>
      </x:c>
    </x:row>
    <x:row r="22">
      <x:c r="A22" s="12" t="str">
        <x:v>2017-10-26</x:v>
      </x:c>
      <x:c r="B22" s="12" t="str">
        <x:v>F</x:v>
      </x:c>
      <x:c r="C22" s="12" t="str">
        <x:v>reaction</x:v>
      </x:c>
      <x:c r="D22" s="12" t="str">
        <x:v>2017-10-26</x:v>
      </x:c>
      <x:c r="E22" s="12" t="n">
        <x:v>0</x:v>
      </x:c>
      <x:c r="F22" s="12" t="str">
        <x:v>The Motley Fool</x:v>
      </x:c>
      <x:c r="G22" s="12" t="str">
        <x:v>Ford Motor Co.: Profits Up 63% on Strong Truck Sales</x:v>
      </x:c>
      <x:c r="H22" s="12" t="str">
        <x:v>https://www.fool.com/investing/2017/10/26/ford-motor-co-profits-up-63-on-strong-truck-sales.aspx</x:v>
      </x:c>
      <x:c r="I22" s="12" t="str">
        <x:v>OPENED/VERIFIED</x:v>
      </x:c>
      <x:c r="J22" s="12" t="str">
        <x:v>PASS</x:v>
      </x:c>
      <x:c r="K22" s="12" t="str">
        <x:v>PASS</x:v>
      </x:c>
      <x:c r="L22" s="12" t="str">
        <x:v>PASS</x:v>
      </x:c>
      <x:c r="M22" s="12" t="str">
        <x:v>NO</x:v>
      </x:c>
      <x:c r="N22" s="12" t="str">
        <x:v>PASS</x:v>
      </x:c>
      <x:c r="O22" s="12" t="str">
        <x:v>CONTEMPORANEOUS_ATTRIBUTION</x:v>
      </x:c>
      <x:c r="P22" s="12" t="str">
        <x:v>PASS</x:v>
      </x:c>
      <x:c r="Q22" s="12" t="str">
        <x:v>Checked for Ford/F identity, exact event, displayed publication date, timing window and prohibited-source origin.</x:v>
      </x:c>
    </x:row>
    <x:row r="23">
      <x:c r="A23" s="12" t="str">
        <x:v>2018-01-24</x:v>
      </x:c>
      <x:c r="B23" s="12" t="str">
        <x:v>F</x:v>
      </x:c>
      <x:c r="C23" s="12" t="str">
        <x:v>prior</x:v>
      </x:c>
      <x:c r="D23" s="12" t="str">
        <x:v>2017-10-26</x:v>
      </x:c>
      <x:c r="E23" s="12" t="n">
        <x:v>-90</x:v>
      </x:c>
      <x:c r="F23" s="12" t="str">
        <x:v>Ford Motor Company</x:v>
      </x:c>
      <x:c r="G23" s="12" t="str">
        <x:v>Ford Motor Company Third Quarter 2017 Financial Results</x:v>
      </x:c>
      <x:c r="H23" s="12" t="str">
        <x:v>https://shareholder.ford.com/events/event-details/2017/Ford-Motor-Company-Third-Quarter-2017-Financial-Results/default.aspx</x:v>
      </x:c>
      <x:c r="I23" s="12" t="str">
        <x:v>OPENED/VERIFIED</x:v>
      </x:c>
      <x:c r="J23" s="12" t="str">
        <x:v>PASS</x:v>
      </x:c>
      <x:c r="K23" s="12" t="str">
        <x:v>PASS</x:v>
      </x:c>
      <x:c r="L23" s="12" t="str">
        <x:v>PASS</x:v>
      </x:c>
      <x:c r="M23" s="12" t="str">
        <x:v>NO</x:v>
      </x:c>
      <x:c r="N23" s="12" t="str">
        <x:v>PASS</x:v>
      </x:c>
      <x:c r="O23" s="12" t="str">
        <x:v>FACTUAL</x:v>
      </x:c>
      <x:c r="P23" s="12" t="str">
        <x:v>PASS</x:v>
      </x:c>
      <x:c r="Q23" s="12" t="str">
        <x:v>Checked for Ford/F identity, exact event, displayed publication date, timing window and prohibited-source origin.</x:v>
      </x:c>
    </x:row>
    <x:row r="24">
      <x:c r="A24" s="12" t="str">
        <x:v>2018-01-24</x:v>
      </x:c>
      <x:c r="B24" s="12" t="str">
        <x:v>F</x:v>
      </x:c>
      <x:c r="C24" s="12" t="str">
        <x:v>release</x:v>
      </x:c>
      <x:c r="D24" s="12" t="str">
        <x:v>2018-01-24</x:v>
      </x:c>
      <x:c r="E24" s="12" t="n">
        <x:v>0</x:v>
      </x:c>
      <x:c r="F24" s="12" t="str">
        <x:v>Ford Motor Company</x:v>
      </x:c>
      <x:c r="G24" s="12" t="str">
        <x:v>Ford Motor Company Reports Fourth Quarter and Full Year 2017 Results</x:v>
      </x:c>
      <x:c r="H24" s="12" t="str">
        <x:v>https://shareholder.ford.com/events/event-details/2018/Ford-Motor-Company-Reports-Fourth-Quarter-and-Full-Year-2017-Results-Revenue-Up-Net-Income-Higher-Adjusted-Pre-Tax-Profit-Lower/default.aspx</x:v>
      </x:c>
      <x:c r="I24" s="12" t="str">
        <x:v>OPENED/VERIFIED</x:v>
      </x:c>
      <x:c r="J24" s="12" t="str">
        <x:v>PASS</x:v>
      </x:c>
      <x:c r="K24" s="12" t="str">
        <x:v>PASS</x:v>
      </x:c>
      <x:c r="L24" s="12" t="str">
        <x:v>PASS</x:v>
      </x:c>
      <x:c r="M24" s="12" t="str">
        <x:v>NO</x:v>
      </x:c>
      <x:c r="N24" s="12" t="str">
        <x:v>PASS</x:v>
      </x:c>
      <x:c r="O24" s="12" t="str">
        <x:v>FACTUAL</x:v>
      </x:c>
      <x:c r="P24" s="12" t="str">
        <x:v>PASS</x:v>
      </x:c>
      <x:c r="Q24" s="12" t="str">
        <x:v>Checked for Ford/F identity, exact event, displayed publication date, timing window and prohibited-source origin.</x:v>
      </x:c>
    </x:row>
    <x:row r="25">
      <x:c r="A25" s="12" t="str">
        <x:v>2018-01-24</x:v>
      </x:c>
      <x:c r="B25" s="12" t="str">
        <x:v>F</x:v>
      </x:c>
      <x:c r="C25" s="12" t="str">
        <x:v>reaction</x:v>
      </x:c>
      <x:c r="D25" s="12" t="str">
        <x:v>2018-01-25</x:v>
      </x:c>
      <x:c r="E25" s="12" t="n">
        <x:v>1</x:v>
      </x:c>
      <x:c r="F25" s="12" t="str">
        <x:v>The Motley Fool</x:v>
      </x:c>
      <x:c r="G25" s="12" t="str">
        <x:v>Why Ford Expects Lower Profits in 2018</x:v>
      </x:c>
      <x:c r="H25" s="12" t="str">
        <x:v>https://www.fool.com/investing/2018/01/25/why-ford-expects-lower-profits-in-2018.aspx</x:v>
      </x:c>
      <x:c r="I25" s="12" t="str">
        <x:v>OPENED/VERIFIED</x:v>
      </x:c>
      <x:c r="J25" s="12" t="str">
        <x:v>PASS</x:v>
      </x:c>
      <x:c r="K25" s="12" t="str">
        <x:v>PASS</x:v>
      </x:c>
      <x:c r="L25" s="12" t="str">
        <x:v>PASS</x:v>
      </x:c>
      <x:c r="M25" s="12" t="str">
        <x:v>NO</x:v>
      </x:c>
      <x:c r="N25" s="12" t="str">
        <x:v>PASS</x:v>
      </x:c>
      <x:c r="O25" s="12" t="str">
        <x:v>CONTEMPORANEOUS_ATTRIBUTION</x:v>
      </x:c>
      <x:c r="P25" s="12" t="str">
        <x:v>PASS</x:v>
      </x:c>
      <x:c r="Q25" s="12" t="str">
        <x:v>Checked for Ford/F identity, exact event, displayed publication date, timing window and prohibited-source origin.</x:v>
      </x:c>
    </x:row>
    <x:row r="26">
      <x:c r="A26" s="12" t="str">
        <x:v>2018-04-25</x:v>
      </x:c>
      <x:c r="B26" s="12" t="str">
        <x:v>F</x:v>
      </x:c>
      <x:c r="C26" s="12" t="str">
        <x:v>prior</x:v>
      </x:c>
      <x:c r="D26" s="12" t="str">
        <x:v>2018-01-24</x:v>
      </x:c>
      <x:c r="E26" s="12" t="n">
        <x:v>-91</x:v>
      </x:c>
      <x:c r="F26" s="12" t="str">
        <x:v>Ford Motor Company</x:v>
      </x:c>
      <x:c r="G26" s="12" t="str">
        <x:v>Ford Motor Company Reports Fourth Quarter and Full Year 2017 Results</x:v>
      </x:c>
      <x:c r="H26" s="12" t="str">
        <x:v>https://shareholder.ford.com/events/event-details/2018/Ford-Motor-Company-Reports-Fourth-Quarter-and-Full-Year-2017-Results-Revenue-Up-Net-Income-Higher-Adjusted-Pre-Tax-Profit-Lower/default.aspx</x:v>
      </x:c>
      <x:c r="I26" s="12" t="str">
        <x:v>OPENED/VERIFIED</x:v>
      </x:c>
      <x:c r="J26" s="12" t="str">
        <x:v>PASS</x:v>
      </x:c>
      <x:c r="K26" s="12" t="str">
        <x:v>PASS</x:v>
      </x:c>
      <x:c r="L26" s="12" t="str">
        <x:v>PASS</x:v>
      </x:c>
      <x:c r="M26" s="12" t="str">
        <x:v>NO</x:v>
      </x:c>
      <x:c r="N26" s="12" t="str">
        <x:v>PASS</x:v>
      </x:c>
      <x:c r="O26" s="12" t="str">
        <x:v>FACTUAL</x:v>
      </x:c>
      <x:c r="P26" s="12" t="str">
        <x:v>PASS</x:v>
      </x:c>
      <x:c r="Q26" s="12" t="str">
        <x:v>Checked for Ford/F identity, exact event, displayed publication date, timing window and prohibited-source origin.</x:v>
      </x:c>
    </x:row>
    <x:row r="27">
      <x:c r="A27" s="12" t="str">
        <x:v>2018-04-25</x:v>
      </x:c>
      <x:c r="B27" s="12" t="str">
        <x:v>F</x:v>
      </x:c>
      <x:c r="C27" s="12" t="str">
        <x:v>release</x:v>
      </x:c>
      <x:c r="D27" s="12" t="str">
        <x:v>2018-04-25</x:v>
      </x:c>
      <x:c r="E27" s="12" t="n">
        <x:v>0</x:v>
      </x:c>
      <x:c r="F27" s="12" t="str">
        <x:v>SEC / Ford Motor Company</x:v>
      </x:c>
      <x:c r="G27" s="12" t="str">
        <x:v>Ford 2018 First Quarter Financial Results</x:v>
      </x:c>
      <x:c r="H27" s="12" t="str">
        <x:v>https://www.sec.gov/Archives/edgar/data/37996/000003799618000033/exhibit991pressreleasefo.htm</x:v>
      </x:c>
      <x:c r="I27" s="12" t="str">
        <x:v>OPENED/VERIFIED</x:v>
      </x:c>
      <x:c r="J27" s="12" t="str">
        <x:v>PASS</x:v>
      </x:c>
      <x:c r="K27" s="12" t="str">
        <x:v>PASS</x:v>
      </x:c>
      <x:c r="L27" s="12" t="str">
        <x:v>PASS</x:v>
      </x:c>
      <x:c r="M27" s="12" t="str">
        <x:v>NO</x:v>
      </x:c>
      <x:c r="N27" s="12" t="str">
        <x:v>PASS</x:v>
      </x:c>
      <x:c r="O27" s="12" t="str">
        <x:v>FACTUAL</x:v>
      </x:c>
      <x:c r="P27" s="12" t="str">
        <x:v>PASS</x:v>
      </x:c>
      <x:c r="Q27" s="12" t="str">
        <x:v>Checked for Ford/F identity, exact event, displayed publication date, timing window and prohibited-source origin.</x:v>
      </x:c>
    </x:row>
    <x:row r="28">
      <x:c r="A28" s="12" t="str">
        <x:v>2018-04-25</x:v>
      </x:c>
      <x:c r="B28" s="12" t="str">
        <x:v>F</x:v>
      </x:c>
      <x:c r="C28" s="12" t="str">
        <x:v>reaction</x:v>
      </x:c>
      <x:c r="D28" s="12" t="str">
        <x:v>2018-04-25</x:v>
      </x:c>
      <x:c r="E28" s="12" t="n">
        <x:v>0</x:v>
      </x:c>
      <x:c r="F28" s="12" t="str">
        <x:v>Zacks / Investing.com</x:v>
      </x:c>
      <x:c r="G28" s="12" t="str">
        <x:v>Ford Shares Rise On Earnings Beat, Cuts To Capital Spending</x:v>
      </x:c>
      <x:c r="H28" s="12" t="str">
        <x:v>https://www.investing.com/analysis/ford-shares-rise-on-earnings-beat-cuts-to-capital-spending-200309173</x:v>
      </x:c>
      <x:c r="I28" s="12" t="str">
        <x:v>OPENED/VERIFIED</x:v>
      </x:c>
      <x:c r="J28" s="12" t="str">
        <x:v>PASS</x:v>
      </x:c>
      <x:c r="K28" s="12" t="str">
        <x:v>PASS</x:v>
      </x:c>
      <x:c r="L28" s="12" t="str">
        <x:v>PASS</x:v>
      </x:c>
      <x:c r="M28" s="12" t="str">
        <x:v>NO</x:v>
      </x:c>
      <x:c r="N28" s="12" t="str">
        <x:v>PASS</x:v>
      </x:c>
      <x:c r="O28" s="12" t="str">
        <x:v>CONTEMPORANEOUS_ATTRIBUTION</x:v>
      </x:c>
      <x:c r="P28" s="12" t="str">
        <x:v>PASS</x:v>
      </x:c>
      <x:c r="Q28" s="12" t="str">
        <x:v>Checked for Ford/F identity, exact event, displayed publication date, timing window and prohibited-source origin.</x:v>
      </x:c>
    </x:row>
    <x:row r="29">
      <x:c r="A29" s="12" t="str">
        <x:v>2018-07-25</x:v>
      </x:c>
      <x:c r="B29" s="12" t="str">
        <x:v>F</x:v>
      </x:c>
      <x:c r="C29" s="12" t="str">
        <x:v>prior</x:v>
      </x:c>
      <x:c r="D29" s="12" t="str">
        <x:v>2018-04-25</x:v>
      </x:c>
      <x:c r="E29" s="12" t="n">
        <x:v>-91</x:v>
      </x:c>
      <x:c r="F29" s="12" t="str">
        <x:v>SEC / Ford Motor Company</x:v>
      </x:c>
      <x:c r="G29" s="12" t="str">
        <x:v>Ford 2018 First Quarter Financial Results</x:v>
      </x:c>
      <x:c r="H29" s="12" t="str">
        <x:v>https://www.sec.gov/Archives/edgar/data/37996/000003799618000033/exhibit991pressreleasefo.htm</x:v>
      </x:c>
      <x:c r="I29" s="12" t="str">
        <x:v>OPENED/VERIFIED</x:v>
      </x:c>
      <x:c r="J29" s="12" t="str">
        <x:v>PASS</x:v>
      </x:c>
      <x:c r="K29" s="12" t="str">
        <x:v>PASS</x:v>
      </x:c>
      <x:c r="L29" s="12" t="str">
        <x:v>PASS</x:v>
      </x:c>
      <x:c r="M29" s="12" t="str">
        <x:v>NO</x:v>
      </x:c>
      <x:c r="N29" s="12" t="str">
        <x:v>PASS</x:v>
      </x:c>
      <x:c r="O29" s="12" t="str">
        <x:v>FACTUAL</x:v>
      </x:c>
      <x:c r="P29" s="12" t="str">
        <x:v>PASS</x:v>
      </x:c>
      <x:c r="Q29" s="12" t="str">
        <x:v>Checked for Ford/F identity, exact event, displayed publication date, timing window and prohibited-source origin.</x:v>
      </x:c>
    </x:row>
    <x:row r="30">
      <x:c r="A30" s="12" t="str">
        <x:v>2018-07-25</x:v>
      </x:c>
      <x:c r="B30" s="12" t="str">
        <x:v>F</x:v>
      </x:c>
      <x:c r="C30" s="12" t="str">
        <x:v>release</x:v>
      </x:c>
      <x:c r="D30" s="12" t="str">
        <x:v>2018-07-25</x:v>
      </x:c>
      <x:c r="E30" s="12" t="n">
        <x:v>0</x:v>
      </x:c>
      <x:c r="F30" s="12" t="str">
        <x:v>SEC / Ford Motor Company</x:v>
      </x:c>
      <x:c r="G30" s="12" t="str">
        <x:v>Ford 2018 Second Quarter Financial Results</x:v>
      </x:c>
      <x:c r="H30" s="12" t="str">
        <x:v>https://www.sec.gov/Archives/edgar/data/37996/000003799618000061/exhibit991pressreleasefo.htm</x:v>
      </x:c>
      <x:c r="I30" s="12" t="str">
        <x:v>OPENED/VERIFIED</x:v>
      </x:c>
      <x:c r="J30" s="12" t="str">
        <x:v>PASS</x:v>
      </x:c>
      <x:c r="K30" s="12" t="str">
        <x:v>PASS</x:v>
      </x:c>
      <x:c r="L30" s="12" t="str">
        <x:v>PASS</x:v>
      </x:c>
      <x:c r="M30" s="12" t="str">
        <x:v>NO</x:v>
      </x:c>
      <x:c r="N30" s="12" t="str">
        <x:v>PASS</x:v>
      </x:c>
      <x:c r="O30" s="12" t="str">
        <x:v>FACTUAL</x:v>
      </x:c>
      <x:c r="P30" s="12" t="str">
        <x:v>PASS</x:v>
      </x:c>
      <x:c r="Q30" s="12" t="str">
        <x:v>Checked for Ford/F identity, exact event, displayed publication date, timing window and prohibited-source origin.</x:v>
      </x:c>
    </x:row>
    <x:row r="31">
      <x:c r="A31" s="12" t="str">
        <x:v>2018-07-25</x:v>
      </x:c>
      <x:c r="B31" s="12" t="str">
        <x:v>F</x:v>
      </x:c>
      <x:c r="C31" s="12" t="str">
        <x:v>reaction</x:v>
      </x:c>
      <x:c r="D31" s="12" t="str">
        <x:v>2018-07-26</x:v>
      </x:c>
      <x:c r="E31" s="12" t="n">
        <x:v>1</x:v>
      </x:c>
      <x:c r="F31" s="12" t="str">
        <x:v>The Motley Fool</x:v>
      </x:c>
      <x:c r="G31" s="12" t="str">
        <x:v>Why Shares of Ford Motor Company Are Down Over 5% Today</x:v>
      </x:c>
      <x:c r="H31" s="12" t="str">
        <x:v>https://www.fool.com/investing/2018/07/26/why-shares-of-ford-motor-company-are-down-over-5-t.aspx</x:v>
      </x:c>
      <x:c r="I31" s="12" t="str">
        <x:v>OPENED/VERIFIED</x:v>
      </x:c>
      <x:c r="J31" s="12" t="str">
        <x:v>PASS</x:v>
      </x:c>
      <x:c r="K31" s="12" t="str">
        <x:v>PASS</x:v>
      </x:c>
      <x:c r="L31" s="12" t="str">
        <x:v>PASS</x:v>
      </x:c>
      <x:c r="M31" s="12" t="str">
        <x:v>NO</x:v>
      </x:c>
      <x:c r="N31" s="12" t="str">
        <x:v>PASS</x:v>
      </x:c>
      <x:c r="O31" s="12" t="str">
        <x:v>CONTEMPORANEOUS_ATTRIBUTION</x:v>
      </x:c>
      <x:c r="P31" s="12" t="str">
        <x:v>PASS</x:v>
      </x:c>
      <x:c r="Q31" s="12" t="str">
        <x:v>Checked for Ford/F identity, exact event, displayed publication date, timing window and prohibited-source origin.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18" hidden="0" customWidth="1"/>
    <x:col min="6" max="6" width="15" hidden="0" customWidth="1"/>
    <x:col min="7" max="7" width="20" hidden="0" customWidth="1"/>
    <x:col min="8" max="8" width="20" hidden="0" customWidth="1"/>
    <x:col min="9" max="9" width="18" hidden="0" customWidth="1"/>
    <x:col min="10" max="10" width="14" hidden="0" customWidth="1"/>
    <x:col min="11" max="11" width="23" hidden="0" customWidth="1"/>
    <x:col min="12" max="12" width="14" hidden="0" customWidth="1"/>
  </x:cols>
  <x:sheetData>
    <x:row r="1">
      <x:c r="A1" s="5" t="str">
        <x:v>earnings_date</x:v>
      </x:c>
      <x:c r="B1" s="5" t="str">
        <x:v>ticker</x:v>
      </x:c>
      <x:c r="C1" s="5" t="str">
        <x:v>ret_1day_pct</x:v>
      </x:c>
      <x:c r="D1" s="5" t="str">
        <x:v>ret_1daypost_pct</x:v>
      </x:c>
      <x:c r="E1" s="5" t="str">
        <x:v>reaction_basis</x:v>
      </x:c>
      <x:c r="F1" s="5" t="str">
        <x:v>reaction_value</x:v>
      </x:c>
      <x:c r="G1" s="5" t="str">
        <x:v>computed_direction</x:v>
      </x:c>
      <x:c r="H1" s="5" t="str">
        <x:v>narrative_direction</x:v>
      </x:c>
      <x:c r="I1" s="5" t="str">
        <x:v>direction_match</x:v>
      </x:c>
      <x:c r="J1" s="5" t="str">
        <x:v>source_count</x:v>
      </x:c>
      <x:c r="K1" s="5" t="str">
        <x:v>source_audit_pass_count</x:v>
      </x:c>
      <x:c r="L1" s="5" t="str">
        <x:v>qa_status</x:v>
      </x:c>
    </x:row>
    <x:row r="2">
      <x:c r="A2" t="str">
        <x:v>2016-04-28</x:v>
      </x:c>
      <x:c r="B2" t="str">
        <x:v>F</x:v>
      </x:c>
      <x:c r="C2" s="20" t="n">
        <x:v>4</x:v>
      </x:c>
      <x:c r="D2" s="20" t="n">
        <x:v>-3.32</x:v>
      </x:c>
      <x:c r="E2" s="20" t="str">
        <x:v>ret_1day_pct</x:v>
      </x:c>
      <x:c r="F2" s="20" t="n">
        <x:v>4</x:v>
      </x:c>
      <x:c r="G2" t="str">
        <x:f>IF(F2&gt;0.1,"UP",IF(F2&lt;-0.1,"DOWN","FLAT"))</x:f>
        <x:v>UP</x:v>
      </x:c>
      <x:c r="H2" t="str">
        <x:v>UP</x:v>
      </x:c>
      <x:c r="I2" t="str">
        <x:f>IF(G2=H2,"PASS","FAIL")</x:f>
        <x:v>PASS</x:v>
      </x:c>
      <x:c r="J2" t="n">
        <x:v>3</x:v>
      </x:c>
      <x:c r="K2" t="n">
        <x:f>COUNTIFS('Source Audit'!$A:$A,A2,'Source Audit'!$P:$P,"PASS")</x:f>
        <x:v>3</x:v>
      </x:c>
      <x:c r="L2" t="str">
        <x:f>IF(AND(I2="PASS",K2=J2),"PASS","FAIL")</x:f>
        <x:v>PASS</x:v>
      </x:c>
    </x:row>
    <x:row r="3">
      <x:c r="A3" t="str">
        <x:v>2016-07-28</x:v>
      </x:c>
      <x:c r="B3" t="str">
        <x:v>F</x:v>
      </x:c>
      <x:c r="C3" s="20" t="n">
        <x:v>-8.33</x:v>
      </x:c>
      <x:c r="D3" s="20" t="n">
        <x:v>-0.66</x:v>
      </x:c>
      <x:c r="E3" s="20" t="str">
        <x:v>ret_1day_pct</x:v>
      </x:c>
      <x:c r="F3" s="20" t="n">
        <x:v>-8.33</x:v>
      </x:c>
      <x:c r="G3" t="str">
        <x:f>IF(F3&gt;0.1,"UP",IF(F3&lt;-0.1,"DOWN","FLAT"))</x:f>
        <x:v>DOWN</x:v>
      </x:c>
      <x:c r="H3" t="str">
        <x:v>DOWN</x:v>
      </x:c>
      <x:c r="I3" t="str">
        <x:f>IF(G3=H3,"PASS","FAIL")</x:f>
        <x:v>PASS</x:v>
      </x:c>
      <x:c r="J3" t="n">
        <x:v>3</x:v>
      </x:c>
      <x:c r="K3" t="n">
        <x:f>COUNTIFS('Source Audit'!$A:$A,A3,'Source Audit'!$P:$P,"PASS")</x:f>
        <x:v>3</x:v>
      </x:c>
      <x:c r="L3" t="str">
        <x:f>IF(AND(I3="PASS",K3=J3),"PASS","FAIL")</x:f>
        <x:v>PASS</x:v>
      </x:c>
    </x:row>
    <x:row r="4">
      <x:c r="A4" t="str">
        <x:v>2016-10-27</x:v>
      </x:c>
      <x:c r="B4" t="str">
        <x:v>F</x:v>
      </x:c>
      <x:c r="C4" s="20" t="n">
        <x:v>-0.78</x:v>
      </x:c>
      <x:c r="D4" s="20" t="n">
        <x:v>0.09</x:v>
      </x:c>
      <x:c r="E4" s="20" t="str">
        <x:v>ret_1day_pct</x:v>
      </x:c>
      <x:c r="F4" s="20" t="n">
        <x:v>-0.78</x:v>
      </x:c>
      <x:c r="G4" t="str">
        <x:f>IF(F4&gt;0.1,"UP",IF(F4&lt;-0.1,"DOWN","FLAT"))</x:f>
        <x:v>DOWN</x:v>
      </x:c>
      <x:c r="H4" t="str">
        <x:v>DOWN</x:v>
      </x:c>
      <x:c r="I4" t="str">
        <x:f>IF(G4=H4,"PASS","FAIL")</x:f>
        <x:v>PASS</x:v>
      </x:c>
      <x:c r="J4" t="n">
        <x:v>3</x:v>
      </x:c>
      <x:c r="K4" t="n">
        <x:f>COUNTIFS('Source Audit'!$A:$A,A4,'Source Audit'!$P:$P,"PASS")</x:f>
        <x:v>3</x:v>
      </x:c>
      <x:c r="L4" t="str">
        <x:f>IF(AND(I4="PASS",K4=J4),"PASS","FAIL")</x:f>
        <x:v>PASS</x:v>
      </x:c>
    </x:row>
    <x:row r="5">
      <x:c r="A5" t="str">
        <x:v>2017-01-26</x:v>
      </x:c>
      <x:c r="B5" t="str">
        <x:v>F</x:v>
      </x:c>
      <x:c r="C5" s="20" t="n">
        <x:v>-3.17</x:v>
      </x:c>
      <x:c r="D5" s="20" t="n">
        <x:v>1.13</x:v>
      </x:c>
      <x:c r="E5" s="20" t="str">
        <x:v>ret_1day_pct</x:v>
      </x:c>
      <x:c r="F5" s="20" t="n">
        <x:v>-3.17</x:v>
      </x:c>
      <x:c r="G5" t="str">
        <x:f>IF(F5&gt;0.1,"UP",IF(F5&lt;-0.1,"DOWN","FLAT"))</x:f>
        <x:v>DOWN</x:v>
      </x:c>
      <x:c r="H5" t="str">
        <x:v>DOWN</x:v>
      </x:c>
      <x:c r="I5" t="str">
        <x:f>IF(G5=H5,"PASS","FAIL")</x:f>
        <x:v>PASS</x:v>
      </x:c>
      <x:c r="J5" t="n">
        <x:v>3</x:v>
      </x:c>
      <x:c r="K5" t="n">
        <x:f>COUNTIFS('Source Audit'!$A:$A,A5,'Source Audit'!$P:$P,"PASS")</x:f>
        <x:v>3</x:v>
      </x:c>
      <x:c r="L5" t="str">
        <x:f>IF(AND(I5="PASS",K5=J5),"PASS","FAIL")</x:f>
        <x:v>PASS</x:v>
      </x:c>
    </x:row>
    <x:row r="6">
      <x:c r="A6" t="str">
        <x:v>2017-04-27</x:v>
      </x:c>
      <x:c r="B6" t="str">
        <x:v>F</x:v>
      </x:c>
      <x:c r="C6" s="20" t="n">
        <x:v>-1.12</x:v>
      </x:c>
      <x:c r="D6" s="20" t="n">
        <x:v>0.26</x:v>
      </x:c>
      <x:c r="E6" s="20" t="str">
        <x:v>ret_1day_pct</x:v>
      </x:c>
      <x:c r="F6" s="20" t="n">
        <x:v>-1.12</x:v>
      </x:c>
      <x:c r="G6" t="str">
        <x:f>IF(F6&gt;0.1,"UP",IF(F6&lt;-0.1,"DOWN","FLAT"))</x:f>
        <x:v>DOWN</x:v>
      </x:c>
      <x:c r="H6" t="str">
        <x:v>DOWN</x:v>
      </x:c>
      <x:c r="I6" t="str">
        <x:f>IF(G6=H6,"PASS","FAIL")</x:f>
        <x:v>PASS</x:v>
      </x:c>
      <x:c r="J6" t="n">
        <x:v>3</x:v>
      </x:c>
      <x:c r="K6" t="n">
        <x:f>COUNTIFS('Source Audit'!$A:$A,A6,'Source Audit'!$P:$P,"PASS")</x:f>
        <x:v>3</x:v>
      </x:c>
      <x:c r="L6" t="str">
        <x:f>IF(AND(I6="PASS",K6=J6),"PASS","FAIL")</x:f>
        <x:v>PASS</x:v>
      </x:c>
    </x:row>
    <x:row r="7">
      <x:c r="A7" t="str">
        <x:v>2017-07-26</x:v>
      </x:c>
      <x:c r="B7" t="str">
        <x:v>F</x:v>
      </x:c>
      <x:c r="C7" s="20" t="n">
        <x:v>-1.85</x:v>
      </x:c>
      <x:c r="D7" s="20" t="n">
        <x:v>1.29</x:v>
      </x:c>
      <x:c r="E7" s="20" t="str">
        <x:v>ret_1day_pct</x:v>
      </x:c>
      <x:c r="F7" s="20" t="n">
        <x:v>-1.85</x:v>
      </x:c>
      <x:c r="G7" t="str">
        <x:f>IF(F7&gt;0.1,"UP",IF(F7&lt;-0.1,"DOWN","FLAT"))</x:f>
        <x:v>DOWN</x:v>
      </x:c>
      <x:c r="H7" t="str">
        <x:v>DOWN</x:v>
      </x:c>
      <x:c r="I7" t="str">
        <x:f>IF(G7=H7,"PASS","FAIL")</x:f>
        <x:v>PASS</x:v>
      </x:c>
      <x:c r="J7" t="n">
        <x:v>3</x:v>
      </x:c>
      <x:c r="K7" t="n">
        <x:f>COUNTIFS('Source Audit'!$A:$A,A7,'Source Audit'!$P:$P,"PASS")</x:f>
        <x:v>3</x:v>
      </x:c>
      <x:c r="L7" t="str">
        <x:f>IF(AND(I7="PASS",K7=J7),"PASS","FAIL")</x:f>
        <x:v>PASS</x:v>
      </x:c>
    </x:row>
    <x:row r="8">
      <x:c r="A8" t="str">
        <x:v>2017-10-26</x:v>
      </x:c>
      <x:c r="B8" t="str">
        <x:v>F</x:v>
      </x:c>
      <x:c r="C8" s="20" t="n">
        <x:v>1.76</x:v>
      </x:c>
      <x:c r="D8" s="20" t="n">
        <x:v>-2.47</x:v>
      </x:c>
      <x:c r="E8" s="20" t="str">
        <x:v>ret_1day_pct</x:v>
      </x:c>
      <x:c r="F8" s="20" t="n">
        <x:v>1.76</x:v>
      </x:c>
      <x:c r="G8" t="str">
        <x:f>IF(F8&gt;0.1,"UP",IF(F8&lt;-0.1,"DOWN","FLAT"))</x:f>
        <x:v>UP</x:v>
      </x:c>
      <x:c r="H8" t="str">
        <x:v>UP</x:v>
      </x:c>
      <x:c r="I8" t="str">
        <x:f>IF(G8=H8,"PASS","FAIL")</x:f>
        <x:v>PASS</x:v>
      </x:c>
      <x:c r="J8" t="n">
        <x:v>3</x:v>
      </x:c>
      <x:c r="K8" t="n">
        <x:f>COUNTIFS('Source Audit'!$A:$A,A8,'Source Audit'!$P:$P,"PASS")</x:f>
        <x:v>3</x:v>
      </x:c>
      <x:c r="L8" t="str">
        <x:f>IF(AND(I8="PASS",K8=J8),"PASS","FAIL")</x:f>
        <x:v>PASS</x:v>
      </x:c>
    </x:row>
    <x:row r="9">
      <x:c r="A9" t="str">
        <x:v>2018-01-24</x:v>
      </x:c>
      <x:c r="B9" t="str">
        <x:v>F</x:v>
      </x:c>
      <x:c r="C9" s="20" t="n">
        <x:v>0.84</x:v>
      </x:c>
      <x:c r="D9" s="20" t="n">
        <x:v>-3.99</x:v>
      </x:c>
      <x:c r="E9" s="20" t="str">
        <x:v>ret_1daypost_pct</x:v>
      </x:c>
      <x:c r="F9" s="20" t="n">
        <x:v>-3.99</x:v>
      </x:c>
      <x:c r="G9" t="str">
        <x:f>IF(F9&gt;0.1,"UP",IF(F9&lt;-0.1,"DOWN","FLAT"))</x:f>
        <x:v>DOWN</x:v>
      </x:c>
      <x:c r="H9" t="str">
        <x:v>DOWN</x:v>
      </x:c>
      <x:c r="I9" t="str">
        <x:f>IF(G9=H9,"PASS","FAIL")</x:f>
        <x:v>PASS</x:v>
      </x:c>
      <x:c r="J9" t="n">
        <x:v>3</x:v>
      </x:c>
      <x:c r="K9" t="n">
        <x:f>COUNTIFS('Source Audit'!$A:$A,A9,'Source Audit'!$P:$P,"PASS")</x:f>
        <x:v>3</x:v>
      </x:c>
      <x:c r="L9" t="str">
        <x:f>IF(AND(I9="PASS",K9=J9),"PASS","FAIL")</x:f>
        <x:v>PASS</x:v>
      </x:c>
    </x:row>
    <x:row r="10">
      <x:c r="A10" t="str">
        <x:v>2018-04-25</x:v>
      </x:c>
      <x:c r="B10" t="str">
        <x:v>F</x:v>
      </x:c>
      <x:c r="C10" s="20" t="n">
        <x:v>1.29</x:v>
      </x:c>
      <x:c r="D10" s="20" t="n">
        <x:v>1.98</x:v>
      </x:c>
      <x:c r="E10" s="20" t="str">
        <x:v>ret_1daypost_pct</x:v>
      </x:c>
      <x:c r="F10" s="20" t="n">
        <x:v>1.98</x:v>
      </x:c>
      <x:c r="G10" t="str">
        <x:f>IF(F10&gt;0.1,"UP",IF(F10&lt;-0.1,"DOWN","FLAT"))</x:f>
        <x:v>UP</x:v>
      </x:c>
      <x:c r="H10" t="str">
        <x:v>UP</x:v>
      </x:c>
      <x:c r="I10" t="str">
        <x:f>IF(G10=H10,"PASS","FAIL")</x:f>
        <x:v>PASS</x:v>
      </x:c>
      <x:c r="J10" t="n">
        <x:v>3</x:v>
      </x:c>
      <x:c r="K10" t="n">
        <x:f>COUNTIFS('Source Audit'!$A:$A,A10,'Source Audit'!$P:$P,"PASS")</x:f>
        <x:v>3</x:v>
      </x:c>
      <x:c r="L10" t="str">
        <x:f>IF(AND(I10="PASS",K10=J10),"PASS","FAIL")</x:f>
        <x:v>PASS</x:v>
      </x:c>
    </x:row>
    <x:row r="11">
      <x:c r="A11" t="str">
        <x:v>2018-07-25</x:v>
      </x:c>
      <x:c r="B11" t="str">
        <x:v>F</x:v>
      </x:c>
      <x:c r="C11" s="20" t="n">
        <x:v>-1.3</x:v>
      </x:c>
      <x:c r="D11" s="20" t="n">
        <x:v>-5.83</x:v>
      </x:c>
      <x:c r="E11" s="20" t="str">
        <x:v>ret_1daypost_pct</x:v>
      </x:c>
      <x:c r="F11" s="20" t="n">
        <x:v>-5.83</x:v>
      </x:c>
      <x:c r="G11" t="str">
        <x:f>IF(F11&gt;0.1,"UP",IF(F11&lt;-0.1,"DOWN","FLAT"))</x:f>
        <x:v>DOWN</x:v>
      </x:c>
      <x:c r="H11" t="str">
        <x:v>DOWN</x:v>
      </x:c>
      <x:c r="I11" t="str">
        <x:f>IF(G11=H11,"PASS","FAIL")</x:f>
        <x:v>PASS</x:v>
      </x:c>
      <x:c r="J11" t="n">
        <x:v>3</x:v>
      </x:c>
      <x:c r="K11" t="n">
        <x:f>COUNTIFS('Source Audit'!$A:$A,A11,'Source Audit'!$P:$P,"PASS")</x:f>
        <x:v>3</x:v>
      </x:c>
      <x:c r="L11" t="str">
        <x:f>IF(AND(I11="PASS",K11=J11),"PASS","FAIL")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2" hidden="0" customWidth="1"/>
  </x:cols>
  <x:sheetData>
    <x:row r="1">
      <x:c r="A1" s="5" t="str">
        <x:v>Item</x:v>
      </x:c>
      <x:c r="B1" s="5" t="str">
        <x:v>Rule</x:v>
      </x:c>
    </x:row>
    <x:row r="2">
      <x:c r="A2" s="12" t="str">
        <x:v>Rebuild status</x:v>
      </x:c>
      <x:c r="B2" s="12" t="str">
        <x:v>F rebuilt from scratch under the corrected verification protocol.</x:v>
      </x:c>
    </x:row>
    <x:row r="3">
      <x:c r="A3" s="12" t="str">
        <x:v>Identity source</x:v>
      </x:c>
      <x:c r="B3" s="12" t="str">
        <x:v>Ticker/company, exact earnings date and all return fields come directly from group_observations.csv.</x:v>
      </x:c>
    </x:row>
    <x:row r="4">
      <x:c r="A4" s="12" t="str">
        <x:v>Reaction timing</x:v>
      </x:c>
      <x:c r="B4" s="12" t="str">
        <x:v>2016-2017: Ford released at 7:00 a.m. ET before market open, so ret_1day_pct is primary. Starting Jan. 2018 Ford shifted to 4:15 p.m. ET after market close, so ret_1daypost_pct is primary.</x:v>
      </x:c>
    </x:row>
    <x:row r="5">
      <x:c r="A5" s="12" t="str">
        <x:v>Narrative</x:v>
      </x:c>
      <x:c r="B5" s="12" t="str">
        <x:v>Short Prior Context, detailed Current Earnings Release, three concise event-specific Possible Drivers.</x:v>
      </x:c>
    </x:row>
    <x:row r="6">
      <x:c r="A6" s="12" t="str">
        <x:v>Sources</x:v>
      </x:c>
      <x:c r="B6" s="12" t="str">
        <x:v>Ford official investor/media/SEC pages anchor facts; one date-matched open reaction article is included per event.</x:v>
      </x:c>
    </x:row>
    <x:row r="7">
      <x:c r="A7" s="12" t="str">
        <x:v>Timing windows</x:v>
      </x:c>
      <x:c r="B7" s="12" t="str">
        <x:v>Prior = -100..-1 days; release = 0; reaction = 0..+3.</x:v>
      </x:c>
    </x:row>
    <x:row r="8">
      <x:c r="A8" s="12" t="str">
        <x:v>Restrictions</x:v>
      </x:c>
      <x:c r="B8" s="12" t="str">
        <x:v>No WSJ, Reuters, Dow Jones or MarketWatch-syndicated article is included. Reuters-syndicated pages found during research were rejected.</x:v>
      </x:c>
    </x:row>
    <x:row r="9">
      <x:c r="A9" s="12" t="str">
        <x:v>QA</x:v>
      </x:c>
      <x:c r="B9" s="12" t="str">
        <x:v>Event QA uses the event-specific reaction basis, mechanically computes direction, and requires exactly three PASS source rows.</x:v>
      </x:c>
    </x:row>
  </x:sheetData>
  <x:pageMargins left="0.7" right="0.7" top="0.75" bottom="0.75" header="0.3" footer="0.3"/>
</x:worksheet>
</file>