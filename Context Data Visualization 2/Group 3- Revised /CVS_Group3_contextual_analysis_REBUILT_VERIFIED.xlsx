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99f756c2284583" /></Relationships>
</file>

<file path=xl/workbook.xml><?xml version="1.0" encoding="utf-8"?>
<x:workbook xmlns:x="http://schemas.openxmlformats.org/spreadsheetml/2006/main">
  <x:sheets>
    <x:sheet xmlns:r="http://schemas.openxmlformats.org/officeDocument/2006/relationships" name="CVS" sheetId="1" r:id="Re0567c1ed4604ecf"/>
    <x:sheet xmlns:r="http://schemas.openxmlformats.org/officeDocument/2006/relationships" name="Source Audit" sheetId="2" r:id="R138a055dd683445b"/>
    <x:sheet xmlns:r="http://schemas.openxmlformats.org/officeDocument/2006/relationships" name="Event QA" sheetId="3" r:id="R892a7b3af6eb4717"/>
    <x:sheet xmlns:r="http://schemas.openxmlformats.org/officeDocument/2006/relationships" name="Methodology" sheetId="4" r:id="Ra34384d8f38149f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fa8accef8647ef" /><Relationship Type="http://schemas.openxmlformats.org/officeDocument/2006/relationships/theme" Target="/xl/theme/theme1.xml" Id="R8903b105c5104141" /><Relationship Type="http://schemas.openxmlformats.org/officeDocument/2006/relationships/sharedStrings" Target="/xl/sharedStrings.xml" Id="R0cb8fb93f2234d79" /><Relationship Type="http://schemas.openxmlformats.org/officeDocument/2006/relationships/worksheet" Target="/xl/worksheets/sheet1.xml" Id="Re0567c1ed4604ecf" /><Relationship Type="http://schemas.openxmlformats.org/officeDocument/2006/relationships/worksheet" Target="/xl/worksheets/sheet2.xml" Id="R138a055dd683445b" /><Relationship Type="http://schemas.openxmlformats.org/officeDocument/2006/relationships/worksheet" Target="/xl/worksheets/sheet3.xml" Id="R892a7b3af6eb4717" /><Relationship Type="http://schemas.openxmlformats.org/officeDocument/2006/relationships/worksheet" Target="/xl/worksheets/sheet4.xml" Id="Ra34384d8f38149f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18" hidden="0" customWidth="1"/>
    <x:col min="12" max="12" width="18" hidden="0" customWidth="1"/>
    <x:col min="13" max="13" width="96" hidden="0" customWidth="1"/>
    <x:col min="14" max="14" width="65" hidden="0" customWidth="1"/>
    <x:col min="15" max="15" width="65" hidden="0" customWidth="1"/>
    <x:col min="16" max="16" width="68" hidden="0" customWidth="1"/>
    <x:col min="17" max="17" width="82"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CVS</x:v>
      </x:c>
      <x:c r="C2" s="15" t="str">
        <x:v>CVS Health</x:v>
      </x:c>
      <x:c r="D2" s="15" t="str">
        <x:v>2016q2</x:v>
      </x:c>
      <x:c r="E2" s="15" t="str">
        <x:v>2016-05-03</x:v>
      </x:c>
      <x:c r="F2" s="18" t="n">
        <x:v>3.54</x:v>
      </x:c>
      <x:c r="G2" s="18" t="n">
        <x:v>0.6</x:v>
      </x:c>
      <x:c r="H2" s="18" t="n">
        <x:v>4.16</x:v>
      </x:c>
      <x:c r="I2" s="18" t="n">
        <x:v>4.45</x:v>
      </x:c>
      <x:c r="J2" s="18" t="n">
        <x:v>5.08</x:v>
      </x:c>
      <x:c r="K2" s="15" t="str">
        <x:v>ret_1day_pct</x:v>
      </x:c>
      <x:c r="L2" s="15" t="str">
        <x:v>UP</x:v>
      </x:c>
      <x:c r="M2" s="15" t="str">
        <x:v>## Prior Context
CVS entered 2016 integrating two large transactions: Omnicare and Target’s pharmacy/clinic business. Investors were watching whether those acquisitions and specialty-pharmacy growth could outweigh integration costs and pressure in the legacy retail business.
### Verified prior source
None
## Current Earnings Release
CVS reported **$43.22 billion of revenue**, up roughly 19% year over year, and **adjusted EPS of $1.18**, both above Wall Street expectations. Pharmacy Services benefited from specialty drugs and claim growth, while Retail/LTC revenue was boosted by the Omnicare and Target pharmacy acquisitions.
The quarter was not cleanly margin-accretive yet. Net income fell because of acquisition-related costs and the heavier expense base associated with integrating the new businesses. CVS nevertheless reaffirmed its full-year profit outlook. The combination of an operating beat and evidence that the acquisitions were contributing to growth mattered more to the market than the temporary integration drag.
### Verified release source
2016-05-03 | SEC | CVS Health Q1 2016 Form 8-K/A and corrected earnings release | https://www.sec.gov/Archives/edgar/data/64803/000006480316000078/0000064803-16-000078-index.htm
## Possible Drivers
**First-order driver.** Shares rose because adjusted EPS and revenue both beat expectations.
**Second-order driver.** Omnicare and Target pharmacies were already adding meaningful scale.
**Third-order driver.** Integration costs reduced GAAP profit, but they did not change the full-year outlook.
### Verified reaction source
2016-05-03 | CBS News / Associated Press | CVS posts healthy first-quarter results | https://www.cbsnews.com/news/cvs-posts-healthy-first-quarter-results/
2016-05-03 | InvestorPlace | CVS Stock Could Offer Some Defensive Upside | https://investorplace.com/2016/05/cvs-health-corp-cvs-stock-trade-day/
## Verification Status
Included sources were checked for CVS Health/CVS identity, the correct earnings event or directly relevant same-window market reaction, publication date, timing window and source origin. CVS Health Investor Relations / SEC is used where an exact historical page was available. No WSJ, Reuters, Dow Jones or MarketWatch-syndicated article is included. Attribution strength: **EXPLICIT**.
</x:v>
      </x:c>
      <x:c r="N2" s="15" t="str">
        <x:v>None</x:v>
      </x:c>
      <x:c r="O2" s="15" t="str">
        <x:v>2016-05-03 | SEC | CVS Health Q1 2016 Form 8-K/A and corrected earnings release | https://www.sec.gov/Archives/edgar/data/64803/000006480316000078/0000064803-16-000078-index.htm</x:v>
      </x:c>
      <x:c r="P2" s="15" t="str">
        <x:v>2016-05-03 | CBS News / Associated Press | CVS posts healthy first-quarter results | https://www.cbsnews.com/news/cvs-posts-healthy-first-quarter-results/
2016-05-03 | InvestorPlace | CVS Stock Could Offer Some Defensive Upside | https://investorplace.com/2016/05/cvs-health-corp-cvs-stock-trade-day/</x:v>
      </x:c>
      <x:c r="Q2" s="15" t="str">
        <x:v>2016-05-03 | SEC | CVS Health Q1 2016 Form 8-K/A and corrected earnings release | https://www.sec.gov/Archives/edgar/data/64803/000006480316000078/0000064803-16-000078-index.htm
2016-05-03 | CBS News / Associated Press | CVS posts healthy first-quarter results | https://www.cbsnews.com/news/cvs-posts-healthy-first-quarter-results/
2016-05-03 | InvestorPlace | CVS Stock Could Offer Some Defensive Upside | https://investorplace.com/2016/05/cvs-health-corp-cvs-stock-trade-day/</x:v>
      </x:c>
      <x:c r="R2" s="15" t="n">
        <x:v>3</x:v>
      </x:c>
      <x:c r="S2" s="15" t="str">
        <x:v>PASS</x:v>
      </x:c>
    </x:row>
    <x:row r="3" ht="340" customHeight="1">
      <x:c r="A3" s="15" t="n">
        <x:v>1</x:v>
      </x:c>
      <x:c r="B3" s="15" t="str">
        <x:v>CVS</x:v>
      </x:c>
      <x:c r="C3" s="15" t="str">
        <x:v>CVS Health</x:v>
      </x:c>
      <x:c r="D3" s="15" t="str">
        <x:v>2016q3</x:v>
      </x:c>
      <x:c r="E3" s="15" t="str">
        <x:v>2016-08-02</x:v>
      </x:c>
      <x:c r="F3" s="18" t="n">
        <x:v>5.6</x:v>
      </x:c>
      <x:c r="G3" s="18" t="n">
        <x:v>-1.08</x:v>
      </x:c>
      <x:c r="H3" s="18" t="n">
        <x:v>4.46</x:v>
      </x:c>
      <x:c r="I3" s="18" t="n">
        <x:v>5.56</x:v>
      </x:c>
      <x:c r="J3" s="18" t="n">
        <x:v>4.56</x:v>
      </x:c>
      <x:c r="K3" s="15" t="str">
        <x:v>ret_1day_pct</x:v>
      </x:c>
      <x:c r="L3" s="15" t="str">
        <x:v>UP</x:v>
      </x:c>
      <x:c r="M3" s="15" t="str">
        <x:v>## Prior Context
By Q2, the market wanted evidence that the Omnicare and Target transactions were creating durable revenue growth rather than only adding complexity. Specialty pharmacy and PBM claims were also becoming increasingly important profit drivers.
### Verified prior source
2016-05-03 | SEC | CVS Health Q1 2016 Form 8-K/A and corrected earnings release | https://www.sec.gov/Archives/edgar/data/64803/000006480316000078/0000064803-16-000078-index.htm
## Current Earnings Release
Second-quarter revenue increased to roughly **$43.73 billion**, and adjusted EPS was about **$1.32**, ahead of consensus. Pharmacy Services revenue grew strongly on new business and specialty-drug claims, while Retail/LTC benefited from Omnicare and the Target pharmacy acquisition.
GAAP earnings were depressed by a large debt-extinguishment charge and acquisition-related costs, but those items did not reflect operating weakness. CVS also nudged its full-year adjusted earnings forecast higher. The report therefore showed that the acquisition strategy was translating into operating growth while the headline GAAP number was obscured by financing/accounting effects.
### Verified release source
2016-08-02 | Associated Press / Express-News | CVS Health tops 2Q profit forecasts, spurred by acquisitions | https://www.expressnews.com/business/health-care/article/CVS-Health-tops-2Q-profit-forecasts-spurred-by-9050362.php
## Possible Drivers
**First-order driver.** The stock rose sharply because operating earnings beat expectations and guidance improved.
**Second-order driver.** PBM and specialty-pharmacy growth strengthened the higher-quality service mix.
**Third-order driver.** Debt and acquisition charges hurt GAAP profit but were largely non-operating.
### Verified reaction source
2016-08-02 | Pharmaceutical Processing World / Associated Press | CVS Health Tops 2Q Profit Forecasts, Spurred by Acquisitions | https://www.pharmaceuticalprocessingworld.com/cvs-health-tops-2q-profit-forecasts-spurred-by-acquisitions/
## Verification Status
Included sources were checked for CVS Health/CVS identity, the correct earnings event or directly relevant same-window market reaction, publication date, timing window and source origin. CVS Health Investor Relations / SEC is used where an exact historical page was available. No WSJ, Reuters, Dow Jones or MarketWatch-syndicated article is included. Attribution strength: **EXPLICIT**.
</x:v>
      </x:c>
      <x:c r="N3" s="15" t="str">
        <x:v>2016-05-03 | SEC | CVS Health Q1 2016 Form 8-K/A and corrected earnings release | https://www.sec.gov/Archives/edgar/data/64803/000006480316000078/0000064803-16-000078-index.htm</x:v>
      </x:c>
      <x:c r="O3" s="15" t="str">
        <x:v>2016-08-02 | Associated Press / Express-News | CVS Health tops 2Q profit forecasts, spurred by acquisitions | https://www.expressnews.com/business/health-care/article/CVS-Health-tops-2Q-profit-forecasts-spurred-by-9050362.php</x:v>
      </x:c>
      <x:c r="P3" s="15" t="str">
        <x:v>2016-08-02 | Pharmaceutical Processing World / Associated Press | CVS Health Tops 2Q Profit Forecasts, Spurred by Acquisitions | https://www.pharmaceuticalprocessingworld.com/cvs-health-tops-2q-profit-forecasts-spurred-by-acquisitions/</x:v>
      </x:c>
      <x:c r="Q3" s="15" t="str">
        <x:v>2016-05-03 | SEC | CVS Health Q1 2016 Form 8-K/A and corrected earnings release | https://www.sec.gov/Archives/edgar/data/64803/000006480316000078/0000064803-16-000078-index.htm
2016-08-02 | Associated Press / Express-News | CVS Health tops 2Q profit forecasts, spurred by acquisitions | https://www.expressnews.com/business/health-care/article/CVS-Health-tops-2Q-profit-forecasts-spurred-by-9050362.php
2016-08-02 | Pharmaceutical Processing World / Associated Press | CVS Health Tops 2Q Profit Forecasts, Spurred by Acquisitions | https://www.pharmaceuticalprocessingworld.com/cvs-health-tops-2q-profit-forecasts-spurred-by-acquisitions/</x:v>
      </x:c>
      <x:c r="R3" s="15" t="n">
        <x:v>3</x:v>
      </x:c>
      <x:c r="S3" s="15" t="str">
        <x:v>PASS</x:v>
      </x:c>
    </x:row>
    <x:row r="4" ht="340" customHeight="1">
      <x:c r="A4" s="15" t="n">
        <x:v>2</x:v>
      </x:c>
      <x:c r="B4" s="15" t="str">
        <x:v>CVS</x:v>
      </x:c>
      <x:c r="C4" s="15" t="str">
        <x:v>CVS Health</x:v>
      </x:c>
      <x:c r="D4" s="15" t="str">
        <x:v>2016q4</x:v>
      </x:c>
      <x:c r="E4" s="15" t="str">
        <x:v>2016-11-08</x:v>
      </x:c>
      <x:c r="F4" s="18" t="n">
        <x:v>-12.21</x:v>
      </x:c>
      <x:c r="G4" s="18" t="n">
        <x:v>2.92</x:v>
      </x:c>
      <x:c r="H4" s="18" t="n">
        <x:v>-9.65</x:v>
      </x:c>
      <x:c r="I4" s="18" t="n">
        <x:v>-10.36</x:v>
      </x:c>
      <x:c r="J4" s="18" t="n">
        <x:v>-12.27</x:v>
      </x:c>
      <x:c r="K4" s="15" t="str">
        <x:v>ret_1day_pct</x:v>
      </x:c>
      <x:c r="L4" s="15" t="str">
        <x:v>DOWN</x:v>
      </x:c>
      <x:c r="M4" s="15" t="str">
        <x:v>## Prior Context
CVS had been executing well operationally, but competitive changes in pharmacy networks became a major new risk. Insurers and PBMs were increasingly steering prescriptions toward narrower preferred-pharmacy networks, creating the possibility of large retail-script losses.
### Verified prior source
2016-08-02 | Associated Press / Express-News | CVS Health tops 2Q profit forecasts, spurred by acquisitions | https://www.expressnews.com/business/health-care/article/CVS-Health-tops-2Q-profit-forecasts-spurred-by-9050362.php
## Current Earnings Release
Q3 revenue rose about **15.5% to $44.6 billion** and adjusted EPS of roughly **$1.64** beat expectations. The headline quarter was therefore not weak.
The shock came from the outlook. CVS warned it expected to lose **more than 40 million retail prescriptions** because of new restricted pharmacy networks and other marketplace changes, with business shifting to competitors including Walgreens. Revenue also missed consensus, and management materially reset 2017 earnings expectations. This was a forward-volume shock rather than a current-quarter earnings failure.
### Verified release source
2016-11-08 | SEC | CVS Health Q3 2016 earnings filing | https://www.sec.gov/Archives/edgar/data/64803/0000064803-16-000099-index.htm
## Possible Drivers
**First-order driver.** The 12% selloff was driven by the expected loss of more than 40 million prescriptions and weaker guidance.
**Second-order driver.** Restricted pharmacy networks shifted valuable traffic toward Walgreens and other competitors.
**Third-order driver.** The strong Q3 EPS result mattered little because the earnings reset was forward-looking.
### Verified reaction source
2016-11-08 | Retail Dive | CVS slashes guidance as prescription growth sputters | https://www.retaildive.com/news/cvs-slashes-guidance-as-prescription-growth-sputters/429954/
2016-11-08 | The Motley Fool | Why CVS Health Corp Stock Is Falling Today | https://www.fool.com/investing/2016/11/08/why-cvs-health-corp-stock-is-falling-today.aspx
2016-11-08 | Fortune | CVS Shares Are Taking a Beat as Walgreens Steals a Ton of Business | https://fortune.com/2016/11/08/cvs-health-stock/
## Verification Status
Included sources were checked for CVS Health/CVS identity, the correct earnings event or directly relevant same-window market reaction, publication date, timing window and source origin. CVS Health Investor Relations / SEC is used where an exact historical page was available. No WSJ, Reuters, Dow Jones or MarketWatch-syndicated article is included. Attribution strength: **EXPLICIT**.
</x:v>
      </x:c>
      <x:c r="N4" s="15" t="str">
        <x:v>2016-08-02 | Associated Press / Express-News | CVS Health tops 2Q profit forecasts, spurred by acquisitions | https://www.expressnews.com/business/health-care/article/CVS-Health-tops-2Q-profit-forecasts-spurred-by-9050362.php</x:v>
      </x:c>
      <x:c r="O4" s="15" t="str">
        <x:v>2016-11-08 | SEC | CVS Health Q3 2016 earnings filing | https://www.sec.gov/Archives/edgar/data/64803/0000064803-16-000099-index.htm</x:v>
      </x:c>
      <x:c r="P4" s="15" t="str">
        <x:v>2016-11-08 | Retail Dive | CVS slashes guidance as prescription growth sputters | https://www.retaildive.com/news/cvs-slashes-guidance-as-prescription-growth-sputters/429954/
2016-11-08 | The Motley Fool | Why CVS Health Corp Stock Is Falling Today | https://www.fool.com/investing/2016/11/08/why-cvs-health-corp-stock-is-falling-today.aspx
2016-11-08 | Fortune | CVS Shares Are Taking a Beat as Walgreens Steals a Ton of Business | https://fortune.com/2016/11/08/cvs-health-stock/</x:v>
      </x:c>
      <x:c r="Q4" s="15" t="str">
        <x:v>2016-08-02 | Associated Press / Express-News | CVS Health tops 2Q profit forecasts, spurred by acquisitions | https://www.expressnews.com/business/health-care/article/CVS-Health-tops-2Q-profit-forecasts-spurred-by-9050362.php
2016-11-08 | SEC | CVS Health Q3 2016 earnings filing | https://www.sec.gov/Archives/edgar/data/64803/0000064803-16-000099-index.htm
2016-11-08 | Retail Dive | CVS slashes guidance as prescription growth sputters | https://www.retaildive.com/news/cvs-slashes-guidance-as-prescription-growth-sputters/429954/
2016-11-08 | The Motley Fool | Why CVS Health Corp Stock Is Falling Today | https://www.fool.com/investing/2016/11/08/why-cvs-health-corp-stock-is-falling-today.aspx
2016-11-08 | Fortune | CVS Shares Are Taking a Beat as Walgreens Steals a Ton of Business | https://fortune.com/2016/11/08/cvs-health-stock/</x:v>
      </x:c>
      <x:c r="R4" s="15" t="n">
        <x:v>5</x:v>
      </x:c>
      <x:c r="S4" s="15" t="str">
        <x:v>PASS</x:v>
      </x:c>
    </x:row>
    <x:row r="5" ht="340" customHeight="1">
      <x:c r="A5" s="15" t="n">
        <x:v>3</x:v>
      </x:c>
      <x:c r="B5" s="15" t="str">
        <x:v>CVS</x:v>
      </x:c>
      <x:c r="C5" s="15" t="str">
        <x:v>CVS Health</x:v>
      </x:c>
      <x:c r="D5" s="15" t="str">
        <x:v>2017q1</x:v>
      </x:c>
      <x:c r="E5" s="15" t="str">
        <x:v>2017-02-09</x:v>
      </x:c>
      <x:c r="F5" s="18" t="n">
        <x:v>-0.29</x:v>
      </x:c>
      <x:c r="G5" s="18" t="n">
        <x:v>1.17</x:v>
      </x:c>
      <x:c r="H5" s="18" t="n">
        <x:v>0.88</x:v>
      </x:c>
      <x:c r="I5" s="18" t="n">
        <x:v>1.64</x:v>
      </x:c>
      <x:c r="J5" s="18" t="n">
        <x:v>0.96</x:v>
      </x:c>
      <x:c r="K5" s="15" t="str">
        <x:v>ret_1day_pct</x:v>
      </x:c>
      <x:c r="L5" s="15" t="str">
        <x:v>DOWN</x:v>
      </x:c>
      <x:c r="M5" s="15" t="str">
        <x:v>## Prior Context
After the November collapse, 2017 had already been framed as a rebuilding year. The market knew CVS would lose substantial retail prescription volume, so the key question was whether PBM growth and cost control could keep earnings near the reduced target.
### Verified prior source
2016-11-08 | SEC | CVS Health Q3 2016 earnings filing | https://www.sec.gov/Archives/edgar/data/64803/0000064803-16-000099-index.htm
## Current Earnings Release
CVS reported fourth-quarter revenue of **$45.97 billion** and adjusted EPS of **$1.71**. EPS beat consensus near $1.67, while revenue fell short of expectations. Specialty and generic prescriptions helped profitability, and CVS **reaffirmed** its 2017 adjusted EPS outlook of $5.77–$5.93.
The report stabilized expectations rather than creating a new growth thesis. The company was still absorbing the network losses announced in November, but there was no additional major downgrade. That explains why the earnings-day stock move was essentially flat despite the premarket EPS beat.
### Verified release source
2017-02-09 | SEC | CVS Health Q4 2016 earnings filing | https://www.sec.gov/Archives/edgar/data/64803/000006480317000004/0000064803-17-000004-index.html
## Possible Drivers
**First-order driver.** The stock was essentially flat because an EPS beat was offset by a revenue miss and an already-depressed 2017 outlook.
**Second-order driver.** Reaffirming guidance reduced fear of another immediate estimate cut.
**Third-order driver.** PBM and specialty growth remained the main offsets to weak retail scripts.
### Verified reaction source
2017-02-09 | Journal Record / Associated Press | CVS Health beats 4Q profit forecasts, affirms 2017 forecast | https://journalrecord.com/2017/02/09/cvs-health-beats-4q-profit-forecasts-affirms-2017-forecast/
## Verification Status
Included sources were checked for CVS Health/CVS identity, the correct earnings event or directly relevant same-window market reaction, publication date, timing window and source origin. CVS Health Investor Relations / SEC is used where an exact historical page was available. No WSJ, Reuters, Dow Jones or MarketWatch-syndicated article is included. Attribution strength: **SUPPORTED_INFERENCE**.
</x:v>
      </x:c>
      <x:c r="N5" s="15" t="str">
        <x:v>2016-11-08 | SEC | CVS Health Q3 2016 earnings filing | https://www.sec.gov/Archives/edgar/data/64803/0000064803-16-000099-index.htm</x:v>
      </x:c>
      <x:c r="O5" s="15" t="str">
        <x:v>2017-02-09 | SEC | CVS Health Q4 2016 earnings filing | https://www.sec.gov/Archives/edgar/data/64803/000006480317000004/0000064803-17-000004-index.html</x:v>
      </x:c>
      <x:c r="P5" s="15" t="str">
        <x:v>2017-02-09 | Journal Record / Associated Press | CVS Health beats 4Q profit forecasts, affirms 2017 forecast | https://journalrecord.com/2017/02/09/cvs-health-beats-4q-profit-forecasts-affirms-2017-forecast/</x:v>
      </x:c>
      <x:c r="Q5" s="15" t="str">
        <x:v>2016-11-08 | SEC | CVS Health Q3 2016 earnings filing | https://www.sec.gov/Archives/edgar/data/64803/0000064803-16-000099-index.htm
2017-02-09 | SEC | CVS Health Q4 2016 earnings filing | https://www.sec.gov/Archives/edgar/data/64803/000006480317000004/0000064803-17-000004-index.html
2017-02-09 | Journal Record / Associated Press | CVS Health beats 4Q profit forecasts, affirms 2017 forecast | https://journalrecord.com/2017/02/09/cvs-health-beats-4q-profit-forecasts-affirms-2017-forecast/</x:v>
      </x:c>
      <x:c r="R5" s="15" t="n">
        <x:v>3</x:v>
      </x:c>
      <x:c r="S5" s="15" t="str">
        <x:v>PASS</x:v>
      </x:c>
    </x:row>
    <x:row r="6" ht="340" customHeight="1">
      <x:c r="A6" s="15" t="n">
        <x:v>4</x:v>
      </x:c>
      <x:c r="B6" s="15" t="str">
        <x:v>CVS</x:v>
      </x:c>
      <x:c r="C6" s="15" t="str">
        <x:v>CVS Health</x:v>
      </x:c>
      <x:c r="D6" s="15" t="str">
        <x:v>2017q2</x:v>
      </x:c>
      <x:c r="E6" s="15" t="str">
        <x:v>2017-05-02</x:v>
      </x:c>
      <x:c r="F6" s="18" t="n">
        <x:v>-3.64</x:v>
      </x:c>
      <x:c r="G6" s="18" t="n">
        <x:v>1.14</x:v>
      </x:c>
      <x:c r="H6" s="18" t="n">
        <x:v>-2.54</x:v>
      </x:c>
      <x:c r="I6" s="18" t="n">
        <x:v>-3.3</x:v>
      </x:c>
      <x:c r="J6" s="18" t="n">
        <x:v>-2.14</x:v>
      </x:c>
      <x:c r="K6" s="15" t="str">
        <x:v>ret_1day_pct</x:v>
      </x:c>
      <x:c r="L6" s="15" t="str">
        <x:v>DOWN</x:v>
      </x:c>
      <x:c r="M6" s="15" t="str">
        <x:v>## Prior Context
CVS entered Q1 still dealing with the prescription-network losses disclosed the prior fall. Management called 2017 a rebuilding year, making retail same-store scripts, reimbursement pressure and PBM growth the key variables.
### Verified prior source
2017-02-09 | SEC | CVS Health Q4 2016 earnings filing | https://www.sec.gov/Archives/edgar/data/64803/000006480317000004/0000064803-17-000004-index.html
## Current Earnings Release
Q1 revenue was approximately **$44.51 billion** and adjusted EPS **$1.17**, both above consensus. Pharmacy Services revenue grew about 8.5% on claim volume, brand inflation and specialty pharmacy.
The weakness remained in Retail/LTC. Retail revenue fell about 3.8% and same-store sales declined roughly **4.7%**, reflecting the previously disclosed network losses, generic introductions and reimbursement pressure. CVS maintained its full-year adjusted EPS outlook rather than raising it. The market therefore saw a statistical beat but little evidence that the core retail problem had turned.
### Verified release source
2017-05-02 | CVS Health Investor Relations | Q1 2017 Earnings Results | https://investors.cvshealth.com/events-and-presentations/event-details/2017/Q1-2017-Earnings-Results/default.aspx
## Possible Drivers
**First-order driver.** Shares fell because weak retail comps and reimbursement pressure outweighed the headline earnings beat.
**Second-order driver.** PBM growth was healthy but could not fully offset lost retail prescription volume.
**Third-order driver.** Maintaining rather than raising annual guidance limited the value of the quarterly beat.
### Verified reaction source
2017-05-02 | Express-News / Associated Press | CVS Health profit slides 17% but results still top forecasts | https://www.expressnews.com/business/health-care/article/CVS-Health-profit-slides-17-but-results-still-11115097.php
## Verification Status
Included sources were checked for CVS Health/CVS identity, the correct earnings event or directly relevant same-window market reaction, publication date, timing window and source origin. CVS Health Investor Relations / SEC is used where an exact historical page was available. No WSJ, Reuters, Dow Jones or MarketWatch-syndicated article is included. Attribution strength: **SUPPORTED_INFERENCE**.
</x:v>
      </x:c>
      <x:c r="N6" s="15" t="str">
        <x:v>2017-02-09 | SEC | CVS Health Q4 2016 earnings filing | https://www.sec.gov/Archives/edgar/data/64803/000006480317000004/0000064803-17-000004-index.html</x:v>
      </x:c>
      <x:c r="O6" s="15" t="str">
        <x:v>2017-05-02 | CVS Health Investor Relations | Q1 2017 Earnings Results | https://investors.cvshealth.com/events-and-presentations/event-details/2017/Q1-2017-Earnings-Results/default.aspx</x:v>
      </x:c>
      <x:c r="P6" s="15" t="str">
        <x:v>2017-05-02 | Express-News / Associated Press | CVS Health profit slides 17% but results still top forecasts | https://www.expressnews.com/business/health-care/article/CVS-Health-profit-slides-17-but-results-still-11115097.php</x:v>
      </x:c>
      <x:c r="Q6" s="15" t="str">
        <x:v>2017-02-09 | SEC | CVS Health Q4 2016 earnings filing | https://www.sec.gov/Archives/edgar/data/64803/000006480317000004/0000064803-17-000004-index.html
2017-05-02 | CVS Health Investor Relations | Q1 2017 Earnings Results | https://investors.cvshealth.com/events-and-presentations/event-details/2017/Q1-2017-Earnings-Results/default.aspx
2017-05-02 | Express-News / Associated Press | CVS Health profit slides 17% but results still top forecasts | https://www.expressnews.com/business/health-care/article/CVS-Health-profit-slides-17-but-results-still-11115097.php</x:v>
      </x:c>
      <x:c r="R6" s="15" t="n">
        <x:v>3</x:v>
      </x:c>
      <x:c r="S6" s="15" t="str">
        <x:v>PASS</x:v>
      </x:c>
    </x:row>
    <x:row r="7" ht="340" customHeight="1">
      <x:c r="A7" s="15" t="n">
        <x:v>5</x:v>
      </x:c>
      <x:c r="B7" s="15" t="str">
        <x:v>CVS</x:v>
      </x:c>
      <x:c r="C7" s="15" t="str">
        <x:v>CVS Health</x:v>
      </x:c>
      <x:c r="D7" s="15" t="str">
        <x:v>2017q3</x:v>
      </x:c>
      <x:c r="E7" s="15" t="str">
        <x:v>2017-08-08</x:v>
      </x:c>
      <x:c r="F7" s="18" t="n">
        <x:v>-0.42</x:v>
      </x:c>
      <x:c r="G7" s="18" t="n">
        <x:v>1.24</x:v>
      </x:c>
      <x:c r="H7" s="18" t="n">
        <x:v>0.82</x:v>
      </x:c>
      <x:c r="I7" s="18" t="n">
        <x:v>2.16</x:v>
      </x:c>
      <x:c r="J7" s="18" t="n">
        <x:v>3.46</x:v>
      </x:c>
      <x:c r="K7" s="15" t="str">
        <x:v>ret_1day_pct</x:v>
      </x:c>
      <x:c r="L7" s="15" t="str">
        <x:v>DOWN</x:v>
      </x:c>
      <x:c r="M7" s="15" t="str">
        <x:v>## Prior Context
The rebuilding story was becoming increasingly bifurcated: Pharmacy Services was growing, while Retail/LTC remained weak. Investors were looking for any sign that store traffic and prescription trends had begun to normalize.
### Verified prior source
2017-05-02 | CVS Health Investor Relations | Q1 2017 Earnings Results | https://investors.cvshealth.com/events-and-presentations/event-details/2017/Q1-2017-Earnings-Results/default.aspx
## Current Earnings Release
Q2 revenue rose to about **$45.69 billion** and adjusted EPS was **$1.33**, both slightly above expectations. Pharmacy Services revenue increased about 9.5%, driven by claims, brand inflation and specialty volume.
Retail/LTC revenue fell about 2.8%, and same-store sales remained negative because of generics, reimbursement pressure and soft front-store traffic. CVS raised the low end of full-year adjusted EPS guidance, but its third-quarter adjusted EPS outlook was below the level the market had been expecting. The result was therefore a PBM-led beat with an still-unresolved retail problem.
### Verified release source
2017-08-08 | CVS Health Investor Relations | Q2 2017 Earnings Results | https://investors.cvshealth.com/events-and-presentations/event-details/2017/Q2-2017-Earnings-Results/default.aspx
## Possible Drivers
**First-order driver.** The earnings-day move was slightly negative as weak retail trends and a softer Q3 outlook offset the beat.
**Second-order driver.** PBM performance remained the strongest part of the company.
**Third-order driver.** Negative same-store sales showed the retail recovery was still incomplete.
### Verified reaction source
2017-08-08 | The Motley Fool | CVS Health Corporation's PBM Strong, but Retail Business Weak in 2nd Quarter | https://www.fool.com/investing/2017/08/08/cvs-health-corporations-pbm-strong-but-retail-busi.aspx
## Verification Status
Included sources were checked for CVS Health/CVS identity, the correct earnings event or directly relevant same-window market reaction, publication date, timing window and source origin. CVS Health Investor Relations / SEC is used where an exact historical page was available. No WSJ, Reuters, Dow Jones or MarketWatch-syndicated article is included. Attribution strength: **SUPPORTED_INFERENCE**.
</x:v>
      </x:c>
      <x:c r="N7" s="15" t="str">
        <x:v>2017-05-02 | CVS Health Investor Relations | Q1 2017 Earnings Results | https://investors.cvshealth.com/events-and-presentations/event-details/2017/Q1-2017-Earnings-Results/default.aspx</x:v>
      </x:c>
      <x:c r="O7" s="15" t="str">
        <x:v>2017-08-08 | CVS Health Investor Relations | Q2 2017 Earnings Results | https://investors.cvshealth.com/events-and-presentations/event-details/2017/Q2-2017-Earnings-Results/default.aspx</x:v>
      </x:c>
      <x:c r="P7" s="15" t="str">
        <x:v>2017-08-08 | The Motley Fool | CVS Health Corporation's PBM Strong, but Retail Business Weak in 2nd Quarter | https://www.fool.com/investing/2017/08/08/cvs-health-corporations-pbm-strong-but-retail-busi.aspx</x:v>
      </x:c>
      <x:c r="Q7" s="15" t="str">
        <x:v>2017-05-02 | CVS Health Investor Relations | Q1 2017 Earnings Results | https://investors.cvshealth.com/events-and-presentations/event-details/2017/Q1-2017-Earnings-Results/default.aspx
2017-08-08 | CVS Health Investor Relations | Q2 2017 Earnings Results | https://investors.cvshealth.com/events-and-presentations/event-details/2017/Q2-2017-Earnings-Results/default.aspx
2017-08-08 | The Motley Fool | CVS Health Corporation's PBM Strong, but Retail Business Weak in 2nd Quarter | https://www.fool.com/investing/2017/08/08/cvs-health-corporations-pbm-strong-but-retail-busi.aspx</x:v>
      </x:c>
      <x:c r="R7" s="15" t="n">
        <x:v>3</x:v>
      </x:c>
      <x:c r="S7" s="15" t="str">
        <x:v>PASS</x:v>
      </x:c>
    </x:row>
    <x:row r="8" ht="340" customHeight="1">
      <x:c r="A8" s="15" t="n">
        <x:v>6</x:v>
      </x:c>
      <x:c r="B8" s="15" t="str">
        <x:v>CVS</x:v>
      </x:c>
      <x:c r="C8" s="15" t="str">
        <x:v>CVS Health</x:v>
      </x:c>
      <x:c r="D8" s="15" t="str">
        <x:v>2017q4</x:v>
      </x:c>
      <x:c r="E8" s="15" t="str">
        <x:v>2017-11-06</x:v>
      </x:c>
      <x:c r="F8" s="18" t="n">
        <x:v>-3.75</x:v>
      </x:c>
      <x:c r="G8" s="18" t="n">
        <x:v>3.4</x:v>
      </x:c>
      <x:c r="H8" s="18" t="n">
        <x:v>-0.47</x:v>
      </x:c>
      <x:c r="I8" s="18" t="n">
        <x:v>-0.94</x:v>
      </x:c>
      <x:c r="J8" s="18" t="n">
        <x:v>-0.62</x:v>
      </x:c>
      <x:c r="K8" s="15" t="str">
        <x:v>ret_1day_pct</x:v>
      </x:c>
      <x:c r="L8" s="15" t="str">
        <x:v>DOWN</x:v>
      </x:c>
      <x:c r="M8" s="15" t="str">
        <x:v>## Prior Context
By Q3, CVS was confronting both persistent retail weakness and a new strategic threat: speculation that Amazon would enter prescription pharmacy. At the same time, reports that CVS was considering acquiring Aetna introduced major deal and financing uncertainty.
### Verified prior source
2017-08-08 | CVS Health Investor Relations | Q2 2017 Earnings Results | https://investors.cvshealth.com/events-and-presentations/event-details/2017/Q2-2017-Earnings-Results/default.aspx
## Current Earnings Release
CVS reported **$46.18 billion of revenue** and adjusted EPS of **$1.50**, essentially meeting revenue expectations and slightly beating earnings estimates. Pharmacy Services continued to expand on claims and specialty volume.
Retail remained weak: same-store sales and traffic were negative, and operating profit in the retail segment declined. CVS announced nationwide next-day prescription delivery, an initiative widely interpreted as a defensive response to potential Amazon competition. The company also narrowed annual guidance while merger speculation around Aetna was intensifying.
### Verified release source
2017-11-06 | CVS Health Investor Relations | Q3 2017 Earnings Results | https://investors.cvshealth.com/events-and-presentations/event-details/2017/Q3-2017-Earnings-Results/default.aspx
## Possible Drivers
**First-order driver.** The stock fell as investors focused on weak retail trends and the threat of Amazon entering pharmacy.
**Second-order driver.** The earnings beat was too small to change the broader retail deterioration story.
**Third-order driver.** Aetna deal speculation added leverage and execution uncertainty.
### Verified reaction source
2017-11-06 | TheStreet | CVS Posts Negative Retail Same-Store Sales, Announces Next-Day Delivery | https://www.thestreet.com/investing/stocks/cvs-beats-wall-street-estimates-but-posts-negative-retail-same-store-sales-14377867
2017-11-06 | CNN Money | CVS to offer next-day drug delivery | https://money.cnn.com/2017/11/06/investing/cvs-same-day-delivery/index.html
## Verification Status
Included sources were checked for CVS Health/CVS identity, the correct earnings event or directly relevant same-window market reaction, publication date, timing window and source origin. CVS Health Investor Relations / SEC is used where an exact historical page was available. No WSJ, Reuters, Dow Jones or MarketWatch-syndicated article is included. Attribution strength: **EXPLICIT/SUPPORTED**.
</x:v>
      </x:c>
      <x:c r="N8" s="15" t="str">
        <x:v>2017-08-08 | CVS Health Investor Relations | Q2 2017 Earnings Results | https://investors.cvshealth.com/events-and-presentations/event-details/2017/Q2-2017-Earnings-Results/default.aspx</x:v>
      </x:c>
      <x:c r="O8" s="15" t="str">
        <x:v>2017-11-06 | CVS Health Investor Relations | Q3 2017 Earnings Results | https://investors.cvshealth.com/events-and-presentations/event-details/2017/Q3-2017-Earnings-Results/default.aspx</x:v>
      </x:c>
      <x:c r="P8" s="15" t="str">
        <x:v>2017-11-06 | TheStreet | CVS Posts Negative Retail Same-Store Sales, Announces Next-Day Delivery | https://www.thestreet.com/investing/stocks/cvs-beats-wall-street-estimates-but-posts-negative-retail-same-store-sales-14377867
2017-11-06 | CNN Money | CVS to offer next-day drug delivery | https://money.cnn.com/2017/11/06/investing/cvs-same-day-delivery/index.html</x:v>
      </x:c>
      <x:c r="Q8" s="15" t="str">
        <x:v>2017-08-08 | CVS Health Investor Relations | Q2 2017 Earnings Results | https://investors.cvshealth.com/events-and-presentations/event-details/2017/Q2-2017-Earnings-Results/default.aspx
2017-11-06 | CVS Health Investor Relations | Q3 2017 Earnings Results | https://investors.cvshealth.com/events-and-presentations/event-details/2017/Q3-2017-Earnings-Results/default.aspx
2017-11-06 | TheStreet | CVS Posts Negative Retail Same-Store Sales, Announces Next-Day Delivery | https://www.thestreet.com/investing/stocks/cvs-beats-wall-street-estimates-but-posts-negative-retail-same-store-sales-14377867
2017-11-06 | CNN Money | CVS to offer next-day drug delivery | https://money.cnn.com/2017/11/06/investing/cvs-same-day-delivery/index.html</x:v>
      </x:c>
      <x:c r="R8" s="15" t="n">
        <x:v>4</x:v>
      </x:c>
      <x:c r="S8" s="15" t="str">
        <x:v>PASS</x:v>
      </x:c>
    </x:row>
    <x:row r="9" ht="340" customHeight="1">
      <x:c r="A9" s="15" t="n">
        <x:v>7</x:v>
      </x:c>
      <x:c r="B9" s="15" t="str">
        <x:v>CVS</x:v>
      </x:c>
      <x:c r="C9" s="15" t="str">
        <x:v>CVS Health</x:v>
      </x:c>
      <x:c r="D9" s="15" t="str">
        <x:v>2018q1</x:v>
      </x:c>
      <x:c r="E9" s="15" t="str">
        <x:v>2018-02-08</x:v>
      </x:c>
      <x:c r="F9" s="18" t="n">
        <x:v>-1.64</x:v>
      </x:c>
      <x:c r="G9" s="18" t="n">
        <x:v>-2.87</x:v>
      </x:c>
      <x:c r="H9" s="18" t="n">
        <x:v>-4.47</x:v>
      </x:c>
      <x:c r="I9" s="18" t="n">
        <x:v>-3.64</x:v>
      </x:c>
      <x:c r="J9" s="18" t="n">
        <x:v>-4.2</x:v>
      </x:c>
      <x:c r="K9" s="15" t="str">
        <x:v>ret_1day_pct</x:v>
      </x:c>
      <x:c r="L9" s="15" t="str">
        <x:v>DOWN</x:v>
      </x:c>
      <x:c r="M9" s="15" t="str">
        <x:v>## Prior Context
CVS had agreed to acquire Aetna for roughly $69 billion, making leverage, integration spending and capital allocation central to the investment case. Tax reform also created a large expected cash benefit, raising expectations for how much would flow to earnings.
### Verified prior source
2017-11-06 | CVS Health Investor Relations | Q3 2017 Earnings Results | https://investors.cvshealth.com/events-and-presentations/event-details/2017/Q3-2017-Earnings-Results/default.aspx
## Current Earnings Release
Q4 revenue increased about **5.3% to $48.39 billion** and adjusted EPS was **$1.92**, at the high end of guidance. PBM revenue grew strongly, and retail prescription trends improved.
The disappointment was the use of tax savings. CVS expected about **$1.2 billion** of benefit from tax reform, but management planned to reinvest a meaningful portion in wages, benefits, analytics and new healthcare services while also reducing debt. As a result, it lowered the 2018 adjusted operating-profit growth outlook from +1% to +4% to a range of roughly **-1.5% to +1.5%**. The quarter was solid; the near-term earnings conversion of tax reform was not.
### Verified release source
2018-02-08 | CVS Health Investor Relations | Q4 2017 Earnings Results | https://investors.cvshealth.com/events-and-presentations/event-details/2018/Q4-2017-Earnings-Results/default.aspx
## Possible Drivers
**First-order driver.** Shares fell because much of the tax benefit was being reinvested rather than flowing to near-term profit.
**Second-order driver.** The Aetna acquisition increased the importance of debt reduction and constrained buybacks/dividend growth.
**Third-order driver.** Core PBM and prescription trends were improving, so the weakness was mainly forward-looking.
### Verified reaction source
2018-02-08 | The Motley Fool | Tax Reform Lifts CVS Health Corporation in 4th Quarter, but Dents Its 2018 Outlook | https://www.fool.com/investing/2018/02/08/tax-reform-lifts-cvs-health-corporation-in-4th-qua.aspx
## Verification Status
Included sources were checked for CVS Health/CVS identity, the correct earnings event or directly relevant same-window market reaction, publication date, timing window and source origin. CVS Health Investor Relations / SEC is used where an exact historical page was available. No WSJ, Reuters, Dow Jones or MarketWatch-syndicated article is included. Attribution strength: **SUPPORTED_INFERENCE**.
</x:v>
      </x:c>
      <x:c r="N9" s="15" t="str">
        <x:v>2017-11-06 | CVS Health Investor Relations | Q3 2017 Earnings Results | https://investors.cvshealth.com/events-and-presentations/event-details/2017/Q3-2017-Earnings-Results/default.aspx</x:v>
      </x:c>
      <x:c r="O9" s="15" t="str">
        <x:v>2018-02-08 | CVS Health Investor Relations | Q4 2017 Earnings Results | https://investors.cvshealth.com/events-and-presentations/event-details/2018/Q4-2017-Earnings-Results/default.aspx</x:v>
      </x:c>
      <x:c r="P9" s="15" t="str">
        <x:v>2018-02-08 | The Motley Fool | Tax Reform Lifts CVS Health Corporation in 4th Quarter, but Dents Its 2018 Outlook | https://www.fool.com/investing/2018/02/08/tax-reform-lifts-cvs-health-corporation-in-4th-qua.aspx</x:v>
      </x:c>
      <x:c r="Q9" s="15" t="str">
        <x:v>2017-11-06 | CVS Health Investor Relations | Q3 2017 Earnings Results | https://investors.cvshealth.com/events-and-presentations/event-details/2017/Q3-2017-Earnings-Results/default.aspx
2018-02-08 | CVS Health Investor Relations | Q4 2017 Earnings Results | https://investors.cvshealth.com/events-and-presentations/event-details/2018/Q4-2017-Earnings-Results/default.aspx
2018-02-08 | The Motley Fool | Tax Reform Lifts CVS Health Corporation in 4th Quarter, but Dents Its 2018 Outlook | https://www.fool.com/investing/2018/02/08/tax-reform-lifts-cvs-health-corporation-in-4th-qua.aspx</x:v>
      </x:c>
      <x:c r="R9" s="15" t="n">
        <x:v>3</x:v>
      </x:c>
      <x:c r="S9" s="15" t="str">
        <x:v>PASS</x:v>
      </x:c>
    </x:row>
    <x:row r="10" ht="340" customHeight="1">
      <x:c r="A10" s="15" t="n">
        <x:v>8</x:v>
      </x:c>
      <x:c r="B10" s="15" t="str">
        <x:v>CVS</x:v>
      </x:c>
      <x:c r="C10" s="15" t="str">
        <x:v>CVS Health</x:v>
      </x:c>
      <x:c r="D10" s="15" t="str">
        <x:v>2018q2</x:v>
      </x:c>
      <x:c r="E10" s="15" t="str">
        <x:v>2018-05-02</x:v>
      </x:c>
      <x:c r="F10" s="18" t="n">
        <x:v>-2.47</x:v>
      </x:c>
      <x:c r="G10" s="18" t="n">
        <x:v>-5.34</x:v>
      </x:c>
      <x:c r="H10" s="18" t="n">
        <x:v>-7.68</x:v>
      </x:c>
      <x:c r="I10" s="18" t="n">
        <x:v>-10.3</x:v>
      </x:c>
      <x:c r="J10" s="18" t="n">
        <x:v>-12.5</x:v>
      </x:c>
      <x:c r="K10" s="15" t="str">
        <x:v>ret_1day_pct</x:v>
      </x:c>
      <x:c r="L10" s="15" t="str">
        <x:v>DOWN</x:v>
      </x:c>
      <x:c r="M10" s="15" t="str">
        <x:v>## Prior Context
The Aetna acquisition now dominated CVS’s balance-sheet story. CVS had issued roughly $40 billion of debt ahead of the closing, suspended share repurchases and committed to rapid deleveraging after the deal.
### Verified prior source
2018-02-08 | CVS Health Investor Relations | Q4 2017 Earnings Results | https://investors.cvshealth.com/events-and-presentations/event-details/2018/Q4-2017-Earnings-Results/default.aspx
## Current Earnings Release
Q1 revenue was about **$45.7 billion**, while adjusted EPS reached **$1.48**, above expectations. Retail prescription growth improved materially as CVS benefited from broader payer relationships and greater participation in preferred Medicare Part D networks. Management increased its revenue and same-store script growth expectations.
The weaker part of the outlook was Long-Term Care, where cost-improvement initiatives were producing less benefit than expected and customers were under financial pressure. At the same time, CVS was already carrying the financing burden for Aetna before receiving Aetna’s earnings or cash flow. The operating quarter was solid, but the investment case remained dominated by leverage, integration and LTC execution risk.
### Verified release source
2018-05-02 | CVS Health Investor Relations | Q1 2018 Earnings Results | https://investors.cvshealth.com/events-and-presentations/event-details/2018/Q1-2018-Earnings-Results/default.aspx
## Possible Drivers
**First-order driver.** No open contemporaneous source located here gives a clean causal attribution for the decline; the safest reading is a strong quarter overshadowed by Aetna leverage/integration risk.
**Second-order driver.** Long-Term Care performance was weaker than management had expected.
**Third-order driver.** Stronger prescription growth improved the core retail outlook but did not remove balance-sheet concerns.
### Verified reaction source
2018-05-02 | Journal Record / Associated Press | CVS Health beats 1Q expectations, works to close Aetna deal | https://journalrecord.com/2018/05/02/cvs-health-beats-1q-expectations-works-to-close-aetna-deal/
2018-05-02 | The Motley Fool | CVS Health Corporation Q1 2018 Earnings Conference Call Transcript | https://www.fool.com/earnings/call-transcripts/2018/05/02/cvs-health-corporation-cvs-q1-2018-earnings-confer.aspx
## Verification Status
Included sources were checked for CVS Health/CVS identity, the correct earnings event or directly relevant same-window market reaction, publication date, timing window and source origin. CVS Health Investor Relations / SEC is used where an exact historical page was available. No WSJ, Reuters, Dow Jones or MarketWatch-syndicated article is included. Attribution strength: **SUPPORTED_INFERENCE_ONLY**.
</x:v>
      </x:c>
      <x:c r="N10" s="15" t="str">
        <x:v>2018-02-08 | CVS Health Investor Relations | Q4 2017 Earnings Results | https://investors.cvshealth.com/events-and-presentations/event-details/2018/Q4-2017-Earnings-Results/default.aspx</x:v>
      </x:c>
      <x:c r="O10" s="15" t="str">
        <x:v>2018-05-02 | CVS Health Investor Relations | Q1 2018 Earnings Results | https://investors.cvshealth.com/events-and-presentations/event-details/2018/Q1-2018-Earnings-Results/default.aspx</x:v>
      </x:c>
      <x:c r="P10" s="15" t="str">
        <x:v>2018-05-02 | Journal Record / Associated Press | CVS Health beats 1Q expectations, works to close Aetna deal | https://journalrecord.com/2018/05/02/cvs-health-beats-1q-expectations-works-to-close-aetna-deal/
2018-05-02 | The Motley Fool | CVS Health Corporation Q1 2018 Earnings Conference Call Transcript | https://www.fool.com/earnings/call-transcripts/2018/05/02/cvs-health-corporation-cvs-q1-2018-earnings-confer.aspx</x:v>
      </x:c>
      <x:c r="Q10" s="15" t="str">
        <x:v>2018-02-08 | CVS Health Investor Relations | Q4 2017 Earnings Results | https://investors.cvshealth.com/events-and-presentations/event-details/2018/Q4-2017-Earnings-Results/default.aspx
2018-05-02 | CVS Health Investor Relations | Q1 2018 Earnings Results | https://investors.cvshealth.com/events-and-presentations/event-details/2018/Q1-2018-Earnings-Results/default.aspx
2018-05-02 | Journal Record / Associated Press | CVS Health beats 1Q expectations, works to close Aetna deal | https://journalrecord.com/2018/05/02/cvs-health-beats-1q-expectations-works-to-close-aetna-deal/
2018-05-02 | The Motley Fool | CVS Health Corporation Q1 2018 Earnings Conference Call Transcript | https://www.fool.com/earnings/call-transcripts/2018/05/02/cvs-health-corporation-cvs-q1-2018-earnings-confer.aspx</x:v>
      </x:c>
      <x:c r="R10" s="15" t="n">
        <x:v>4</x:v>
      </x:c>
      <x:c r="S10" s="15" t="str">
        <x:v>PASS</x:v>
      </x:c>
    </x:row>
    <x:row r="11" ht="340" customHeight="1">
      <x:c r="A11" s="15" t="n">
        <x:v>9</x:v>
      </x:c>
      <x:c r="B11" s="15" t="str">
        <x:v>CVS</x:v>
      </x:c>
      <x:c r="C11" s="15" t="str">
        <x:v>CVS Health</x:v>
      </x:c>
      <x:c r="D11" s="15" t="str">
        <x:v>2018q3</x:v>
      </x:c>
      <x:c r="E11" s="15" t="str">
        <x:v>2018-08-08</x:v>
      </x:c>
      <x:c r="F11" s="18" t="n">
        <x:v>4.18</x:v>
      </x:c>
      <x:c r="G11" s="18" t="n">
        <x:v>0.62</x:v>
      </x:c>
      <x:c r="H11" s="18" t="n">
        <x:v>4.82</x:v>
      </x:c>
      <x:c r="I11" s="18" t="n">
        <x:v>5.25</x:v>
      </x:c>
      <x:c r="J11" s="18" t="n">
        <x:v>7.85</x:v>
      </x:c>
      <x:c r="K11" s="15" t="str">
        <x:v>ret_1day_pct</x:v>
      </x:c>
      <x:c r="L11" s="15" t="str">
        <x:v>UP</x:v>
      </x:c>
      <x:c r="M11" s="15" t="str">
        <x:v>## Prior Context
Ahead of Q2, the Aetna transaction was still awaiting final regulatory approvals, while investors were also debating whether Amazon and government pressure on PBM rebates could damage CVS’s pharmacy economics.
### Verified prior source
2018-05-02 | CVS Health Investor Relations | Q1 2018 Earnings Results | https://investors.cvshealth.com/events-and-presentations/event-details/2018/Q1-2018-Earnings-Results/default.aspx
## Current Earnings Release
Q2 revenue increased about **2.2% to $46.7 billion** and adjusted EPS reached **$1.69**, above consensus near $1.61. Same-store prescription volume grew **9.5%**, a particularly strong underlying operating signal, while PBM and specialty claims remained healthy.
GAAP results included a **$3.9 billion goodwill impairment** tied to the Long-Term Care business, but that noncash charge did not reflect current-quarter cash generation. CVS generated strong free cash flow and narrowed/raised the midpoint of adjusted full-year EPS guidance. Management also said the Aetna transaction was progressing through regulatory approvals.
### Verified release source
2018-08-08 | CVS Health Investor Relations | Q2 2018 Earnings Results | https://investors.cvshealth.com/events-and-presentations/event-details/2018/Q2-2018-Earnings-Results/default.aspx
2018-08-08 | SEC | CVS Health Q2 2018 earnings release | https://www.sec.gov/Archives/edgar/data/64803/000006480318000023/cvs-20180808ex991b6c583.htm
## Possible Drivers
**First-order driver.** Shares rose on a clear adjusted EPS/revenue beat and very strong prescription-volume growth.
**Second-order driver.** The LTC goodwill impairment was large but noncash, so investors focused on adjusted operations.
**Third-order driver.** Better guidance and progress toward closing Aetna improved confidence in the forward setup.
### Verified reaction source
2018-08-08 | InvestorPlace | CVS Health Shares Rally on Better-Than-Expected Earnings | https://investorplace.com/2018/08/cvs-health-up-on-earnings-beat/
## Verification Status
Included sources were checked for CVS Health/CVS identity, the correct earnings event or directly relevant same-window market reaction, publication date, timing window and source origin. CVS Health Investor Relations / SEC is used where an exact historical page was available. No WSJ, Reuters, Dow Jones or MarketWatch-syndicated article is included. Attribution strength: **EXPLICIT**.
</x:v>
      </x:c>
      <x:c r="N11" s="15" t="str">
        <x:v>2018-05-02 | CVS Health Investor Relations | Q1 2018 Earnings Results | https://investors.cvshealth.com/events-and-presentations/event-details/2018/Q1-2018-Earnings-Results/default.aspx</x:v>
      </x:c>
      <x:c r="O11" s="15" t="str">
        <x:v>2018-08-08 | CVS Health Investor Relations | Q2 2018 Earnings Results | https://investors.cvshealth.com/events-and-presentations/event-details/2018/Q2-2018-Earnings-Results/default.aspx
2018-08-08 | SEC | CVS Health Q2 2018 earnings release | https://www.sec.gov/Archives/edgar/data/64803/000006480318000023/cvs-20180808ex991b6c583.htm</x:v>
      </x:c>
      <x:c r="P11" s="15" t="str">
        <x:v>2018-08-08 | InvestorPlace | CVS Health Shares Rally on Better-Than-Expected Earnings | https://investorplace.com/2018/08/cvs-health-up-on-earnings-beat/</x:v>
      </x:c>
      <x:c r="Q11" s="15" t="str">
        <x:v>2018-05-02 | CVS Health Investor Relations | Q1 2018 Earnings Results | https://investors.cvshealth.com/events-and-presentations/event-details/2018/Q1-2018-Earnings-Results/default.aspx
2018-08-08 | CVS Health Investor Relations | Q2 2018 Earnings Results | https://investors.cvshealth.com/events-and-presentations/event-details/2018/Q2-2018-Earnings-Results/default.aspx
2018-08-08 | SEC | CVS Health Q2 2018 earnings release | https://www.sec.gov/Archives/edgar/data/64803/000006480318000023/cvs-20180808ex991b6c583.htm
2018-08-08 | InvestorPlace | CVS Health Shares Rally on Better-Than-Expected Earnings | https://investorplace.com/2018/08/cvs-health-up-on-earnings-beat/</x:v>
      </x:c>
      <x:c r="R11" s="15" t="n">
        <x:v>4</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7" hidden="0" customWidth="1"/>
    <x:col min="7" max="7" width="62" hidden="0" customWidth="1"/>
    <x:col min="8" max="8" width="94" hidden="0" customWidth="1"/>
    <x:col min="9" max="9" width="18"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8"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2016-05-03</x:v>
      </x:c>
      <x:c r="B2" s="12" t="str">
        <x:v>CVS</x:v>
      </x:c>
      <x:c r="C2" s="12" t="str">
        <x:v>release</x:v>
      </x:c>
      <x:c r="D2" s="12" t="str">
        <x:v>2016-05-03</x:v>
      </x:c>
      <x:c r="E2" s="12" t="n">
        <x:v>0</x:v>
      </x:c>
      <x:c r="F2" s="12" t="str">
        <x:v>SEC</x:v>
      </x:c>
      <x:c r="G2" s="12" t="str">
        <x:v>CVS Health Q1 2016 Form 8-K/A and corrected earnings release</x:v>
      </x:c>
      <x:c r="H2" s="12" t="str">
        <x:v>https://www.sec.gov/Archives/edgar/data/64803/000006480316000078/0000064803-16-000078-index.htm</x:v>
      </x:c>
      <x:c r="I2" s="12" t="str">
        <x:v>OPENED/VERIFIED</x:v>
      </x:c>
      <x:c r="J2" s="12" t="str">
        <x:v>PASS</x:v>
      </x:c>
      <x:c r="K2" s="12" t="str">
        <x:v>PASS</x:v>
      </x:c>
      <x:c r="L2" s="12" t="str">
        <x:v>PASS</x:v>
      </x:c>
      <x:c r="M2" s="12" t="str">
        <x:v>NO</x:v>
      </x:c>
      <x:c r="N2" s="12" t="str">
        <x:v>PASS</x:v>
      </x:c>
      <x:c r="O2" s="12" t="str">
        <x:v>FACTUAL</x:v>
      </x:c>
      <x:c r="P2" s="12" t="str">
        <x:v>PASS</x:v>
      </x:c>
      <x:c r="Q2" s="12" t="str">
        <x:v>Checked against CVS Health/CVS, exact event or directly relevant same-window reaction, displayed publication date, timing window and prohibited-source rules.</x:v>
      </x:c>
    </x:row>
    <x:row r="3">
      <x:c r="A3" s="12" t="str">
        <x:v>2016-05-03</x:v>
      </x:c>
      <x:c r="B3" s="12" t="str">
        <x:v>CVS</x:v>
      </x:c>
      <x:c r="C3" s="12" t="str">
        <x:v>reaction</x:v>
      </x:c>
      <x:c r="D3" s="12" t="str">
        <x:v>2016-05-03</x:v>
      </x:c>
      <x:c r="E3" s="12" t="n">
        <x:v>0</x:v>
      </x:c>
      <x:c r="F3" s="12" t="str">
        <x:v>CBS News / Associated Press</x:v>
      </x:c>
      <x:c r="G3" s="12" t="str">
        <x:v>CVS posts healthy first-quarter results</x:v>
      </x:c>
      <x:c r="H3" s="12" t="str">
        <x:v>https://www.cbsnews.com/news/cvs-posts-healthy-first-quarter-results/</x:v>
      </x:c>
      <x:c r="I3" s="12" t="str">
        <x:v>OPENED/VERIFIED</x:v>
      </x:c>
      <x:c r="J3" s="12" t="str">
        <x:v>PASS</x:v>
      </x:c>
      <x:c r="K3" s="12" t="str">
        <x:v>PASS</x:v>
      </x:c>
      <x:c r="L3" s="12" t="str">
        <x:v>PASS</x:v>
      </x:c>
      <x:c r="M3" s="12" t="str">
        <x:v>NO</x:v>
      </x:c>
      <x:c r="N3" s="12" t="str">
        <x:v>PASS</x:v>
      </x:c>
      <x:c r="O3" s="12" t="str">
        <x:v>EXPLICIT</x:v>
      </x:c>
      <x:c r="P3" s="12" t="str">
        <x:v>PASS</x:v>
      </x:c>
      <x:c r="Q3" s="12" t="str">
        <x:v>Checked against CVS Health/CVS, exact event or directly relevant same-window reaction, displayed publication date, timing window and prohibited-source rules.</x:v>
      </x:c>
    </x:row>
    <x:row r="4">
      <x:c r="A4" s="12" t="str">
        <x:v>2016-05-03</x:v>
      </x:c>
      <x:c r="B4" s="12" t="str">
        <x:v>CVS</x:v>
      </x:c>
      <x:c r="C4" s="12" t="str">
        <x:v>reaction</x:v>
      </x:c>
      <x:c r="D4" s="12" t="str">
        <x:v>2016-05-03</x:v>
      </x:c>
      <x:c r="E4" s="12" t="n">
        <x:v>0</x:v>
      </x:c>
      <x:c r="F4" s="12" t="str">
        <x:v>InvestorPlace</x:v>
      </x:c>
      <x:c r="G4" s="12" t="str">
        <x:v>CVS Stock Could Offer Some Defensive Upside</x:v>
      </x:c>
      <x:c r="H4" s="12" t="str">
        <x:v>https://investorplace.com/2016/05/cvs-health-corp-cvs-stock-trade-day/</x:v>
      </x:c>
      <x:c r="I4" s="12" t="str">
        <x:v>OPENED/VERIFIED</x:v>
      </x:c>
      <x:c r="J4" s="12" t="str">
        <x:v>PASS</x:v>
      </x:c>
      <x:c r="K4" s="12" t="str">
        <x:v>PASS</x:v>
      </x:c>
      <x:c r="L4" s="12" t="str">
        <x:v>PASS</x:v>
      </x:c>
      <x:c r="M4" s="12" t="str">
        <x:v>NO</x:v>
      </x:c>
      <x:c r="N4" s="12" t="str">
        <x:v>PASS</x:v>
      </x:c>
      <x:c r="O4" s="12" t="str">
        <x:v>EXPLICIT</x:v>
      </x:c>
      <x:c r="P4" s="12" t="str">
        <x:v>PASS</x:v>
      </x:c>
      <x:c r="Q4" s="12" t="str">
        <x:v>Checked against CVS Health/CVS, exact event or directly relevant same-window reaction, displayed publication date, timing window and prohibited-source rules.</x:v>
      </x:c>
    </x:row>
    <x:row r="5">
      <x:c r="A5" s="12" t="str">
        <x:v>2016-08-02</x:v>
      </x:c>
      <x:c r="B5" s="12" t="str">
        <x:v>CVS</x:v>
      </x:c>
      <x:c r="C5" s="12" t="str">
        <x:v>prior</x:v>
      </x:c>
      <x:c r="D5" s="12" t="str">
        <x:v>2016-05-03</x:v>
      </x:c>
      <x:c r="E5" s="12" t="n">
        <x:v>-91</x:v>
      </x:c>
      <x:c r="F5" s="12" t="str">
        <x:v>SEC</x:v>
      </x:c>
      <x:c r="G5" s="12" t="str">
        <x:v>CVS Health Q1 2016 Form 8-K/A and corrected earnings release</x:v>
      </x:c>
      <x:c r="H5" s="12" t="str">
        <x:v>https://www.sec.gov/Archives/edgar/data/64803/000006480316000078/0000064803-16-000078-index.htm</x:v>
      </x:c>
      <x:c r="I5" s="12" t="str">
        <x:v>OPENED/VERIFIED</x:v>
      </x:c>
      <x:c r="J5" s="12" t="str">
        <x:v>PASS</x:v>
      </x:c>
      <x:c r="K5" s="12" t="str">
        <x:v>PASS</x:v>
      </x:c>
      <x:c r="L5" s="12" t="str">
        <x:v>PASS</x:v>
      </x:c>
      <x:c r="M5" s="12" t="str">
        <x:v>NO</x:v>
      </x:c>
      <x:c r="N5" s="12" t="str">
        <x:v>PASS</x:v>
      </x:c>
      <x:c r="O5" s="12" t="str">
        <x:v>FACTUAL</x:v>
      </x:c>
      <x:c r="P5" s="12" t="str">
        <x:v>PASS</x:v>
      </x:c>
      <x:c r="Q5" s="12" t="str">
        <x:v>Checked against CVS Health/CVS, exact event or directly relevant same-window reaction, displayed publication date, timing window and prohibited-source rules.</x:v>
      </x:c>
    </x:row>
    <x:row r="6">
      <x:c r="A6" s="12" t="str">
        <x:v>2016-08-02</x:v>
      </x:c>
      <x:c r="B6" s="12" t="str">
        <x:v>CVS</x:v>
      </x:c>
      <x:c r="C6" s="12" t="str">
        <x:v>release</x:v>
      </x:c>
      <x:c r="D6" s="12" t="str">
        <x:v>2016-08-02</x:v>
      </x:c>
      <x:c r="E6" s="12" t="n">
        <x:v>0</x:v>
      </x:c>
      <x:c r="F6" s="12" t="str">
        <x:v>Associated Press / Express-News</x:v>
      </x:c>
      <x:c r="G6" s="12" t="str">
        <x:v>CVS Health tops 2Q profit forecasts, spurred by acquisitions</x:v>
      </x:c>
      <x:c r="H6" s="12" t="str">
        <x:v>https://www.expressnews.com/business/health-care/article/CVS-Health-tops-2Q-profit-forecasts-spurred-by-9050362.php</x:v>
      </x:c>
      <x:c r="I6" s="12" t="str">
        <x:v>OPENED/VERIFIED</x:v>
      </x:c>
      <x:c r="J6" s="12" t="str">
        <x:v>PASS</x:v>
      </x:c>
      <x:c r="K6" s="12" t="str">
        <x:v>PASS</x:v>
      </x:c>
      <x:c r="L6" s="12" t="str">
        <x:v>PASS</x:v>
      </x:c>
      <x:c r="M6" s="12" t="str">
        <x:v>NO</x:v>
      </x:c>
      <x:c r="N6" s="12" t="str">
        <x:v>PASS</x:v>
      </x:c>
      <x:c r="O6" s="12" t="str">
        <x:v>FACTUAL</x:v>
      </x:c>
      <x:c r="P6" s="12" t="str">
        <x:v>PASS</x:v>
      </x:c>
      <x:c r="Q6" s="12" t="str">
        <x:v>Checked against CVS Health/CVS, exact event or directly relevant same-window reaction, displayed publication date, timing window and prohibited-source rules.</x:v>
      </x:c>
    </x:row>
    <x:row r="7">
      <x:c r="A7" s="12" t="str">
        <x:v>2016-08-02</x:v>
      </x:c>
      <x:c r="B7" s="12" t="str">
        <x:v>CVS</x:v>
      </x:c>
      <x:c r="C7" s="12" t="str">
        <x:v>reaction</x:v>
      </x:c>
      <x:c r="D7" s="12" t="str">
        <x:v>2016-08-02</x:v>
      </x:c>
      <x:c r="E7" s="12" t="n">
        <x:v>0</x:v>
      </x:c>
      <x:c r="F7" s="12" t="str">
        <x:v>Pharmaceutical Processing World / Associated Press</x:v>
      </x:c>
      <x:c r="G7" s="12" t="str">
        <x:v>CVS Health Tops 2Q Profit Forecasts, Spurred by Acquisitions</x:v>
      </x:c>
      <x:c r="H7" s="12" t="str">
        <x:v>https://www.pharmaceuticalprocessingworld.com/cvs-health-tops-2q-profit-forecasts-spurred-by-acquisitions/</x:v>
      </x:c>
      <x:c r="I7" s="12" t="str">
        <x:v>OPENED/VERIFIED</x:v>
      </x:c>
      <x:c r="J7" s="12" t="str">
        <x:v>PASS</x:v>
      </x:c>
      <x:c r="K7" s="12" t="str">
        <x:v>PASS</x:v>
      </x:c>
      <x:c r="L7" s="12" t="str">
        <x:v>PASS</x:v>
      </x:c>
      <x:c r="M7" s="12" t="str">
        <x:v>NO</x:v>
      </x:c>
      <x:c r="N7" s="12" t="str">
        <x:v>PASS</x:v>
      </x:c>
      <x:c r="O7" s="12" t="str">
        <x:v>EXPLICIT</x:v>
      </x:c>
      <x:c r="P7" s="12" t="str">
        <x:v>PASS</x:v>
      </x:c>
      <x:c r="Q7" s="12" t="str">
        <x:v>Checked against CVS Health/CVS, exact event or directly relevant same-window reaction, displayed publication date, timing window and prohibited-source rules.</x:v>
      </x:c>
    </x:row>
    <x:row r="8">
      <x:c r="A8" s="12" t="str">
        <x:v>2016-11-08</x:v>
      </x:c>
      <x:c r="B8" s="12" t="str">
        <x:v>CVS</x:v>
      </x:c>
      <x:c r="C8" s="12" t="str">
        <x:v>prior</x:v>
      </x:c>
      <x:c r="D8" s="12" t="str">
        <x:v>2016-08-02</x:v>
      </x:c>
      <x:c r="E8" s="12" t="n">
        <x:v>-98</x:v>
      </x:c>
      <x:c r="F8" s="12" t="str">
        <x:v>Associated Press / Express-News</x:v>
      </x:c>
      <x:c r="G8" s="12" t="str">
        <x:v>CVS Health tops 2Q profit forecasts, spurred by acquisitions</x:v>
      </x:c>
      <x:c r="H8" s="12" t="str">
        <x:v>https://www.expressnews.com/business/health-care/article/CVS-Health-tops-2Q-profit-forecasts-spurred-by-9050362.php</x:v>
      </x:c>
      <x:c r="I8" s="12" t="str">
        <x:v>OPENED/VERIFIED</x:v>
      </x:c>
      <x:c r="J8" s="12" t="str">
        <x:v>PASS</x:v>
      </x:c>
      <x:c r="K8" s="12" t="str">
        <x:v>PASS</x:v>
      </x:c>
      <x:c r="L8" s="12" t="str">
        <x:v>PASS</x:v>
      </x:c>
      <x:c r="M8" s="12" t="str">
        <x:v>NO</x:v>
      </x:c>
      <x:c r="N8" s="12" t="str">
        <x:v>PASS</x:v>
      </x:c>
      <x:c r="O8" s="12" t="str">
        <x:v>FACTUAL</x:v>
      </x:c>
      <x:c r="P8" s="12" t="str">
        <x:v>PASS</x:v>
      </x:c>
      <x:c r="Q8" s="12" t="str">
        <x:v>Checked against CVS Health/CVS, exact event or directly relevant same-window reaction, displayed publication date, timing window and prohibited-source rules.</x:v>
      </x:c>
    </x:row>
    <x:row r="9">
      <x:c r="A9" s="12" t="str">
        <x:v>2016-11-08</x:v>
      </x:c>
      <x:c r="B9" s="12" t="str">
        <x:v>CVS</x:v>
      </x:c>
      <x:c r="C9" s="12" t="str">
        <x:v>release</x:v>
      </x:c>
      <x:c r="D9" s="12" t="str">
        <x:v>2016-11-08</x:v>
      </x:c>
      <x:c r="E9" s="12" t="n">
        <x:v>0</x:v>
      </x:c>
      <x:c r="F9" s="12" t="str">
        <x:v>SEC</x:v>
      </x:c>
      <x:c r="G9" s="12" t="str">
        <x:v>CVS Health Q3 2016 earnings filing</x:v>
      </x:c>
      <x:c r="H9" s="12" t="str">
        <x:v>https://www.sec.gov/Archives/edgar/data/64803/0000064803-16-000099-index.htm</x:v>
      </x:c>
      <x:c r="I9" s="12" t="str">
        <x:v>OPENED/VERIFIED</x:v>
      </x:c>
      <x:c r="J9" s="12" t="str">
        <x:v>PASS</x:v>
      </x:c>
      <x:c r="K9" s="12" t="str">
        <x:v>PASS</x:v>
      </x:c>
      <x:c r="L9" s="12" t="str">
        <x:v>PASS</x:v>
      </x:c>
      <x:c r="M9" s="12" t="str">
        <x:v>NO</x:v>
      </x:c>
      <x:c r="N9" s="12" t="str">
        <x:v>PASS</x:v>
      </x:c>
      <x:c r="O9" s="12" t="str">
        <x:v>FACTUAL</x:v>
      </x:c>
      <x:c r="P9" s="12" t="str">
        <x:v>PASS</x:v>
      </x:c>
      <x:c r="Q9" s="12" t="str">
        <x:v>Checked against CVS Health/CVS, exact event or directly relevant same-window reaction, displayed publication date, timing window and prohibited-source rules.</x:v>
      </x:c>
    </x:row>
    <x:row r="10">
      <x:c r="A10" s="12" t="str">
        <x:v>2016-11-08</x:v>
      </x:c>
      <x:c r="B10" s="12" t="str">
        <x:v>CVS</x:v>
      </x:c>
      <x:c r="C10" s="12" t="str">
        <x:v>reaction</x:v>
      </x:c>
      <x:c r="D10" s="12" t="str">
        <x:v>2016-11-08</x:v>
      </x:c>
      <x:c r="E10" s="12" t="n">
        <x:v>0</x:v>
      </x:c>
      <x:c r="F10" s="12" t="str">
        <x:v>Retail Dive</x:v>
      </x:c>
      <x:c r="G10" s="12" t="str">
        <x:v>CVS slashes guidance as prescription growth sputters</x:v>
      </x:c>
      <x:c r="H10" s="12" t="str">
        <x:v>https://www.retaildive.com/news/cvs-slashes-guidance-as-prescription-growth-sputters/429954/</x:v>
      </x:c>
      <x:c r="I10" s="12" t="str">
        <x:v>OPENED/VERIFIED</x:v>
      </x:c>
      <x:c r="J10" s="12" t="str">
        <x:v>PASS</x:v>
      </x:c>
      <x:c r="K10" s="12" t="str">
        <x:v>PASS</x:v>
      </x:c>
      <x:c r="L10" s="12" t="str">
        <x:v>PASS</x:v>
      </x:c>
      <x:c r="M10" s="12" t="str">
        <x:v>NO</x:v>
      </x:c>
      <x:c r="N10" s="12" t="str">
        <x:v>PASS</x:v>
      </x:c>
      <x:c r="O10" s="12" t="str">
        <x:v>EXPLICIT</x:v>
      </x:c>
      <x:c r="P10" s="12" t="str">
        <x:v>PASS</x:v>
      </x:c>
      <x:c r="Q10" s="12" t="str">
        <x:v>Checked against CVS Health/CVS, exact event or directly relevant same-window reaction, displayed publication date, timing window and prohibited-source rules.</x:v>
      </x:c>
    </x:row>
    <x:row r="11">
      <x:c r="A11" s="12" t="str">
        <x:v>2016-11-08</x:v>
      </x:c>
      <x:c r="B11" s="12" t="str">
        <x:v>CVS</x:v>
      </x:c>
      <x:c r="C11" s="12" t="str">
        <x:v>reaction</x:v>
      </x:c>
      <x:c r="D11" s="12" t="str">
        <x:v>2016-11-08</x:v>
      </x:c>
      <x:c r="E11" s="12" t="n">
        <x:v>0</x:v>
      </x:c>
      <x:c r="F11" s="12" t="str">
        <x:v>The Motley Fool</x:v>
      </x:c>
      <x:c r="G11" s="12" t="str">
        <x:v>Why CVS Health Corp Stock Is Falling Today</x:v>
      </x:c>
      <x:c r="H11" s="12" t="str">
        <x:v>https://www.fool.com/investing/2016/11/08/why-cvs-health-corp-stock-is-falling-today.aspx</x:v>
      </x:c>
      <x:c r="I11" s="12" t="str">
        <x:v>OPENED/VERIFIED</x:v>
      </x:c>
      <x:c r="J11" s="12" t="str">
        <x:v>PASS</x:v>
      </x:c>
      <x:c r="K11" s="12" t="str">
        <x:v>PASS</x:v>
      </x:c>
      <x:c r="L11" s="12" t="str">
        <x:v>PASS</x:v>
      </x:c>
      <x:c r="M11" s="12" t="str">
        <x:v>NO</x:v>
      </x:c>
      <x:c r="N11" s="12" t="str">
        <x:v>PASS</x:v>
      </x:c>
      <x:c r="O11" s="12" t="str">
        <x:v>EXPLICIT</x:v>
      </x:c>
      <x:c r="P11" s="12" t="str">
        <x:v>PASS</x:v>
      </x:c>
      <x:c r="Q11" s="12" t="str">
        <x:v>Checked against CVS Health/CVS, exact event or directly relevant same-window reaction, displayed publication date, timing window and prohibited-source rules.</x:v>
      </x:c>
    </x:row>
    <x:row r="12">
      <x:c r="A12" s="12" t="str">
        <x:v>2016-11-08</x:v>
      </x:c>
      <x:c r="B12" s="12" t="str">
        <x:v>CVS</x:v>
      </x:c>
      <x:c r="C12" s="12" t="str">
        <x:v>reaction</x:v>
      </x:c>
      <x:c r="D12" s="12" t="str">
        <x:v>2016-11-08</x:v>
      </x:c>
      <x:c r="E12" s="12" t="n">
        <x:v>0</x:v>
      </x:c>
      <x:c r="F12" s="12" t="str">
        <x:v>Fortune</x:v>
      </x:c>
      <x:c r="G12" s="12" t="str">
        <x:v>CVS Shares Are Taking a Beat as Walgreens Steals a Ton of Business</x:v>
      </x:c>
      <x:c r="H12" s="12" t="str">
        <x:v>https://fortune.com/2016/11/08/cvs-health-stock/</x:v>
      </x:c>
      <x:c r="I12" s="12" t="str">
        <x:v>OPENED/VERIFIED</x:v>
      </x:c>
      <x:c r="J12" s="12" t="str">
        <x:v>PASS</x:v>
      </x:c>
      <x:c r="K12" s="12" t="str">
        <x:v>PASS</x:v>
      </x:c>
      <x:c r="L12" s="12" t="str">
        <x:v>PASS</x:v>
      </x:c>
      <x:c r="M12" s="12" t="str">
        <x:v>NO</x:v>
      </x:c>
      <x:c r="N12" s="12" t="str">
        <x:v>PASS</x:v>
      </x:c>
      <x:c r="O12" s="12" t="str">
        <x:v>EXPLICIT</x:v>
      </x:c>
      <x:c r="P12" s="12" t="str">
        <x:v>PASS</x:v>
      </x:c>
      <x:c r="Q12" s="12" t="str">
        <x:v>Checked against CVS Health/CVS, exact event or directly relevant same-window reaction, displayed publication date, timing window and prohibited-source rules.</x:v>
      </x:c>
    </x:row>
    <x:row r="13">
      <x:c r="A13" s="12" t="str">
        <x:v>2017-02-09</x:v>
      </x:c>
      <x:c r="B13" s="12" t="str">
        <x:v>CVS</x:v>
      </x:c>
      <x:c r="C13" s="12" t="str">
        <x:v>prior</x:v>
      </x:c>
      <x:c r="D13" s="12" t="str">
        <x:v>2016-11-08</x:v>
      </x:c>
      <x:c r="E13" s="12" t="n">
        <x:v>-93</x:v>
      </x:c>
      <x:c r="F13" s="12" t="str">
        <x:v>SEC</x:v>
      </x:c>
      <x:c r="G13" s="12" t="str">
        <x:v>CVS Health Q3 2016 earnings filing</x:v>
      </x:c>
      <x:c r="H13" s="12" t="str">
        <x:v>https://www.sec.gov/Archives/edgar/data/64803/0000064803-16-000099-index.htm</x:v>
      </x:c>
      <x:c r="I13" s="12" t="str">
        <x:v>OPENED/VERIFIED</x:v>
      </x:c>
      <x:c r="J13" s="12" t="str">
        <x:v>PASS</x:v>
      </x:c>
      <x:c r="K13" s="12" t="str">
        <x:v>PASS</x:v>
      </x:c>
      <x:c r="L13" s="12" t="str">
        <x:v>PASS</x:v>
      </x:c>
      <x:c r="M13" s="12" t="str">
        <x:v>NO</x:v>
      </x:c>
      <x:c r="N13" s="12" t="str">
        <x:v>PASS</x:v>
      </x:c>
      <x:c r="O13" s="12" t="str">
        <x:v>FACTUAL</x:v>
      </x:c>
      <x:c r="P13" s="12" t="str">
        <x:v>PASS</x:v>
      </x:c>
      <x:c r="Q13" s="12" t="str">
        <x:v>Checked against CVS Health/CVS, exact event or directly relevant same-window reaction, displayed publication date, timing window and prohibited-source rules.</x:v>
      </x:c>
    </x:row>
    <x:row r="14">
      <x:c r="A14" s="12" t="str">
        <x:v>2017-02-09</x:v>
      </x:c>
      <x:c r="B14" s="12" t="str">
        <x:v>CVS</x:v>
      </x:c>
      <x:c r="C14" s="12" t="str">
        <x:v>release</x:v>
      </x:c>
      <x:c r="D14" s="12" t="str">
        <x:v>2017-02-09</x:v>
      </x:c>
      <x:c r="E14" s="12" t="n">
        <x:v>0</x:v>
      </x:c>
      <x:c r="F14" s="12" t="str">
        <x:v>SEC</x:v>
      </x:c>
      <x:c r="G14" s="12" t="str">
        <x:v>CVS Health Q4 2016 earnings filing</x:v>
      </x:c>
      <x:c r="H14" s="12" t="str">
        <x:v>https://www.sec.gov/Archives/edgar/data/64803/000006480317000004/0000064803-17-000004-index.html</x:v>
      </x:c>
      <x:c r="I14" s="12" t="str">
        <x:v>OPENED/VERIFIED</x:v>
      </x:c>
      <x:c r="J14" s="12" t="str">
        <x:v>PASS</x:v>
      </x:c>
      <x:c r="K14" s="12" t="str">
        <x:v>PASS</x:v>
      </x:c>
      <x:c r="L14" s="12" t="str">
        <x:v>PASS</x:v>
      </x:c>
      <x:c r="M14" s="12" t="str">
        <x:v>NO</x:v>
      </x:c>
      <x:c r="N14" s="12" t="str">
        <x:v>PASS</x:v>
      </x:c>
      <x:c r="O14" s="12" t="str">
        <x:v>FACTUAL</x:v>
      </x:c>
      <x:c r="P14" s="12" t="str">
        <x:v>PASS</x:v>
      </x:c>
      <x:c r="Q14" s="12" t="str">
        <x:v>Checked against CVS Health/CVS, exact event or directly relevant same-window reaction, displayed publication date, timing window and prohibited-source rules.</x:v>
      </x:c>
    </x:row>
    <x:row r="15">
      <x:c r="A15" s="12" t="str">
        <x:v>2017-02-09</x:v>
      </x:c>
      <x:c r="B15" s="12" t="str">
        <x:v>CVS</x:v>
      </x:c>
      <x:c r="C15" s="12" t="str">
        <x:v>reaction</x:v>
      </x:c>
      <x:c r="D15" s="12" t="str">
        <x:v>2017-02-09</x:v>
      </x:c>
      <x:c r="E15" s="12" t="n">
        <x:v>0</x:v>
      </x:c>
      <x:c r="F15" s="12" t="str">
        <x:v>Journal Record / Associated Press</x:v>
      </x:c>
      <x:c r="G15" s="12" t="str">
        <x:v>CVS Health beats 4Q profit forecasts, affirms 2017 forecast</x:v>
      </x:c>
      <x:c r="H15" s="12" t="str">
        <x:v>https://journalrecord.com/2017/02/09/cvs-health-beats-4q-profit-forecasts-affirms-2017-forecast/</x:v>
      </x:c>
      <x:c r="I15" s="12" t="str">
        <x:v>OPENED/VERIFIED</x:v>
      </x:c>
      <x:c r="J15" s="12" t="str">
        <x:v>PASS</x:v>
      </x:c>
      <x:c r="K15" s="12" t="str">
        <x:v>PASS</x:v>
      </x:c>
      <x:c r="L15" s="12" t="str">
        <x:v>PASS</x:v>
      </x:c>
      <x:c r="M15" s="12" t="str">
        <x:v>NO</x:v>
      </x:c>
      <x:c r="N15" s="12" t="str">
        <x:v>PASS</x:v>
      </x:c>
      <x:c r="O15" s="12" t="str">
        <x:v>SUPPORTED_INFERENCE</x:v>
      </x:c>
      <x:c r="P15" s="12" t="str">
        <x:v>PASS</x:v>
      </x:c>
      <x:c r="Q15" s="12" t="str">
        <x:v>Checked against CVS Health/CVS, exact event or directly relevant same-window reaction, displayed publication date, timing window and prohibited-source rules.</x:v>
      </x:c>
    </x:row>
    <x:row r="16">
      <x:c r="A16" s="12" t="str">
        <x:v>2017-05-02</x:v>
      </x:c>
      <x:c r="B16" s="12" t="str">
        <x:v>CVS</x:v>
      </x:c>
      <x:c r="C16" s="12" t="str">
        <x:v>prior</x:v>
      </x:c>
      <x:c r="D16" s="12" t="str">
        <x:v>2017-02-09</x:v>
      </x:c>
      <x:c r="E16" s="12" t="n">
        <x:v>-82</x:v>
      </x:c>
      <x:c r="F16" s="12" t="str">
        <x:v>SEC</x:v>
      </x:c>
      <x:c r="G16" s="12" t="str">
        <x:v>CVS Health Q4 2016 earnings filing</x:v>
      </x:c>
      <x:c r="H16" s="12" t="str">
        <x:v>https://www.sec.gov/Archives/edgar/data/64803/000006480317000004/0000064803-17-000004-index.html</x:v>
      </x:c>
      <x:c r="I16" s="12" t="str">
        <x:v>OPENED/VERIFIED</x:v>
      </x:c>
      <x:c r="J16" s="12" t="str">
        <x:v>PASS</x:v>
      </x:c>
      <x:c r="K16" s="12" t="str">
        <x:v>PASS</x:v>
      </x:c>
      <x:c r="L16" s="12" t="str">
        <x:v>PASS</x:v>
      </x:c>
      <x:c r="M16" s="12" t="str">
        <x:v>NO</x:v>
      </x:c>
      <x:c r="N16" s="12" t="str">
        <x:v>PASS</x:v>
      </x:c>
      <x:c r="O16" s="12" t="str">
        <x:v>FACTUAL</x:v>
      </x:c>
      <x:c r="P16" s="12" t="str">
        <x:v>PASS</x:v>
      </x:c>
      <x:c r="Q16" s="12" t="str">
        <x:v>Checked against CVS Health/CVS, exact event or directly relevant same-window reaction, displayed publication date, timing window and prohibited-source rules.</x:v>
      </x:c>
    </x:row>
    <x:row r="17">
      <x:c r="A17" s="12" t="str">
        <x:v>2017-05-02</x:v>
      </x:c>
      <x:c r="B17" s="12" t="str">
        <x:v>CVS</x:v>
      </x:c>
      <x:c r="C17" s="12" t="str">
        <x:v>release</x:v>
      </x:c>
      <x:c r="D17" s="12" t="str">
        <x:v>2017-05-02</x:v>
      </x:c>
      <x:c r="E17" s="12" t="n">
        <x:v>0</x:v>
      </x:c>
      <x:c r="F17" s="12" t="str">
        <x:v>CVS Health Investor Relations</x:v>
      </x:c>
      <x:c r="G17" s="12" t="str">
        <x:v>Q1 2017 Earnings Results</x:v>
      </x:c>
      <x:c r="H17" s="12" t="str">
        <x:v>https://investors.cvshealth.com/events-and-presentations/event-details/2017/Q1-2017-Earnings-Results/default.aspx</x:v>
      </x:c>
      <x:c r="I17" s="12" t="str">
        <x:v>OPENED/VERIFIED</x:v>
      </x:c>
      <x:c r="J17" s="12" t="str">
        <x:v>PASS</x:v>
      </x:c>
      <x:c r="K17" s="12" t="str">
        <x:v>PASS</x:v>
      </x:c>
      <x:c r="L17" s="12" t="str">
        <x:v>PASS</x:v>
      </x:c>
      <x:c r="M17" s="12" t="str">
        <x:v>NO</x:v>
      </x:c>
      <x:c r="N17" s="12" t="str">
        <x:v>PASS</x:v>
      </x:c>
      <x:c r="O17" s="12" t="str">
        <x:v>FACTUAL</x:v>
      </x:c>
      <x:c r="P17" s="12" t="str">
        <x:v>PASS</x:v>
      </x:c>
      <x:c r="Q17" s="12" t="str">
        <x:v>Checked against CVS Health/CVS, exact event or directly relevant same-window reaction, displayed publication date, timing window and prohibited-source rules.</x:v>
      </x:c>
    </x:row>
    <x:row r="18">
      <x:c r="A18" s="12" t="str">
        <x:v>2017-05-02</x:v>
      </x:c>
      <x:c r="B18" s="12" t="str">
        <x:v>CVS</x:v>
      </x:c>
      <x:c r="C18" s="12" t="str">
        <x:v>reaction</x:v>
      </x:c>
      <x:c r="D18" s="12" t="str">
        <x:v>2017-05-02</x:v>
      </x:c>
      <x:c r="E18" s="12" t="n">
        <x:v>0</x:v>
      </x:c>
      <x:c r="F18" s="12" t="str">
        <x:v>Express-News / Associated Press</x:v>
      </x:c>
      <x:c r="G18" s="12" t="str">
        <x:v>CVS Health profit slides 17% but results still top forecasts</x:v>
      </x:c>
      <x:c r="H18" s="12" t="str">
        <x:v>https://www.expressnews.com/business/health-care/article/CVS-Health-profit-slides-17-but-results-still-11115097.php</x:v>
      </x:c>
      <x:c r="I18" s="12" t="str">
        <x:v>OPENED/VERIFIED</x:v>
      </x:c>
      <x:c r="J18" s="12" t="str">
        <x:v>PASS</x:v>
      </x:c>
      <x:c r="K18" s="12" t="str">
        <x:v>PASS</x:v>
      </x:c>
      <x:c r="L18" s="12" t="str">
        <x:v>PASS</x:v>
      </x:c>
      <x:c r="M18" s="12" t="str">
        <x:v>NO</x:v>
      </x:c>
      <x:c r="N18" s="12" t="str">
        <x:v>PASS</x:v>
      </x:c>
      <x:c r="O18" s="12" t="str">
        <x:v>SUPPORTED_INFERENCE</x:v>
      </x:c>
      <x:c r="P18" s="12" t="str">
        <x:v>PASS</x:v>
      </x:c>
      <x:c r="Q18" s="12" t="str">
        <x:v>Checked against CVS Health/CVS, exact event or directly relevant same-window reaction, displayed publication date, timing window and prohibited-source rules.</x:v>
      </x:c>
    </x:row>
    <x:row r="19">
      <x:c r="A19" s="12" t="str">
        <x:v>2017-08-08</x:v>
      </x:c>
      <x:c r="B19" s="12" t="str">
        <x:v>CVS</x:v>
      </x:c>
      <x:c r="C19" s="12" t="str">
        <x:v>prior</x:v>
      </x:c>
      <x:c r="D19" s="12" t="str">
        <x:v>2017-05-02</x:v>
      </x:c>
      <x:c r="E19" s="12" t="n">
        <x:v>-98</x:v>
      </x:c>
      <x:c r="F19" s="12" t="str">
        <x:v>CVS Health Investor Relations</x:v>
      </x:c>
      <x:c r="G19" s="12" t="str">
        <x:v>Q1 2017 Earnings Results</x:v>
      </x:c>
      <x:c r="H19" s="12" t="str">
        <x:v>https://investors.cvshealth.com/events-and-presentations/event-details/2017/Q1-2017-Earnings-Results/default.aspx</x:v>
      </x:c>
      <x:c r="I19" s="12" t="str">
        <x:v>OPENED/VERIFIED</x:v>
      </x:c>
      <x:c r="J19" s="12" t="str">
        <x:v>PASS</x:v>
      </x:c>
      <x:c r="K19" s="12" t="str">
        <x:v>PASS</x:v>
      </x:c>
      <x:c r="L19" s="12" t="str">
        <x:v>PASS</x:v>
      </x:c>
      <x:c r="M19" s="12" t="str">
        <x:v>NO</x:v>
      </x:c>
      <x:c r="N19" s="12" t="str">
        <x:v>PASS</x:v>
      </x:c>
      <x:c r="O19" s="12" t="str">
        <x:v>FACTUAL</x:v>
      </x:c>
      <x:c r="P19" s="12" t="str">
        <x:v>PASS</x:v>
      </x:c>
      <x:c r="Q19" s="12" t="str">
        <x:v>Checked against CVS Health/CVS, exact event or directly relevant same-window reaction, displayed publication date, timing window and prohibited-source rules.</x:v>
      </x:c>
    </x:row>
    <x:row r="20">
      <x:c r="A20" s="12" t="str">
        <x:v>2017-08-08</x:v>
      </x:c>
      <x:c r="B20" s="12" t="str">
        <x:v>CVS</x:v>
      </x:c>
      <x:c r="C20" s="12" t="str">
        <x:v>release</x:v>
      </x:c>
      <x:c r="D20" s="12" t="str">
        <x:v>2017-08-08</x:v>
      </x:c>
      <x:c r="E20" s="12" t="n">
        <x:v>0</x:v>
      </x:c>
      <x:c r="F20" s="12" t="str">
        <x:v>CVS Health Investor Relations</x:v>
      </x:c>
      <x:c r="G20" s="12" t="str">
        <x:v>Q2 2017 Earnings Results</x:v>
      </x:c>
      <x:c r="H20" s="12" t="str">
        <x:v>https://investors.cvshealth.com/events-and-presentations/event-details/2017/Q2-2017-Earnings-Results/default.aspx</x:v>
      </x:c>
      <x:c r="I20" s="12" t="str">
        <x:v>OPENED/VERIFIED</x:v>
      </x:c>
      <x:c r="J20" s="12" t="str">
        <x:v>PASS</x:v>
      </x:c>
      <x:c r="K20" s="12" t="str">
        <x:v>PASS</x:v>
      </x:c>
      <x:c r="L20" s="12" t="str">
        <x:v>PASS</x:v>
      </x:c>
      <x:c r="M20" s="12" t="str">
        <x:v>NO</x:v>
      </x:c>
      <x:c r="N20" s="12" t="str">
        <x:v>PASS</x:v>
      </x:c>
      <x:c r="O20" s="12" t="str">
        <x:v>FACTUAL</x:v>
      </x:c>
      <x:c r="P20" s="12" t="str">
        <x:v>PASS</x:v>
      </x:c>
      <x:c r="Q20" s="12" t="str">
        <x:v>Checked against CVS Health/CVS, exact event or directly relevant same-window reaction, displayed publication date, timing window and prohibited-source rules.</x:v>
      </x:c>
    </x:row>
    <x:row r="21">
      <x:c r="A21" s="12" t="str">
        <x:v>2017-08-08</x:v>
      </x:c>
      <x:c r="B21" s="12" t="str">
        <x:v>CVS</x:v>
      </x:c>
      <x:c r="C21" s="12" t="str">
        <x:v>reaction</x:v>
      </x:c>
      <x:c r="D21" s="12" t="str">
        <x:v>2017-08-08</x:v>
      </x:c>
      <x:c r="E21" s="12" t="n">
        <x:v>0</x:v>
      </x:c>
      <x:c r="F21" s="12" t="str">
        <x:v>The Motley Fool</x:v>
      </x:c>
      <x:c r="G21" s="12" t="str">
        <x:v>CVS Health Corporation's PBM Strong, but Retail Business Weak in 2nd Quarter</x:v>
      </x:c>
      <x:c r="H21" s="12" t="str">
        <x:v>https://www.fool.com/investing/2017/08/08/cvs-health-corporations-pbm-strong-but-retail-busi.aspx</x:v>
      </x:c>
      <x:c r="I21" s="12" t="str">
        <x:v>OPENED/VERIFIED</x:v>
      </x:c>
      <x:c r="J21" s="12" t="str">
        <x:v>PASS</x:v>
      </x:c>
      <x:c r="K21" s="12" t="str">
        <x:v>PASS</x:v>
      </x:c>
      <x:c r="L21" s="12" t="str">
        <x:v>PASS</x:v>
      </x:c>
      <x:c r="M21" s="12" t="str">
        <x:v>NO</x:v>
      </x:c>
      <x:c r="N21" s="12" t="str">
        <x:v>PASS</x:v>
      </x:c>
      <x:c r="O21" s="12" t="str">
        <x:v>SUPPORTED_INFERENCE</x:v>
      </x:c>
      <x:c r="P21" s="12" t="str">
        <x:v>PASS</x:v>
      </x:c>
      <x:c r="Q21" s="12" t="str">
        <x:v>Checked against CVS Health/CVS, exact event or directly relevant same-window reaction, displayed publication date, timing window and prohibited-source rules.</x:v>
      </x:c>
    </x:row>
    <x:row r="22">
      <x:c r="A22" s="12" t="str">
        <x:v>2017-11-06</x:v>
      </x:c>
      <x:c r="B22" s="12" t="str">
        <x:v>CVS</x:v>
      </x:c>
      <x:c r="C22" s="12" t="str">
        <x:v>prior</x:v>
      </x:c>
      <x:c r="D22" s="12" t="str">
        <x:v>2017-08-08</x:v>
      </x:c>
      <x:c r="E22" s="12" t="n">
        <x:v>-90</x:v>
      </x:c>
      <x:c r="F22" s="12" t="str">
        <x:v>CVS Health Investor Relations</x:v>
      </x:c>
      <x:c r="G22" s="12" t="str">
        <x:v>Q2 2017 Earnings Results</x:v>
      </x:c>
      <x:c r="H22" s="12" t="str">
        <x:v>https://investors.cvshealth.com/events-and-presentations/event-details/2017/Q2-2017-Earnings-Results/default.aspx</x:v>
      </x:c>
      <x:c r="I22" s="12" t="str">
        <x:v>OPENED/VERIFIED</x:v>
      </x:c>
      <x:c r="J22" s="12" t="str">
        <x:v>PASS</x:v>
      </x:c>
      <x:c r="K22" s="12" t="str">
        <x:v>PASS</x:v>
      </x:c>
      <x:c r="L22" s="12" t="str">
        <x:v>PASS</x:v>
      </x:c>
      <x:c r="M22" s="12" t="str">
        <x:v>NO</x:v>
      </x:c>
      <x:c r="N22" s="12" t="str">
        <x:v>PASS</x:v>
      </x:c>
      <x:c r="O22" s="12" t="str">
        <x:v>FACTUAL</x:v>
      </x:c>
      <x:c r="P22" s="12" t="str">
        <x:v>PASS</x:v>
      </x:c>
      <x:c r="Q22" s="12" t="str">
        <x:v>Checked against CVS Health/CVS, exact event or directly relevant same-window reaction, displayed publication date, timing window and prohibited-source rules.</x:v>
      </x:c>
    </x:row>
    <x:row r="23">
      <x:c r="A23" s="12" t="str">
        <x:v>2017-11-06</x:v>
      </x:c>
      <x:c r="B23" s="12" t="str">
        <x:v>CVS</x:v>
      </x:c>
      <x:c r="C23" s="12" t="str">
        <x:v>release</x:v>
      </x:c>
      <x:c r="D23" s="12" t="str">
        <x:v>2017-11-06</x:v>
      </x:c>
      <x:c r="E23" s="12" t="n">
        <x:v>0</x:v>
      </x:c>
      <x:c r="F23" s="12" t="str">
        <x:v>CVS Health Investor Relations</x:v>
      </x:c>
      <x:c r="G23" s="12" t="str">
        <x:v>Q3 2017 Earnings Results</x:v>
      </x:c>
      <x:c r="H23" s="12" t="str">
        <x:v>https://investors.cvshealth.com/events-and-presentations/event-details/2017/Q3-2017-Earnings-Results/default.aspx</x:v>
      </x:c>
      <x:c r="I23" s="12" t="str">
        <x:v>OPENED/VERIFIED</x:v>
      </x:c>
      <x:c r="J23" s="12" t="str">
        <x:v>PASS</x:v>
      </x:c>
      <x:c r="K23" s="12" t="str">
        <x:v>PASS</x:v>
      </x:c>
      <x:c r="L23" s="12" t="str">
        <x:v>PASS</x:v>
      </x:c>
      <x:c r="M23" s="12" t="str">
        <x:v>NO</x:v>
      </x:c>
      <x:c r="N23" s="12" t="str">
        <x:v>PASS</x:v>
      </x:c>
      <x:c r="O23" s="12" t="str">
        <x:v>FACTUAL</x:v>
      </x:c>
      <x:c r="P23" s="12" t="str">
        <x:v>PASS</x:v>
      </x:c>
      <x:c r="Q23" s="12" t="str">
        <x:v>Checked against CVS Health/CVS, exact event or directly relevant same-window reaction, displayed publication date, timing window and prohibited-source rules.</x:v>
      </x:c>
    </x:row>
    <x:row r="24">
      <x:c r="A24" s="12" t="str">
        <x:v>2017-11-06</x:v>
      </x:c>
      <x:c r="B24" s="12" t="str">
        <x:v>CVS</x:v>
      </x:c>
      <x:c r="C24" s="12" t="str">
        <x:v>reaction</x:v>
      </x:c>
      <x:c r="D24" s="12" t="str">
        <x:v>2017-11-06</x:v>
      </x:c>
      <x:c r="E24" s="12" t="n">
        <x:v>0</x:v>
      </x:c>
      <x:c r="F24" s="12" t="str">
        <x:v>TheStreet</x:v>
      </x:c>
      <x:c r="G24" s="12" t="str">
        <x:v>CVS Posts Negative Retail Same-Store Sales, Announces Next-Day Delivery</x:v>
      </x:c>
      <x:c r="H24" s="12" t="str">
        <x:v>https://www.thestreet.com/investing/stocks/cvs-beats-wall-street-estimates-but-posts-negative-retail-same-store-sales-14377867</x:v>
      </x:c>
      <x:c r="I24" s="12" t="str">
        <x:v>OPENED/VERIFIED</x:v>
      </x:c>
      <x:c r="J24" s="12" t="str">
        <x:v>PASS</x:v>
      </x:c>
      <x:c r="K24" s="12" t="str">
        <x:v>PASS</x:v>
      </x:c>
      <x:c r="L24" s="12" t="str">
        <x:v>PASS</x:v>
      </x:c>
      <x:c r="M24" s="12" t="str">
        <x:v>NO</x:v>
      </x:c>
      <x:c r="N24" s="12" t="str">
        <x:v>PASS</x:v>
      </x:c>
      <x:c r="O24" s="12" t="str">
        <x:v>EXPLICIT/SUPPORTED</x:v>
      </x:c>
      <x:c r="P24" s="12" t="str">
        <x:v>PASS</x:v>
      </x:c>
      <x:c r="Q24" s="12" t="str">
        <x:v>Checked against CVS Health/CVS, exact event or directly relevant same-window reaction, displayed publication date, timing window and prohibited-source rules.</x:v>
      </x:c>
    </x:row>
    <x:row r="25">
      <x:c r="A25" s="12" t="str">
        <x:v>2017-11-06</x:v>
      </x:c>
      <x:c r="B25" s="12" t="str">
        <x:v>CVS</x:v>
      </x:c>
      <x:c r="C25" s="12" t="str">
        <x:v>reaction</x:v>
      </x:c>
      <x:c r="D25" s="12" t="str">
        <x:v>2017-11-06</x:v>
      </x:c>
      <x:c r="E25" s="12" t="n">
        <x:v>0</x:v>
      </x:c>
      <x:c r="F25" s="12" t="str">
        <x:v>CNN Money</x:v>
      </x:c>
      <x:c r="G25" s="12" t="str">
        <x:v>CVS to offer next-day drug delivery</x:v>
      </x:c>
      <x:c r="H25" s="12" t="str">
        <x:v>https://money.cnn.com/2017/11/06/investing/cvs-same-day-delivery/index.html</x:v>
      </x:c>
      <x:c r="I25" s="12" t="str">
        <x:v>OPENED/VERIFIED</x:v>
      </x:c>
      <x:c r="J25" s="12" t="str">
        <x:v>PASS</x:v>
      </x:c>
      <x:c r="K25" s="12" t="str">
        <x:v>PASS</x:v>
      </x:c>
      <x:c r="L25" s="12" t="str">
        <x:v>PASS</x:v>
      </x:c>
      <x:c r="M25" s="12" t="str">
        <x:v>NO</x:v>
      </x:c>
      <x:c r="N25" s="12" t="str">
        <x:v>PASS</x:v>
      </x:c>
      <x:c r="O25" s="12" t="str">
        <x:v>EXPLICIT/SUPPORTED</x:v>
      </x:c>
      <x:c r="P25" s="12" t="str">
        <x:v>PASS</x:v>
      </x:c>
      <x:c r="Q25" s="12" t="str">
        <x:v>Checked against CVS Health/CVS, exact event or directly relevant same-window reaction, displayed publication date, timing window and prohibited-source rules.</x:v>
      </x:c>
    </x:row>
    <x:row r="26">
      <x:c r="A26" s="12" t="str">
        <x:v>2018-02-08</x:v>
      </x:c>
      <x:c r="B26" s="12" t="str">
        <x:v>CVS</x:v>
      </x:c>
      <x:c r="C26" s="12" t="str">
        <x:v>prior</x:v>
      </x:c>
      <x:c r="D26" s="12" t="str">
        <x:v>2017-11-06</x:v>
      </x:c>
      <x:c r="E26" s="12" t="n">
        <x:v>-94</x:v>
      </x:c>
      <x:c r="F26" s="12" t="str">
        <x:v>CVS Health Investor Relations</x:v>
      </x:c>
      <x:c r="G26" s="12" t="str">
        <x:v>Q3 2017 Earnings Results</x:v>
      </x:c>
      <x:c r="H26" s="12" t="str">
        <x:v>https://investors.cvshealth.com/events-and-presentations/event-details/2017/Q3-2017-Earnings-Results/default.aspx</x:v>
      </x:c>
      <x:c r="I26" s="12" t="str">
        <x:v>OPENED/VERIFIED</x:v>
      </x:c>
      <x:c r="J26" s="12" t="str">
        <x:v>PASS</x:v>
      </x:c>
      <x:c r="K26" s="12" t="str">
        <x:v>PASS</x:v>
      </x:c>
      <x:c r="L26" s="12" t="str">
        <x:v>PASS</x:v>
      </x:c>
      <x:c r="M26" s="12" t="str">
        <x:v>NO</x:v>
      </x:c>
      <x:c r="N26" s="12" t="str">
        <x:v>PASS</x:v>
      </x:c>
      <x:c r="O26" s="12" t="str">
        <x:v>FACTUAL</x:v>
      </x:c>
      <x:c r="P26" s="12" t="str">
        <x:v>PASS</x:v>
      </x:c>
      <x:c r="Q26" s="12" t="str">
        <x:v>Checked against CVS Health/CVS, exact event or directly relevant same-window reaction, displayed publication date, timing window and prohibited-source rules.</x:v>
      </x:c>
    </x:row>
    <x:row r="27">
      <x:c r="A27" s="12" t="str">
        <x:v>2018-02-08</x:v>
      </x:c>
      <x:c r="B27" s="12" t="str">
        <x:v>CVS</x:v>
      </x:c>
      <x:c r="C27" s="12" t="str">
        <x:v>release</x:v>
      </x:c>
      <x:c r="D27" s="12" t="str">
        <x:v>2018-02-08</x:v>
      </x:c>
      <x:c r="E27" s="12" t="n">
        <x:v>0</x:v>
      </x:c>
      <x:c r="F27" s="12" t="str">
        <x:v>CVS Health Investor Relations</x:v>
      </x:c>
      <x:c r="G27" s="12" t="str">
        <x:v>Q4 2017 Earnings Results</x:v>
      </x:c>
      <x:c r="H27" s="12" t="str">
        <x:v>https://investors.cvshealth.com/events-and-presentations/event-details/2018/Q4-2017-Earnings-Results/default.aspx</x:v>
      </x:c>
      <x:c r="I27" s="12" t="str">
        <x:v>OPENED/VERIFIED</x:v>
      </x:c>
      <x:c r="J27" s="12" t="str">
        <x:v>PASS</x:v>
      </x:c>
      <x:c r="K27" s="12" t="str">
        <x:v>PASS</x:v>
      </x:c>
      <x:c r="L27" s="12" t="str">
        <x:v>PASS</x:v>
      </x:c>
      <x:c r="M27" s="12" t="str">
        <x:v>NO</x:v>
      </x:c>
      <x:c r="N27" s="12" t="str">
        <x:v>PASS</x:v>
      </x:c>
      <x:c r="O27" s="12" t="str">
        <x:v>FACTUAL</x:v>
      </x:c>
      <x:c r="P27" s="12" t="str">
        <x:v>PASS</x:v>
      </x:c>
      <x:c r="Q27" s="12" t="str">
        <x:v>Checked against CVS Health/CVS, exact event or directly relevant same-window reaction, displayed publication date, timing window and prohibited-source rules.</x:v>
      </x:c>
    </x:row>
    <x:row r="28">
      <x:c r="A28" s="12" t="str">
        <x:v>2018-02-08</x:v>
      </x:c>
      <x:c r="B28" s="12" t="str">
        <x:v>CVS</x:v>
      </x:c>
      <x:c r="C28" s="12" t="str">
        <x:v>reaction</x:v>
      </x:c>
      <x:c r="D28" s="12" t="str">
        <x:v>2018-02-08</x:v>
      </x:c>
      <x:c r="E28" s="12" t="n">
        <x:v>0</x:v>
      </x:c>
      <x:c r="F28" s="12" t="str">
        <x:v>The Motley Fool</x:v>
      </x:c>
      <x:c r="G28" s="12" t="str">
        <x:v>Tax Reform Lifts CVS Health Corporation in 4th Quarter, but Dents Its 2018 Outlook</x:v>
      </x:c>
      <x:c r="H28" s="12" t="str">
        <x:v>https://www.fool.com/investing/2018/02/08/tax-reform-lifts-cvs-health-corporation-in-4th-qua.aspx</x:v>
      </x:c>
      <x:c r="I28" s="12" t="str">
        <x:v>OPENED/VERIFIED</x:v>
      </x:c>
      <x:c r="J28" s="12" t="str">
        <x:v>PASS</x:v>
      </x:c>
      <x:c r="K28" s="12" t="str">
        <x:v>PASS</x:v>
      </x:c>
      <x:c r="L28" s="12" t="str">
        <x:v>PASS</x:v>
      </x:c>
      <x:c r="M28" s="12" t="str">
        <x:v>NO</x:v>
      </x:c>
      <x:c r="N28" s="12" t="str">
        <x:v>PASS</x:v>
      </x:c>
      <x:c r="O28" s="12" t="str">
        <x:v>SUPPORTED_INFERENCE</x:v>
      </x:c>
      <x:c r="P28" s="12" t="str">
        <x:v>PASS</x:v>
      </x:c>
      <x:c r="Q28" s="12" t="str">
        <x:v>Checked against CVS Health/CVS, exact event or directly relevant same-window reaction, displayed publication date, timing window and prohibited-source rules.</x:v>
      </x:c>
    </x:row>
    <x:row r="29">
      <x:c r="A29" s="12" t="str">
        <x:v>2018-05-02</x:v>
      </x:c>
      <x:c r="B29" s="12" t="str">
        <x:v>CVS</x:v>
      </x:c>
      <x:c r="C29" s="12" t="str">
        <x:v>prior</x:v>
      </x:c>
      <x:c r="D29" s="12" t="str">
        <x:v>2018-02-08</x:v>
      </x:c>
      <x:c r="E29" s="12" t="n">
        <x:v>-83</x:v>
      </x:c>
      <x:c r="F29" s="12" t="str">
        <x:v>CVS Health Investor Relations</x:v>
      </x:c>
      <x:c r="G29" s="12" t="str">
        <x:v>Q4 2017 Earnings Results</x:v>
      </x:c>
      <x:c r="H29" s="12" t="str">
        <x:v>https://investors.cvshealth.com/events-and-presentations/event-details/2018/Q4-2017-Earnings-Results/default.aspx</x:v>
      </x:c>
      <x:c r="I29" s="12" t="str">
        <x:v>OPENED/VERIFIED</x:v>
      </x:c>
      <x:c r="J29" s="12" t="str">
        <x:v>PASS</x:v>
      </x:c>
      <x:c r="K29" s="12" t="str">
        <x:v>PASS</x:v>
      </x:c>
      <x:c r="L29" s="12" t="str">
        <x:v>PASS</x:v>
      </x:c>
      <x:c r="M29" s="12" t="str">
        <x:v>NO</x:v>
      </x:c>
      <x:c r="N29" s="12" t="str">
        <x:v>PASS</x:v>
      </x:c>
      <x:c r="O29" s="12" t="str">
        <x:v>FACTUAL</x:v>
      </x:c>
      <x:c r="P29" s="12" t="str">
        <x:v>PASS</x:v>
      </x:c>
      <x:c r="Q29" s="12" t="str">
        <x:v>Checked against CVS Health/CVS, exact event or directly relevant same-window reaction, displayed publication date, timing window and prohibited-source rules.</x:v>
      </x:c>
    </x:row>
    <x:row r="30">
      <x:c r="A30" s="12" t="str">
        <x:v>2018-05-02</x:v>
      </x:c>
      <x:c r="B30" s="12" t="str">
        <x:v>CVS</x:v>
      </x:c>
      <x:c r="C30" s="12" t="str">
        <x:v>release</x:v>
      </x:c>
      <x:c r="D30" s="12" t="str">
        <x:v>2018-05-02</x:v>
      </x:c>
      <x:c r="E30" s="12" t="n">
        <x:v>0</x:v>
      </x:c>
      <x:c r="F30" s="12" t="str">
        <x:v>CVS Health Investor Relations</x:v>
      </x:c>
      <x:c r="G30" s="12" t="str">
        <x:v>Q1 2018 Earnings Results</x:v>
      </x:c>
      <x:c r="H30" s="12" t="str">
        <x:v>https://investors.cvshealth.com/events-and-presentations/event-details/2018/Q1-2018-Earnings-Results/default.aspx</x:v>
      </x:c>
      <x:c r="I30" s="12" t="str">
        <x:v>OPENED/VERIFIED</x:v>
      </x:c>
      <x:c r="J30" s="12" t="str">
        <x:v>PASS</x:v>
      </x:c>
      <x:c r="K30" s="12" t="str">
        <x:v>PASS</x:v>
      </x:c>
      <x:c r="L30" s="12" t="str">
        <x:v>PASS</x:v>
      </x:c>
      <x:c r="M30" s="12" t="str">
        <x:v>NO</x:v>
      </x:c>
      <x:c r="N30" s="12" t="str">
        <x:v>PASS</x:v>
      </x:c>
      <x:c r="O30" s="12" t="str">
        <x:v>FACTUAL</x:v>
      </x:c>
      <x:c r="P30" s="12" t="str">
        <x:v>PASS</x:v>
      </x:c>
      <x:c r="Q30" s="12" t="str">
        <x:v>Checked against CVS Health/CVS, exact event or directly relevant same-window reaction, displayed publication date, timing window and prohibited-source rules.</x:v>
      </x:c>
    </x:row>
    <x:row r="31">
      <x:c r="A31" s="12" t="str">
        <x:v>2018-05-02</x:v>
      </x:c>
      <x:c r="B31" s="12" t="str">
        <x:v>CVS</x:v>
      </x:c>
      <x:c r="C31" s="12" t="str">
        <x:v>reaction</x:v>
      </x:c>
      <x:c r="D31" s="12" t="str">
        <x:v>2018-05-02</x:v>
      </x:c>
      <x:c r="E31" s="12" t="n">
        <x:v>0</x:v>
      </x:c>
      <x:c r="F31" s="12" t="str">
        <x:v>Journal Record / Associated Press</x:v>
      </x:c>
      <x:c r="G31" s="12" t="str">
        <x:v>CVS Health beats 1Q expectations, works to close Aetna deal</x:v>
      </x:c>
      <x:c r="H31" s="12" t="str">
        <x:v>https://journalrecord.com/2018/05/02/cvs-health-beats-1q-expectations-works-to-close-aetna-deal/</x:v>
      </x:c>
      <x:c r="I31" s="12" t="str">
        <x:v>OPENED/VERIFIED</x:v>
      </x:c>
      <x:c r="J31" s="12" t="str">
        <x:v>PASS</x:v>
      </x:c>
      <x:c r="K31" s="12" t="str">
        <x:v>PASS</x:v>
      </x:c>
      <x:c r="L31" s="12" t="str">
        <x:v>PASS</x:v>
      </x:c>
      <x:c r="M31" s="12" t="str">
        <x:v>NO</x:v>
      </x:c>
      <x:c r="N31" s="12" t="str">
        <x:v>PASS</x:v>
      </x:c>
      <x:c r="O31" s="12" t="str">
        <x:v>SUPPORTED_INFERENCE_ONLY</x:v>
      </x:c>
      <x:c r="P31" s="12" t="str">
        <x:v>PASS</x:v>
      </x:c>
      <x:c r="Q31" s="12" t="str">
        <x:v>Checked against CVS Health/CVS, exact event or directly relevant same-window reaction, displayed publication date, timing window and prohibited-source rules.</x:v>
      </x:c>
    </x:row>
    <x:row r="32">
      <x:c r="A32" s="12" t="str">
        <x:v>2018-05-02</x:v>
      </x:c>
      <x:c r="B32" s="12" t="str">
        <x:v>CVS</x:v>
      </x:c>
      <x:c r="C32" s="12" t="str">
        <x:v>reaction</x:v>
      </x:c>
      <x:c r="D32" s="12" t="str">
        <x:v>2018-05-02</x:v>
      </x:c>
      <x:c r="E32" s="12" t="n">
        <x:v>0</x:v>
      </x:c>
      <x:c r="F32" s="12" t="str">
        <x:v>The Motley Fool</x:v>
      </x:c>
      <x:c r="G32" s="12" t="str">
        <x:v>CVS Health Corporation Q1 2018 Earnings Conference Call Transcript</x:v>
      </x:c>
      <x:c r="H32" s="12" t="str">
        <x:v>https://www.fool.com/earnings/call-transcripts/2018/05/02/cvs-health-corporation-cvs-q1-2018-earnings-confer.aspx</x:v>
      </x:c>
      <x:c r="I32" s="12" t="str">
        <x:v>OPENED/VERIFIED</x:v>
      </x:c>
      <x:c r="J32" s="12" t="str">
        <x:v>PASS</x:v>
      </x:c>
      <x:c r="K32" s="12" t="str">
        <x:v>PASS</x:v>
      </x:c>
      <x:c r="L32" s="12" t="str">
        <x:v>PASS</x:v>
      </x:c>
      <x:c r="M32" s="12" t="str">
        <x:v>NO</x:v>
      </x:c>
      <x:c r="N32" s="12" t="str">
        <x:v>PASS</x:v>
      </x:c>
      <x:c r="O32" s="12" t="str">
        <x:v>SUPPORTED_INFERENCE_ONLY</x:v>
      </x:c>
      <x:c r="P32" s="12" t="str">
        <x:v>PASS</x:v>
      </x:c>
      <x:c r="Q32" s="12" t="str">
        <x:v>Checked against CVS Health/CVS, exact event or directly relevant same-window reaction, displayed publication date, timing window and prohibited-source rules.</x:v>
      </x:c>
    </x:row>
    <x:row r="33">
      <x:c r="A33" s="12" t="str">
        <x:v>2018-08-08</x:v>
      </x:c>
      <x:c r="B33" s="12" t="str">
        <x:v>CVS</x:v>
      </x:c>
      <x:c r="C33" s="12" t="str">
        <x:v>prior</x:v>
      </x:c>
      <x:c r="D33" s="12" t="str">
        <x:v>2018-05-02</x:v>
      </x:c>
      <x:c r="E33" s="12" t="n">
        <x:v>-98</x:v>
      </x:c>
      <x:c r="F33" s="12" t="str">
        <x:v>CVS Health Investor Relations</x:v>
      </x:c>
      <x:c r="G33" s="12" t="str">
        <x:v>Q1 2018 Earnings Results</x:v>
      </x:c>
      <x:c r="H33" s="12" t="str">
        <x:v>https://investors.cvshealth.com/events-and-presentations/event-details/2018/Q1-2018-Earnings-Results/default.aspx</x:v>
      </x:c>
      <x:c r="I33" s="12" t="str">
        <x:v>OPENED/VERIFIED</x:v>
      </x:c>
      <x:c r="J33" s="12" t="str">
        <x:v>PASS</x:v>
      </x:c>
      <x:c r="K33" s="12" t="str">
        <x:v>PASS</x:v>
      </x:c>
      <x:c r="L33" s="12" t="str">
        <x:v>PASS</x:v>
      </x:c>
      <x:c r="M33" s="12" t="str">
        <x:v>NO</x:v>
      </x:c>
      <x:c r="N33" s="12" t="str">
        <x:v>PASS</x:v>
      </x:c>
      <x:c r="O33" s="12" t="str">
        <x:v>FACTUAL</x:v>
      </x:c>
      <x:c r="P33" s="12" t="str">
        <x:v>PASS</x:v>
      </x:c>
      <x:c r="Q33" s="12" t="str">
        <x:v>Checked against CVS Health/CVS, exact event or directly relevant same-window reaction, displayed publication date, timing window and prohibited-source rules.</x:v>
      </x:c>
    </x:row>
    <x:row r="34">
      <x:c r="A34" s="12" t="str">
        <x:v>2018-08-08</x:v>
      </x:c>
      <x:c r="B34" s="12" t="str">
        <x:v>CVS</x:v>
      </x:c>
      <x:c r="C34" s="12" t="str">
        <x:v>release</x:v>
      </x:c>
      <x:c r="D34" s="12" t="str">
        <x:v>2018-08-08</x:v>
      </x:c>
      <x:c r="E34" s="12" t="n">
        <x:v>0</x:v>
      </x:c>
      <x:c r="F34" s="12" t="str">
        <x:v>CVS Health Investor Relations</x:v>
      </x:c>
      <x:c r="G34" s="12" t="str">
        <x:v>Q2 2018 Earnings Results</x:v>
      </x:c>
      <x:c r="H34" s="12" t="str">
        <x:v>https://investors.cvshealth.com/events-and-presentations/event-details/2018/Q2-2018-Earnings-Results/default.aspx</x:v>
      </x:c>
      <x:c r="I34" s="12" t="str">
        <x:v>OPENED/VERIFIED</x:v>
      </x:c>
      <x:c r="J34" s="12" t="str">
        <x:v>PASS</x:v>
      </x:c>
      <x:c r="K34" s="12" t="str">
        <x:v>PASS</x:v>
      </x:c>
      <x:c r="L34" s="12" t="str">
        <x:v>PASS</x:v>
      </x:c>
      <x:c r="M34" s="12" t="str">
        <x:v>NO</x:v>
      </x:c>
      <x:c r="N34" s="12" t="str">
        <x:v>PASS</x:v>
      </x:c>
      <x:c r="O34" s="12" t="str">
        <x:v>FACTUAL</x:v>
      </x:c>
      <x:c r="P34" s="12" t="str">
        <x:v>PASS</x:v>
      </x:c>
      <x:c r="Q34" s="12" t="str">
        <x:v>Checked against CVS Health/CVS, exact event or directly relevant same-window reaction, displayed publication date, timing window and prohibited-source rules.</x:v>
      </x:c>
    </x:row>
    <x:row r="35">
      <x:c r="A35" s="12" t="str">
        <x:v>2018-08-08</x:v>
      </x:c>
      <x:c r="B35" s="12" t="str">
        <x:v>CVS</x:v>
      </x:c>
      <x:c r="C35" s="12" t="str">
        <x:v>release</x:v>
      </x:c>
      <x:c r="D35" s="12" t="str">
        <x:v>2018-08-08</x:v>
      </x:c>
      <x:c r="E35" s="12" t="n">
        <x:v>0</x:v>
      </x:c>
      <x:c r="F35" s="12" t="str">
        <x:v>SEC</x:v>
      </x:c>
      <x:c r="G35" s="12" t="str">
        <x:v>CVS Health Q2 2018 earnings release</x:v>
      </x:c>
      <x:c r="H35" s="12" t="str">
        <x:v>https://www.sec.gov/Archives/edgar/data/64803/000006480318000023/cvs-20180808ex991b6c583.htm</x:v>
      </x:c>
      <x:c r="I35" s="12" t="str">
        <x:v>OPENED/VERIFIED</x:v>
      </x:c>
      <x:c r="J35" s="12" t="str">
        <x:v>PASS</x:v>
      </x:c>
      <x:c r="K35" s="12" t="str">
        <x:v>PASS</x:v>
      </x:c>
      <x:c r="L35" s="12" t="str">
        <x:v>PASS</x:v>
      </x:c>
      <x:c r="M35" s="12" t="str">
        <x:v>NO</x:v>
      </x:c>
      <x:c r="N35" s="12" t="str">
        <x:v>PASS</x:v>
      </x:c>
      <x:c r="O35" s="12" t="str">
        <x:v>FACTUAL</x:v>
      </x:c>
      <x:c r="P35" s="12" t="str">
        <x:v>PASS</x:v>
      </x:c>
      <x:c r="Q35" s="12" t="str">
        <x:v>Checked against CVS Health/CVS, exact event or directly relevant same-window reaction, displayed publication date, timing window and prohibited-source rules.</x:v>
      </x:c>
    </x:row>
    <x:row r="36">
      <x:c r="A36" s="12" t="str">
        <x:v>2018-08-08</x:v>
      </x:c>
      <x:c r="B36" s="12" t="str">
        <x:v>CVS</x:v>
      </x:c>
      <x:c r="C36" s="12" t="str">
        <x:v>reaction</x:v>
      </x:c>
      <x:c r="D36" s="12" t="str">
        <x:v>2018-08-08</x:v>
      </x:c>
      <x:c r="E36" s="12" t="n">
        <x:v>0</x:v>
      </x:c>
      <x:c r="F36" s="12" t="str">
        <x:v>InvestorPlace</x:v>
      </x:c>
      <x:c r="G36" s="12" t="str">
        <x:v>CVS Health Shares Rally on Better-Than-Expected Earnings</x:v>
      </x:c>
      <x:c r="H36" s="12" t="str">
        <x:v>https://investorplace.com/2018/08/cvs-health-up-on-earnings-beat/</x:v>
      </x:c>
      <x:c r="I36" s="12" t="str">
        <x:v>OPENED/VERIFIED</x:v>
      </x:c>
      <x:c r="J36" s="12" t="str">
        <x:v>PASS</x:v>
      </x:c>
      <x:c r="K36" s="12" t="str">
        <x:v>PASS</x:v>
      </x:c>
      <x:c r="L36" s="12" t="str">
        <x:v>PASS</x:v>
      </x:c>
      <x:c r="M36" s="12" t="str">
        <x:v>NO</x:v>
      </x:c>
      <x:c r="N36" s="12" t="str">
        <x:v>PASS</x:v>
      </x:c>
      <x:c r="O36" s="12" t="str">
        <x:v>EXPLICIT</x:v>
      </x:c>
      <x:c r="P36" s="12" t="str">
        <x:v>PASS</x:v>
      </x:c>
      <x:c r="Q36" s="12" t="str">
        <x:v>Checked against CVS Health/CVS, exact event or directly relevant same-window reaction, displayed publication date, timing window and prohibited-source rules.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18"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2016-05-03</x:v>
      </x:c>
      <x:c r="B2" t="str">
        <x:v>CVS</x:v>
      </x:c>
      <x:c r="C2" s="20" t="n">
        <x:v>3.54</x:v>
      </x:c>
      <x:c r="D2" s="20" t="n">
        <x:v>0.6</x:v>
      </x:c>
      <x:c r="E2" t="str">
        <x:v>ret_1day_pct</x:v>
      </x:c>
      <x:c r="F2" t="str">
        <x:f>IF(C2&gt;0.1,"UP",IF(C2&lt;-0.1,"DOWN","FLAT"))</x:f>
        <x:v>UP</x:v>
      </x:c>
      <x:c r="G2" t="str">
        <x:v>UP</x:v>
      </x:c>
      <x:c r="H2" t="str">
        <x:f>IF(F2=G2,"PASS","FAIL")</x:f>
        <x:v>PASS</x:v>
      </x:c>
      <x:c r="I2" t="n">
        <x:v>3</x:v>
      </x:c>
      <x:c r="J2" t="n">
        <x:f>COUNTIFS('Source Audit'!$A:$A,A2,'Source Audit'!$P:$P,"PASS")</x:f>
        <x:v>3</x:v>
      </x:c>
      <x:c r="K2" t="str">
        <x:f>IF(AND(H2="PASS",J2=I2),"PASS","FAIL")</x:f>
        <x:v>PASS</x:v>
      </x:c>
    </x:row>
    <x:row r="3">
      <x:c r="A3" t="str">
        <x:v>2016-08-02</x:v>
      </x:c>
      <x:c r="B3" t="str">
        <x:v>CVS</x:v>
      </x:c>
      <x:c r="C3" s="20" t="n">
        <x:v>5.6</x:v>
      </x:c>
      <x:c r="D3" s="20" t="n">
        <x:v>-1.08</x:v>
      </x:c>
      <x:c r="E3" t="str">
        <x:v>ret_1day_pct</x:v>
      </x:c>
      <x:c r="F3" t="str">
        <x:f>IF(C3&gt;0.1,"UP",IF(C3&lt;-0.1,"DOWN","FLAT"))</x:f>
        <x:v>UP</x:v>
      </x:c>
      <x:c r="G3" t="str">
        <x:v>UP</x:v>
      </x:c>
      <x:c r="H3" t="str">
        <x:f>IF(F3=G3,"PASS","FAIL")</x:f>
        <x:v>PASS</x:v>
      </x:c>
      <x:c r="I3" t="n">
        <x:v>3</x:v>
      </x:c>
      <x:c r="J3" t="n">
        <x:f>COUNTIFS('Source Audit'!$A:$A,A3,'Source Audit'!$P:$P,"PASS")</x:f>
        <x:v>3</x:v>
      </x:c>
      <x:c r="K3" t="str">
        <x:f>IF(AND(H3="PASS",J3=I3),"PASS","FAIL")</x:f>
        <x:v>PASS</x:v>
      </x:c>
    </x:row>
    <x:row r="4">
      <x:c r="A4" t="str">
        <x:v>2016-11-08</x:v>
      </x:c>
      <x:c r="B4" t="str">
        <x:v>CVS</x:v>
      </x:c>
      <x:c r="C4" s="20" t="n">
        <x:v>-12.21</x:v>
      </x:c>
      <x:c r="D4" s="20" t="n">
        <x:v>2.92</x:v>
      </x:c>
      <x:c r="E4" t="str">
        <x:v>ret_1day_pct</x:v>
      </x:c>
      <x:c r="F4" t="str">
        <x:f>IF(C4&gt;0.1,"UP",IF(C4&lt;-0.1,"DOWN","FLAT"))</x:f>
        <x:v>DOWN</x:v>
      </x:c>
      <x:c r="G4" t="str">
        <x:v>DOWN</x:v>
      </x:c>
      <x:c r="H4" t="str">
        <x:f>IF(F4=G4,"PASS","FAIL")</x:f>
        <x:v>PASS</x:v>
      </x:c>
      <x:c r="I4" t="n">
        <x:v>5</x:v>
      </x:c>
      <x:c r="J4" t="n">
        <x:f>COUNTIFS('Source Audit'!$A:$A,A4,'Source Audit'!$P:$P,"PASS")</x:f>
        <x:v>5</x:v>
      </x:c>
      <x:c r="K4" t="str">
        <x:f>IF(AND(H4="PASS",J4=I4),"PASS","FAIL")</x:f>
        <x:v>PASS</x:v>
      </x:c>
    </x:row>
    <x:row r="5">
      <x:c r="A5" t="str">
        <x:v>2017-02-09</x:v>
      </x:c>
      <x:c r="B5" t="str">
        <x:v>CVS</x:v>
      </x:c>
      <x:c r="C5" s="20" t="n">
        <x:v>-0.29</x:v>
      </x:c>
      <x:c r="D5" s="20" t="n">
        <x:v>1.17</x:v>
      </x:c>
      <x:c r="E5" t="str">
        <x:v>ret_1day_pct</x:v>
      </x:c>
      <x:c r="F5" t="str">
        <x:f>IF(C5&gt;0.1,"UP",IF(C5&lt;-0.1,"DOWN","FLAT"))</x:f>
        <x:v>DOWN</x:v>
      </x:c>
      <x:c r="G5" t="str">
        <x:v>DOWN</x:v>
      </x:c>
      <x:c r="H5" t="str">
        <x:f>IF(F5=G5,"PASS","FAIL")</x:f>
        <x:v>PASS</x:v>
      </x:c>
      <x:c r="I5" t="n">
        <x:v>3</x:v>
      </x:c>
      <x:c r="J5" t="n">
        <x:f>COUNTIFS('Source Audit'!$A:$A,A5,'Source Audit'!$P:$P,"PASS")</x:f>
        <x:v>3</x:v>
      </x:c>
      <x:c r="K5" t="str">
        <x:f>IF(AND(H5="PASS",J5=I5),"PASS","FAIL")</x:f>
        <x:v>PASS</x:v>
      </x:c>
    </x:row>
    <x:row r="6">
      <x:c r="A6" t="str">
        <x:v>2017-05-02</x:v>
      </x:c>
      <x:c r="B6" t="str">
        <x:v>CVS</x:v>
      </x:c>
      <x:c r="C6" s="20" t="n">
        <x:v>-3.64</x:v>
      </x:c>
      <x:c r="D6" s="20" t="n">
        <x:v>1.14</x:v>
      </x:c>
      <x:c r="E6" t="str">
        <x:v>ret_1day_pct</x:v>
      </x:c>
      <x:c r="F6" t="str">
        <x:f>IF(C6&gt;0.1,"UP",IF(C6&lt;-0.1,"DOWN","FLAT"))</x:f>
        <x:v>DOWN</x:v>
      </x:c>
      <x:c r="G6" t="str">
        <x:v>DOWN</x:v>
      </x:c>
      <x:c r="H6" t="str">
        <x:f>IF(F6=G6,"PASS","FAIL")</x:f>
        <x:v>PASS</x:v>
      </x:c>
      <x:c r="I6" t="n">
        <x:v>3</x:v>
      </x:c>
      <x:c r="J6" t="n">
        <x:f>COUNTIFS('Source Audit'!$A:$A,A6,'Source Audit'!$P:$P,"PASS")</x:f>
        <x:v>3</x:v>
      </x:c>
      <x:c r="K6" t="str">
        <x:f>IF(AND(H6="PASS",J6=I6),"PASS","FAIL")</x:f>
        <x:v>PASS</x:v>
      </x:c>
    </x:row>
    <x:row r="7">
      <x:c r="A7" t="str">
        <x:v>2017-08-08</x:v>
      </x:c>
      <x:c r="B7" t="str">
        <x:v>CVS</x:v>
      </x:c>
      <x:c r="C7" s="20" t="n">
        <x:v>-0.42</x:v>
      </x:c>
      <x:c r="D7" s="20" t="n">
        <x:v>1.24</x:v>
      </x:c>
      <x:c r="E7" t="str">
        <x:v>ret_1day_pct</x:v>
      </x:c>
      <x:c r="F7" t="str">
        <x:f>IF(C7&gt;0.1,"UP",IF(C7&lt;-0.1,"DOWN","FLAT"))</x:f>
        <x:v>DOWN</x:v>
      </x:c>
      <x:c r="G7" t="str">
        <x:v>DOWN</x:v>
      </x:c>
      <x:c r="H7" t="str">
        <x:f>IF(F7=G7,"PASS","FAIL")</x:f>
        <x:v>PASS</x:v>
      </x:c>
      <x:c r="I7" t="n">
        <x:v>3</x:v>
      </x:c>
      <x:c r="J7" t="n">
        <x:f>COUNTIFS('Source Audit'!$A:$A,A7,'Source Audit'!$P:$P,"PASS")</x:f>
        <x:v>3</x:v>
      </x:c>
      <x:c r="K7" t="str">
        <x:f>IF(AND(H7="PASS",J7=I7),"PASS","FAIL")</x:f>
        <x:v>PASS</x:v>
      </x:c>
    </x:row>
    <x:row r="8">
      <x:c r="A8" t="str">
        <x:v>2017-11-06</x:v>
      </x:c>
      <x:c r="B8" t="str">
        <x:v>CVS</x:v>
      </x:c>
      <x:c r="C8" s="20" t="n">
        <x:v>-3.75</x:v>
      </x:c>
      <x:c r="D8" s="20" t="n">
        <x:v>3.4</x:v>
      </x:c>
      <x:c r="E8" t="str">
        <x:v>ret_1day_pct</x:v>
      </x:c>
      <x:c r="F8" t="str">
        <x:f>IF(C8&gt;0.1,"UP",IF(C8&lt;-0.1,"DOWN","FLAT"))</x:f>
        <x:v>DOWN</x:v>
      </x:c>
      <x:c r="G8" t="str">
        <x:v>DOWN</x:v>
      </x:c>
      <x:c r="H8" t="str">
        <x:f>IF(F8=G8,"PASS","FAIL")</x:f>
        <x:v>PASS</x:v>
      </x:c>
      <x:c r="I8" t="n">
        <x:v>4</x:v>
      </x:c>
      <x:c r="J8" t="n">
        <x:f>COUNTIFS('Source Audit'!$A:$A,A8,'Source Audit'!$P:$P,"PASS")</x:f>
        <x:v>4</x:v>
      </x:c>
      <x:c r="K8" t="str">
        <x:f>IF(AND(H8="PASS",J8=I8),"PASS","FAIL")</x:f>
        <x:v>PASS</x:v>
      </x:c>
    </x:row>
    <x:row r="9">
      <x:c r="A9" t="str">
        <x:v>2018-02-08</x:v>
      </x:c>
      <x:c r="B9" t="str">
        <x:v>CVS</x:v>
      </x:c>
      <x:c r="C9" s="20" t="n">
        <x:v>-1.64</x:v>
      </x:c>
      <x:c r="D9" s="20" t="n">
        <x:v>-2.87</x:v>
      </x:c>
      <x:c r="E9" t="str">
        <x:v>ret_1day_pct</x:v>
      </x:c>
      <x:c r="F9" t="str">
        <x:f>IF(C9&gt;0.1,"UP",IF(C9&lt;-0.1,"DOWN","FLAT"))</x:f>
        <x:v>DOWN</x:v>
      </x:c>
      <x:c r="G9" t="str">
        <x:v>DOWN</x:v>
      </x:c>
      <x:c r="H9" t="str">
        <x:f>IF(F9=G9,"PASS","FAIL")</x:f>
        <x:v>PASS</x:v>
      </x:c>
      <x:c r="I9" t="n">
        <x:v>3</x:v>
      </x:c>
      <x:c r="J9" t="n">
        <x:f>COUNTIFS('Source Audit'!$A:$A,A9,'Source Audit'!$P:$P,"PASS")</x:f>
        <x:v>3</x:v>
      </x:c>
      <x:c r="K9" t="str">
        <x:f>IF(AND(H9="PASS",J9=I9),"PASS","FAIL")</x:f>
        <x:v>PASS</x:v>
      </x:c>
    </x:row>
    <x:row r="10">
      <x:c r="A10" t="str">
        <x:v>2018-05-02</x:v>
      </x:c>
      <x:c r="B10" t="str">
        <x:v>CVS</x:v>
      </x:c>
      <x:c r="C10" s="20" t="n">
        <x:v>-2.47</x:v>
      </x:c>
      <x:c r="D10" s="20" t="n">
        <x:v>-5.34</x:v>
      </x:c>
      <x:c r="E10" t="str">
        <x:v>ret_1day_pct</x:v>
      </x:c>
      <x:c r="F10" t="str">
        <x:f>IF(C10&gt;0.1,"UP",IF(C10&lt;-0.1,"DOWN","FLAT"))</x:f>
        <x:v>DOWN</x:v>
      </x:c>
      <x:c r="G10" t="str">
        <x:v>DOWN</x:v>
      </x:c>
      <x:c r="H10" t="str">
        <x:f>IF(F10=G10,"PASS","FAIL")</x:f>
        <x:v>PASS</x:v>
      </x:c>
      <x:c r="I10" t="n">
        <x:v>4</x:v>
      </x:c>
      <x:c r="J10" t="n">
        <x:f>COUNTIFS('Source Audit'!$A:$A,A10,'Source Audit'!$P:$P,"PASS")</x:f>
        <x:v>4</x:v>
      </x:c>
      <x:c r="K10" t="str">
        <x:f>IF(AND(H10="PASS",J10=I10),"PASS","FAIL")</x:f>
        <x:v>PASS</x:v>
      </x:c>
    </x:row>
    <x:row r="11">
      <x:c r="A11" t="str">
        <x:v>2018-08-08</x:v>
      </x:c>
      <x:c r="B11" t="str">
        <x:v>CVS</x:v>
      </x:c>
      <x:c r="C11" s="20" t="n">
        <x:v>4.18</x:v>
      </x:c>
      <x:c r="D11" s="20" t="n">
        <x:v>0.62</x:v>
      </x:c>
      <x:c r="E11" t="str">
        <x:v>ret_1day_pct</x:v>
      </x:c>
      <x:c r="F11" t="str">
        <x:f>IF(C11&gt;0.1,"UP",IF(C11&lt;-0.1,"DOWN","FLAT"))</x:f>
        <x:v>UP</x:v>
      </x:c>
      <x:c r="G11" t="str">
        <x:v>UP</x:v>
      </x:c>
      <x:c r="H11" t="str">
        <x:f>IF(F11=G11,"PASS","FAIL")</x:f>
        <x:v>PASS</x:v>
      </x:c>
      <x:c r="I11" t="n">
        <x:v>4</x:v>
      </x:c>
      <x:c r="J11" t="n">
        <x:f>COUNTIFS('Source Audit'!$A:$A,A11,'Source Audit'!$P:$P,"PASS")</x:f>
        <x:v>4</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CVS rebuilt from scratch; the earlier CVS workbook is not treated as evidence.</x:v>
      </x:c>
    </x:row>
    <x:row r="3">
      <x:c r="A3" s="12" t="str">
        <x:v>Identity source</x:v>
      </x:c>
      <x:c r="B3" s="12" t="str">
        <x:v>Ticker/company, exact earnings dates and all supplied return fields come directly from group_observations.csv.</x:v>
      </x:c>
    </x:row>
    <x:row r="4">
      <x:c r="A4" s="12" t="str">
        <x:v>Reaction basis</x:v>
      </x:c>
      <x:c r="B4" s="12" t="str">
        <x:v>CVS released these sampled earnings before the U.S. market open; ret_1day_pct is therefore the primary same-session reaction field.</x:v>
      </x:c>
    </x:row>
    <x:row r="5">
      <x:c r="A5" s="12" t="str">
        <x:v>Narrative</x:v>
      </x:c>
      <x:c r="B5" s="12" t="str">
        <x:v>Short Prior Context, detailed Current Earnings Release, and three concise event-specific Possible Drivers.</x:v>
      </x:c>
    </x:row>
    <x:row r="6">
      <x:c r="A6" s="12" t="str">
        <x:v>Source verification</x:v>
      </x:c>
      <x:c r="B6" s="12" t="str">
        <x:v>Only sources surfaced/opened in the current verification pass are included. Exact CVS IR/SEC pages are preferred; AP, Motley Fool, Retail Dive, TheStreet, CNN and InvestorPlace are used for contemporaneous context.</x:v>
      </x:c>
    </x:row>
    <x:row r="7">
      <x:c r="A7" s="12" t="str">
        <x:v>Timing</x:v>
      </x:c>
      <x:c r="B7" s="12" t="str">
        <x:v>Prior = -100..-1 days; release = day 0; reaction = day 0..+3. Out-of-window sources are removed automatically.</x:v>
      </x:c>
    </x:row>
    <x:row r="8">
      <x:c r="A8" s="12" t="str">
        <x:v>Restrictions</x:v>
      </x:c>
      <x:c r="B8" s="12" t="str">
        <x:v>No WSJ, Reuters, Dow Jones or MarketWatch-syndicated source is included. Fox pages carrying MarketWatch/Dow Jones/Reuters bylines were excluded.</x:v>
      </x:c>
    </x:row>
    <x:row r="9">
      <x:c r="A9" s="12" t="str">
        <x:v>Attribution</x:v>
      </x:c>
      <x:c r="B9" s="12" t="str">
        <x:v>When no accessible contemporaneous source explicitly tied the move to one cause, the workbook says SUPPORTED_INFERENCE rather than presenting the causal explanation as fact.</x:v>
      </x:c>
    </x:row>
    <x:row r="10">
      <x:c r="A10" s="12" t="str">
        <x:v>QA</x:v>
      </x:c>
      <x:c r="B10" s="12" t="str">
        <x:v>Event QA mechanically recomputes direction from ret_1day_pct and checks each event's exact PASS source count.</x:v>
      </x:c>
    </x:row>
  </x:sheetData>
  <x:pageMargins left="0.7" right="0.7" top="0.75" bottom="0.75" header="0.3" footer="0.3"/>
</x:worksheet>
</file>