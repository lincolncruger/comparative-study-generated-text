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6548535db24649" /></Relationships>
</file>

<file path=xl/workbook.xml><?xml version="1.0" encoding="utf-8"?>
<x:workbook xmlns:x="http://schemas.openxmlformats.org/spreadsheetml/2006/main">
  <x:sheets>
    <x:sheet xmlns:r="http://schemas.openxmlformats.org/officeDocument/2006/relationships" name="LOW" sheetId="1" r:id="R1bcfb8b719d74422"/>
    <x:sheet xmlns:r="http://schemas.openxmlformats.org/officeDocument/2006/relationships" name="Source Audit" sheetId="2" r:id="Rca3a9864d8a7493b"/>
    <x:sheet xmlns:r="http://schemas.openxmlformats.org/officeDocument/2006/relationships" name="Event QA" sheetId="3" r:id="R5cd79b8df2ba4795"/>
    <x:sheet xmlns:r="http://schemas.openxmlformats.org/officeDocument/2006/relationships" name="Methodology" sheetId="4" r:id="R6d9ab30c31d243f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c80aa10dbe411c" /><Relationship Type="http://schemas.openxmlformats.org/officeDocument/2006/relationships/theme" Target="/xl/theme/theme1.xml" Id="Rdbafb58d3d724c1a" /><Relationship Type="http://schemas.openxmlformats.org/officeDocument/2006/relationships/sharedStrings" Target="/xl/sharedStrings.xml" Id="R88b8ac92f6a54ab0" /><Relationship Type="http://schemas.openxmlformats.org/officeDocument/2006/relationships/worksheet" Target="/xl/worksheets/sheet1.xml" Id="R1bcfb8b719d74422" /><Relationship Type="http://schemas.openxmlformats.org/officeDocument/2006/relationships/worksheet" Target="/xl/worksheets/sheet2.xml" Id="Rca3a9864d8a7493b" /><Relationship Type="http://schemas.openxmlformats.org/officeDocument/2006/relationships/worksheet" Target="/xl/worksheets/sheet3.xml" Id="R5cd79b8df2ba4795" /><Relationship Type="http://schemas.openxmlformats.org/officeDocument/2006/relationships/worksheet" Target="/xl/worksheets/sheet4.xml" Id="R6d9ab30c31d243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6" hidden="0" customWidth="1"/>
    <x:col min="15" max="15" width="66" hidden="0" customWidth="1"/>
    <x:col min="16" max="16" width="66" hidden="0" customWidth="1"/>
    <x:col min="17" max="17" width="82"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LOW</x:v>
      </x:c>
      <x:c r="C2" s="15" t="str">
        <x:v>Lowe's</x:v>
      </x:c>
      <x:c r="D2" s="15" t="str">
        <x:v>2016q2</x:v>
      </x:c>
      <x:c r="E2" s="15" t="str">
        <x:v>2016-05-18</x:v>
      </x:c>
      <x:c r="F2" s="18" t="n">
        <x:v>3.41</x:v>
      </x:c>
      <x:c r="G2" s="18" t="n">
        <x:v>1.98</x:v>
      </x:c>
      <x:c r="H2" s="18" t="n">
        <x:v>5.46</x:v>
      </x:c>
      <x:c r="I2" s="18" t="n">
        <x:v>5.09</x:v>
      </x:c>
      <x:c r="J2" s="18" t="n">
        <x:v>3.18</x:v>
      </x:c>
      <x:c r="K2" s="15" t="str">
        <x:v>ret_1day_pct</x:v>
      </x:c>
      <x:c r="L2" s="15" t="str">
        <x:v>UP</x:v>
      </x:c>
      <x:c r="M2" s="15" t="str">
        <x:v>## Prior Context
The prior quarter had already shown strong home-improvement demand, and Lowe's entered Q1 with a favorable housing backdrop. Investors wanted evidence that both customer traffic and average ticket were improving, not merely weather-driven sales.
### Verified prior source
2016-02-24 | Lowe's | Lowe's Reports Fourth Quarter Sales and Earnings Results | https://corporate.lowes.com/newsroom/press-releases/lowes-reports-fourth-quarter-sales-and-earnings-results-02-24-2016
## Current Earnings Release
Lowe's reported **$15.23 billion of sales**, up **7.8%**, and diluted EPS of **$0.98**. The EPS figure included an **$0.11 gain** tied to the RONA acquisition hedge, but even excluding that item the underlying result was strong. Comparable-store sales rose **7.3%**, with U.S. comps up **7.5%**.
Management explicitly said both **transactions and average ticket increased**, making the comp result higher quality than a price-only improvement. The company also continued large share repurchases. The combination of strong comps, broad category performance and an earnings beat made this one of the cleanest positive Lowe's prints in the sample.
### Verified release source
2016-05-18 | Lowe's | Lowe's Reports First Quarter Sales And Earnings Results | https://corporate.lowes.com/newsroom/press-releases/lowes-reports-first-quarter-sales-and-earnings-results-05-18-2016
## Possible Drivers
**First-order driver.** Shares rose because comps, revenue and earnings were all stronger than expected.
**Second-order driver.** Both traffic and ticket contributed, indicating broad-based demand.
**Third-order driver.** The favorable housing backdrop reinforced confidence that strength could persist.
### Verified reaction source
2016-05-18 | TheStreet | Lowe’s (LOW) Stock Gains on Q1 Earnings Beat | https://www.thestreet.com/markets/lowe-rsquo-s-low-stock-gains-on-q1-earnings-beat-13576051
## Verification Status
Included sources were checked for Lowe's/LOW identity, the correct earnings event or directly relevant pre-event catalyst, publication date, timing window and source origin. Lowe's Corporate is the factual anchor. No WSJ, Reuters, Dow Jones or MarketWatch-syndicated article is included.
</x:v>
      </x:c>
      <x:c r="N2" s="15" t="str">
        <x:v>2016-02-24 | Lowe's | Lowe's Reports Fourth Quarter Sales and Earnings Results | https://corporate.lowes.com/newsroom/press-releases/lowes-reports-fourth-quarter-sales-and-earnings-results-02-24-2016</x:v>
      </x:c>
      <x:c r="O2" s="15" t="str">
        <x:v>2016-05-18 | Lowe's | Lowe's Reports First Quarter Sales And Earnings Results | https://corporate.lowes.com/newsroom/press-releases/lowes-reports-first-quarter-sales-and-earnings-results-05-18-2016</x:v>
      </x:c>
      <x:c r="P2" s="15" t="str">
        <x:v>2016-05-18 | TheStreet | Lowe’s (LOW) Stock Gains on Q1 Earnings Beat | https://www.thestreet.com/markets/lowe-rsquo-s-low-stock-gains-on-q1-earnings-beat-13576051</x:v>
      </x:c>
      <x:c r="Q2" s="15" t="str">
        <x:v>2016-02-24 | Lowe's | Lowe's Reports Fourth Quarter Sales and Earnings Results | https://corporate.lowes.com/newsroom/press-releases/lowes-reports-fourth-quarter-sales-and-earnings-results-02-24-2016
2016-05-18 | Lowe's | Lowe's Reports First Quarter Sales And Earnings Results | https://corporate.lowes.com/newsroom/press-releases/lowes-reports-first-quarter-sales-and-earnings-results-05-18-2016
2016-05-18 | TheStreet | Lowe’s (LOW) Stock Gains on Q1 Earnings Beat | https://www.thestreet.com/markets/lowe-rsquo-s-low-stock-gains-on-q1-earnings-beat-13576051</x:v>
      </x:c>
      <x:c r="R2" s="15" t="n">
        <x:v>3</x:v>
      </x:c>
      <x:c r="S2" s="15" t="str">
        <x:v>PASS</x:v>
      </x:c>
    </x:row>
    <x:row r="3" ht="340" customHeight="1">
      <x:c r="A3" s="15" t="n">
        <x:v>1</x:v>
      </x:c>
      <x:c r="B3" s="15" t="str">
        <x:v>LOW</x:v>
      </x:c>
      <x:c r="C3" s="15" t="str">
        <x:v>Lowe's</x:v>
      </x:c>
      <x:c r="D3" s="15" t="str">
        <x:v>2016q3</x:v>
      </x:c>
      <x:c r="E3" s="15" t="str">
        <x:v>2016-08-17</x:v>
      </x:c>
      <x:c r="F3" s="18" t="n">
        <x:v>-5.75</x:v>
      </x:c>
      <x:c r="G3" s="18" t="n">
        <x:v>-0.92</x:v>
      </x:c>
      <x:c r="H3" s="18" t="n">
        <x:v>-6.62</x:v>
      </x:c>
      <x:c r="I3" s="18" t="n">
        <x:v>-6.18</x:v>
      </x:c>
      <x:c r="J3" s="18" t="n">
        <x:v>-4.91</x:v>
      </x:c>
      <x:c r="K3" s="15" t="str">
        <x:v>ret_1day_pct</x:v>
      </x:c>
      <x:c r="L3" s="15" t="str">
        <x:v>DOWN</x:v>
      </x:c>
      <x:c r="M3" s="15" t="str">
        <x:v>## Prior Context
The May quarter had been exceptionally strong, raising expectations that Lowe's was finally narrowing the performance gap with Home Depot. Q2 tested whether that momentum was durable.
### Verified prior source
2016-05-18 | Lowe's | Lowe's Reports First Quarter Sales And Earnings Results | https://corporate.lowes.com/newsroom/press-releases/lowes-reports-first-quarter-sales-and-earnings-results-05-18-2016
## Current Earnings Release
Q2 sales increased **5.3% to $18.3 billion**, but adjusted EPS of about **$1.37** missed the roughly $1.42 consensus. The bigger disappointment was comparable sales: consolidated comps rose only **2.0%** and U.S. comps **1.9%**, versus market expectations around 4%.
The release also reflected the newly completed RONA acquisition and a **$0.06 per-share hedge loss**, but those accounting items did not explain the weak underlying comp trend. The company lowered its full-year EPS outlook, and contemporaneous coverage emphasized how sharply Lowe's had fallen behind Home Depot on same-store sales.
### Verified release source
2016-08-17 | Lowe's | Lowe's Reports Second Quarter Sales and Earnings Results | https://corporate.lowes.com/newsroom/press-releases/lowes-reports-second-quarter-sales-and-earnings-results-08-17-2016
## Possible Drivers
**First-order driver.** The stock fell sharply because EPS, revenue and especially comparable sales missed expectations.
**Second-order driver.** Lowe's materially underperformed Home Depot, worsening market-share concerns.
**Third-order driver.** The reduced annual profit outlook confirmed that Q2 weakness was not just accounting noise.
### Verified reaction source
2016-08-17 | TheStreet | Lowe's Gets Pummeled by Home Depot in the Second Quarter | https://www.thestreet.com/investing/stocks/lowe-s-gets-pummeled-by-home-depot-in-the-second-quarter-13677270
## Verification Status
Included sources were checked for Lowe's/LOW identity, the correct earnings event or directly relevant pre-event catalyst, publication date, timing window and source origin. Lowe's Corporate is the factual anchor. No WSJ, Reuters, Dow Jones or MarketWatch-syndicated article is included.
</x:v>
      </x:c>
      <x:c r="N3" s="15" t="str">
        <x:v>2016-05-18 | Lowe's | Lowe's Reports First Quarter Sales And Earnings Results | https://corporate.lowes.com/newsroom/press-releases/lowes-reports-first-quarter-sales-and-earnings-results-05-18-2016</x:v>
      </x:c>
      <x:c r="O3" s="15" t="str">
        <x:v>2016-08-17 | Lowe's | Lowe's Reports Second Quarter Sales and Earnings Results | https://corporate.lowes.com/newsroom/press-releases/lowes-reports-second-quarter-sales-and-earnings-results-08-17-2016</x:v>
      </x:c>
      <x:c r="P3" s="15" t="str">
        <x:v>2016-08-17 | TheStreet | Lowe's Gets Pummeled by Home Depot in the Second Quarter | https://www.thestreet.com/investing/stocks/lowe-s-gets-pummeled-by-home-depot-in-the-second-quarter-13677270</x:v>
      </x:c>
      <x:c r="Q3" s="15" t="str">
        <x:v>2016-05-18 | Lowe's | Lowe's Reports First Quarter Sales And Earnings Results | https://corporate.lowes.com/newsroom/press-releases/lowes-reports-first-quarter-sales-and-earnings-results-05-18-2016
2016-08-17 | Lowe's | Lowe's Reports Second Quarter Sales and Earnings Results | https://corporate.lowes.com/newsroom/press-releases/lowes-reports-second-quarter-sales-and-earnings-results-08-17-2016
2016-08-17 | TheStreet | Lowe's Gets Pummeled by Home Depot in the Second Quarter | https://www.thestreet.com/investing/stocks/lowe-s-gets-pummeled-by-home-depot-in-the-second-quarter-13677270</x:v>
      </x:c>
      <x:c r="R3" s="15" t="n">
        <x:v>3</x:v>
      </x:c>
      <x:c r="S3" s="15" t="str">
        <x:v>PASS</x:v>
      </x:c>
    </x:row>
    <x:row r="4" ht="340" customHeight="1">
      <x:c r="A4" s="15" t="n">
        <x:v>2</x:v>
      </x:c>
      <x:c r="B4" s="15" t="str">
        <x:v>LOW</x:v>
      </x:c>
      <x:c r="C4" s="15" t="str">
        <x:v>Lowe's</x:v>
      </x:c>
      <x:c r="D4" s="15" t="str">
        <x:v>2016q4</x:v>
      </x:c>
      <x:c r="E4" s="15" t="str">
        <x:v>2016-11-16</x:v>
      </x:c>
      <x:c r="F4" s="18" t="n">
        <x:v>-2.79</x:v>
      </x:c>
      <x:c r="G4" s="18" t="n">
        <x:v>0.93</x:v>
      </x:c>
      <x:c r="H4" s="18" t="n">
        <x:v>-1.89</x:v>
      </x:c>
      <x:c r="I4" s="18" t="n">
        <x:v>-4.01</x:v>
      </x:c>
      <x:c r="J4" s="18" t="n">
        <x:v>-2.58</x:v>
      </x:c>
      <x:c r="K4" s="15" t="str">
        <x:v>ret_1day_pct</x:v>
      </x:c>
      <x:c r="L4" s="15" t="str">
        <x:v>DOWN</x:v>
      </x:c>
      <x:c r="M4" s="15" t="str">
        <x:v>## Prior Context
After the weak summer quarter, Lowe's needed a traffic recovery. The stock had already fallen substantially, but investors still wanted proof that operational execution was improving.
### Verified prior source
2016-08-17 | Lowe's | Lowe's Reports Second Quarter Sales and Earnings Results | https://corporate.lowes.com/newsroom/press-releases/lowes-reports-second-quarter-sales-and-earnings-results-08-17-2016
## Current Earnings Release
Q3 sales rose **9.6% to $15.74 billion**, helped by RONA, while comparable sales increased only **2.7%**. Adjusted EPS was **$0.88**, below consensus near $0.96. Management said traffic slowed more than expected in **August and September** before improving in October.
The quarter also contained **$462 million of non-cash charges** tied to the Australian joint venture wind-down, canceled projects and Orchard Supply impairments. Those charges distorted GAAP earnings, but the adjusted miss and weak traffic were genuine operating problems. Lowe's updated the annual outlook rather than signaling a sharp recovery.
### Verified release source
2016-11-16 | Lowe's | Lowe's Reports Third Quarter Sales and Earnings Results | https://corporate.lowes.com/newsroom/press-releases/lowes-reports-third-quarter-sales-and-earnings-results-11-16-2016
## Possible Drivers
**First-order driver.** Shares fell because adjusted EPS and sales missed expectations and traffic remained weak.
**Second-order driver.** The widening gap versus Home Depot reinforced execution concerns.
**Third-order driver.** Large restructuring charges added noise but were not the main reason for the negative reaction.
### Verified reaction source
2016-11-16 | TheStreet | Jim Cramer — Target Roars While Lowe's Struggles | https://www.thestreet.com/investing/stocks/jim-cramer-target-roars-while-lowe-s-struggles-13895957
## Verification Status
Included sources were checked for Lowe's/LOW identity, the correct earnings event or directly relevant pre-event catalyst, publication date, timing window and source origin. Lowe's Corporate is the factual anchor. No WSJ, Reuters, Dow Jones or MarketWatch-syndicated article is included.
</x:v>
      </x:c>
      <x:c r="N4" s="15" t="str">
        <x:v>2016-08-17 | Lowe's | Lowe's Reports Second Quarter Sales and Earnings Results | https://corporate.lowes.com/newsroom/press-releases/lowes-reports-second-quarter-sales-and-earnings-results-08-17-2016</x:v>
      </x:c>
      <x:c r="O4" s="15" t="str">
        <x:v>2016-11-16 | Lowe's | Lowe's Reports Third Quarter Sales and Earnings Results | https://corporate.lowes.com/newsroom/press-releases/lowes-reports-third-quarter-sales-and-earnings-results-11-16-2016</x:v>
      </x:c>
      <x:c r="P4" s="15" t="str">
        <x:v>2016-11-16 | TheStreet | Jim Cramer — Target Roars While Lowe's Struggles | https://www.thestreet.com/investing/stocks/jim-cramer-target-roars-while-lowe-s-struggles-13895957</x:v>
      </x:c>
      <x:c r="Q4" s="15" t="str">
        <x:v>2016-08-17 | Lowe's | Lowe's Reports Second Quarter Sales and Earnings Results | https://corporate.lowes.com/newsroom/press-releases/lowes-reports-second-quarter-sales-and-earnings-results-08-17-2016
2016-11-16 | Lowe's | Lowe's Reports Third Quarter Sales and Earnings Results | https://corporate.lowes.com/newsroom/press-releases/lowes-reports-third-quarter-sales-and-earnings-results-11-16-2016
2016-11-16 | TheStreet | Jim Cramer — Target Roars While Lowe's Struggles | https://www.thestreet.com/investing/stocks/jim-cramer-target-roars-while-lowe-s-struggles-13895957</x:v>
      </x:c>
      <x:c r="R4" s="15" t="n">
        <x:v>3</x:v>
      </x:c>
      <x:c r="S4" s="15" t="str">
        <x:v>PASS</x:v>
      </x:c>
    </x:row>
    <x:row r="5" ht="340" customHeight="1">
      <x:c r="A5" s="15" t="n">
        <x:v>3</x:v>
      </x:c>
      <x:c r="B5" s="15" t="str">
        <x:v>LOW</x:v>
      </x:c>
      <x:c r="C5" s="15" t="str">
        <x:v>Lowe's</x:v>
      </x:c>
      <x:c r="D5" s="15" t="str">
        <x:v>2017q1</x:v>
      </x:c>
      <x:c r="E5" s="15" t="str">
        <x:v>2017-03-01</x:v>
      </x:c>
      <x:c r="F5" s="18" t="n">
        <x:v>8.18</x:v>
      </x:c>
      <x:c r="G5" s="18" t="n">
        <x:v>-0.6</x:v>
      </x:c>
      <x:c r="H5" s="18" t="n">
        <x:v>7.53</x:v>
      </x:c>
      <x:c r="I5" s="18" t="n">
        <x:v>5.15</x:v>
      </x:c>
      <x:c r="J5" s="18" t="n">
        <x:v>6.26</x:v>
      </x:c>
      <x:c r="K5" s="15" t="str">
        <x:v>ret_1day_pct</x:v>
      </x:c>
      <x:c r="L5" s="15" t="str">
        <x:v>UP</x:v>
      </x:c>
      <x:c r="M5" s="15" t="str">
        <x:v>## Prior Context
Expectations were subdued after two weak quarters, so Lowe's had room to surprise if traffic and comps recovered. The housing environment itself remained supportive.
### Verified prior source
None
## Current Earnings Release
Fourth-quarter sales rose **19.2% to $15.78 billion**, with much of the growth coming from RONA, while comparable sales increased **5.1%**. Adjusted EPS was **$0.86**, above consensus near $0.79, and revenue also beat expectations.
The more important signal was that Lowe's narrowed the performance gap with Home Depot after a difficult 2016. Management entered fiscal 2017 guiding to about **5% sales growth**, **3.5% comps**, and approximately **$4.64 EPS**, implying confidence that the recovery would continue.
### Verified release source
2017-03-01 | Lowe's | Lowe's Reports Fourth Quarter Sales And Earnings Results | https://corporate.lowes.com/newsroom/press-releases/lowes-reports-fourth-quarter-sales-and-earnings-results-03-01-2017
## Possible Drivers
**First-order driver.** Shares surged because comps, revenue and adjusted EPS all beat expectations.
**Second-order driver.** The 5.1% comp showed a meaningful recovery from the weak middle of 2016.
**Third-order driver.** Strong 2017 guidance suggested management viewed the rebound as sustainable.
### Verified reaction source
2017-03-01 | The Motley Fool | Why Lowe's Companies Inc. Soared Today | https://www.fool.com/investing/2017/03/01/why-lowes-companies-inc-soared-today.aspx
## Verification Status
Included sources were checked for Lowe's/LOW identity, the correct earnings event or directly relevant pre-event catalyst, publication date, timing window and source origin. Lowe's Corporate is the factual anchor. No WSJ, Reuters, Dow Jones or MarketWatch-syndicated article is included.
</x:v>
      </x:c>
      <x:c r="N5" s="15" t="str">
        <x:v>None</x:v>
      </x:c>
      <x:c r="O5" s="15" t="str">
        <x:v>2017-03-01 | Lowe's | Lowe's Reports Fourth Quarter Sales And Earnings Results | https://corporate.lowes.com/newsroom/press-releases/lowes-reports-fourth-quarter-sales-and-earnings-results-03-01-2017</x:v>
      </x:c>
      <x:c r="P5" s="15" t="str">
        <x:v>2017-03-01 | The Motley Fool | Why Lowe's Companies Inc. Soared Today | https://www.fool.com/investing/2017/03/01/why-lowes-companies-inc-soared-today.aspx</x:v>
      </x:c>
      <x:c r="Q5" s="15" t="str">
        <x:v>2017-03-01 | Lowe's | Lowe's Reports Fourth Quarter Sales And Earnings Results | https://corporate.lowes.com/newsroom/press-releases/lowes-reports-fourth-quarter-sales-and-earnings-results-03-01-2017
2017-03-01 | The Motley Fool | Why Lowe's Companies Inc. Soared Today | https://www.fool.com/investing/2017/03/01/why-lowes-companies-inc-soared-today.aspx</x:v>
      </x:c>
      <x:c r="R5" s="15" t="n">
        <x:v>2</x:v>
      </x:c>
      <x:c r="S5" s="15" t="str">
        <x:v>PASS</x:v>
      </x:c>
    </x:row>
    <x:row r="6" ht="340" customHeight="1">
      <x:c r="A6" s="15" t="n">
        <x:v>4</x:v>
      </x:c>
      <x:c r="B6" s="15" t="str">
        <x:v>LOW</x:v>
      </x:c>
      <x:c r="C6" s="15" t="str">
        <x:v>Lowe's</x:v>
      </x:c>
      <x:c r="D6" s="15" t="str">
        <x:v>2017q2</x:v>
      </x:c>
      <x:c r="E6" s="15" t="str">
        <x:v>2017-05-24</x:v>
      </x:c>
      <x:c r="F6" s="18" t="n">
        <x:v>-3.26</x:v>
      </x:c>
      <x:c r="G6" s="18" t="n">
        <x:v>1.53</x:v>
      </x:c>
      <x:c r="H6" s="18" t="n">
        <x:v>-1.79</x:v>
      </x:c>
      <x:c r="I6" s="18" t="n">
        <x:v>-3.93</x:v>
      </x:c>
      <x:c r="J6" s="18" t="n">
        <x:v>-6.01</x:v>
      </x:c>
      <x:c r="K6" s="15" t="str">
        <x:v>ret_1day_pct</x:v>
      </x:c>
      <x:c r="L6" s="15" t="str">
        <x:v>DOWN</x:v>
      </x:c>
      <x:c r="M6" s="15" t="str">
        <x:v>## Prior Context
The March rally had reset expectations higher. Investors wanted Lowe's to prove that the Q4 recovery was not temporary and that it could keep closing the gap with Home Depot.
### Verified prior source
2017-03-01 | Lowe's | Lowe's Reports Fourth Quarter Sales And Earnings Results | https://corporate.lowes.com/newsroom/press-releases/lowes-reports-fourth-quarter-sales-and-earnings-results-03-01-2017
## Current Earnings Release
Q1 sales increased to about **$16.9 billion**, while adjusted EPS was **$1.03**. Both missed consensus—roughly $16.95 billion of revenue and $1.06 EPS. Comparable sales rose only **1.9%**, a sharp slowdown from the prior quarter.
Lowe's reaffirmed its fiscal-2017 operating outlook rather than cutting it, but that was not enough to offset the weak current print. The result suggested that the apparent Q4 catch-up to Home Depot had not yet become a consistent trend.
### Verified release source
2017-05-24 | Lowe's | Lowe's Reports First Quarter Sales And Earnings Results | https://corporate.lowes.com/newsroom/press-releases/lowes-reports-first-quarter-sales-and-earnings-results-05-24-2017
## Possible Drivers
**First-order driver.** The stock fell because revenue, EPS and comparable sales all disappointed.
**Second-order driver.** The sharp comp slowdown renewed concern about execution versus Home Depot.
**Third-order driver.** Reaffirmed annual guidance limited the downside but did not erase the weak quarter.
### Verified reaction source
2017-05-24 | InvestorPlace | Trade Lowe’s Companies, Inc. (LOW) Stock After Its Earnings Miss | https://investorplace.com/2017/05/trade-lowes-companies-inc-low-stock-after-its-earnings-miss/
## Verification Status
Included sources were checked for Lowe's/LOW identity, the correct earnings event or directly relevant pre-event catalyst, publication date, timing window and source origin. Lowe's Corporate is the factual anchor. No WSJ, Reuters, Dow Jones or MarketWatch-syndicated article is included.
</x:v>
      </x:c>
      <x:c r="N6" s="15" t="str">
        <x:v>2017-03-01 | Lowe's | Lowe's Reports Fourth Quarter Sales And Earnings Results | https://corporate.lowes.com/newsroom/press-releases/lowes-reports-fourth-quarter-sales-and-earnings-results-03-01-2017</x:v>
      </x:c>
      <x:c r="O6" s="15" t="str">
        <x:v>2017-05-24 | Lowe's | Lowe's Reports First Quarter Sales And Earnings Results | https://corporate.lowes.com/newsroom/press-releases/lowes-reports-first-quarter-sales-and-earnings-results-05-24-2017</x:v>
      </x:c>
      <x:c r="P6" s="15" t="str">
        <x:v>2017-05-24 | InvestorPlace | Trade Lowe’s Companies, Inc. (LOW) Stock After Its Earnings Miss | https://investorplace.com/2017/05/trade-lowes-companies-inc-low-stock-after-its-earnings-miss/</x:v>
      </x:c>
      <x:c r="Q6" s="15" t="str">
        <x:v>2017-03-01 | Lowe's | Lowe's Reports Fourth Quarter Sales And Earnings Results | https://corporate.lowes.com/newsroom/press-releases/lowes-reports-fourth-quarter-sales-and-earnings-results-03-01-2017
2017-05-24 | Lowe's | Lowe's Reports First Quarter Sales And Earnings Results | https://corporate.lowes.com/newsroom/press-releases/lowes-reports-first-quarter-sales-and-earnings-results-05-24-2017
2017-05-24 | InvestorPlace | Trade Lowe’s Companies, Inc. (LOW) Stock After Its Earnings Miss | https://investorplace.com/2017/05/trade-lowes-companies-inc-low-stock-after-its-earnings-miss/</x:v>
      </x:c>
      <x:c r="R6" s="15" t="n">
        <x:v>3</x:v>
      </x:c>
      <x:c r="S6" s="15" t="str">
        <x:v>PASS</x:v>
      </x:c>
    </x:row>
    <x:row r="7" ht="340" customHeight="1">
      <x:c r="A7" s="15" t="n">
        <x:v>5</x:v>
      </x:c>
      <x:c r="B7" s="15" t="str">
        <x:v>LOW</x:v>
      </x:c>
      <x:c r="C7" s="15" t="str">
        <x:v>Lowe's</x:v>
      </x:c>
      <x:c r="D7" s="15" t="str">
        <x:v>2017q3</x:v>
      </x:c>
      <x:c r="E7" s="15" t="str">
        <x:v>2017-08-23</x:v>
      </x:c>
      <x:c r="F7" s="18" t="n">
        <x:v>-3.51</x:v>
      </x:c>
      <x:c r="G7" s="18" t="n">
        <x:v>-0.43</x:v>
      </x:c>
      <x:c r="H7" s="18" t="n">
        <x:v>-3.93</x:v>
      </x:c>
      <x:c r="I7" s="18" t="n">
        <x:v>-2.27</x:v>
      </x:c>
      <x:c r="J7" s="18" t="n">
        <x:v>-0.9</x:v>
      </x:c>
      <x:c r="K7" s="15" t="str">
        <x:v>ret_1day_pct</x:v>
      </x:c>
      <x:c r="L7" s="15" t="str">
        <x:v>DOWN</x:v>
      </x:c>
      <x:c r="M7" s="15" t="str">
        <x:v>## Prior Context
After the soft Q1, Lowe's had already begun increasing marketing and customer-facing labor to improve traffic and conversion. Q2 tested whether those investments were translating into enough sales growth to justify the margin cost.
### Verified prior source
2017-05-24 | Lowe's | Lowe's Reports First Quarter Sales And Earnings Results | https://corporate.lowes.com/newsroom/press-releases/lowes-reports-first-quarter-sales-and-earnings-results-05-24-2017
## Current Earnings Release
Q2 sales rose **6.8% to $19.5 billion**, and comparable sales improved to **4.5%**; U.S. comps were **4.6%**. Yet adjusted EPS of **$1.57** was below consensus near $1.61–$1.62, and revenue was also slightly light.
The quality of the quarter was mixed. Transactions grew **0.9%** and average ticket **3.6%**, while July comps accelerated to **7.9%**. But management acknowledged that added advertising and store labor pressured profitability and that first-half results were below expectations. Lowe's reduced its full-year earnings outlook.
### Verified release source
2017-08-23 | Lowe's | Lowe's Reports Second Quarter Sales And Earnings Results | https://corporate.lowes.com/newsroom/press-releases/lowes-reports-second-quarter-sales-and-earnings-results-08-23-2017
## Possible Drivers
**First-order driver.** Shares fell because EPS missed and the full-year earnings outlook was reduced.
**Second-order driver.** Better comps were not translating efficiently into profit because labor and marketing spending rose.
**Third-order driver.** Strong July sales offered some reassurance, but the market focused on weaker earnings conversion.
### Verified reaction source
2017-08-23 | The Motley Fool | Why Lowe's Companies, Inc. Fell on Wednesday | https://www.fool.com/investing/2017/08/23/why-lowes-companies-inc-fell-on-wednesday.aspx
## Verification Status
Included sources were checked for Lowe's/LOW identity, the correct earnings event or directly relevant pre-event catalyst, publication date, timing window and source origin. Lowe's Corporate is the factual anchor. No WSJ, Reuters, Dow Jones or MarketWatch-syndicated article is included.
</x:v>
      </x:c>
      <x:c r="N7" s="15" t="str">
        <x:v>2017-05-24 | Lowe's | Lowe's Reports First Quarter Sales And Earnings Results | https://corporate.lowes.com/newsroom/press-releases/lowes-reports-first-quarter-sales-and-earnings-results-05-24-2017</x:v>
      </x:c>
      <x:c r="O7" s="15" t="str">
        <x:v>2017-08-23 | Lowe's | Lowe's Reports Second Quarter Sales And Earnings Results | https://corporate.lowes.com/newsroom/press-releases/lowes-reports-second-quarter-sales-and-earnings-results-08-23-2017</x:v>
      </x:c>
      <x:c r="P7" s="15" t="str">
        <x:v>2017-08-23 | The Motley Fool | Why Lowe's Companies, Inc. Fell on Wednesday | https://www.fool.com/investing/2017/08/23/why-lowes-companies-inc-fell-on-wednesday.aspx</x:v>
      </x:c>
      <x:c r="Q7" s="15" t="str">
        <x:v>2017-05-24 | Lowe's | Lowe's Reports First Quarter Sales And Earnings Results | https://corporate.lowes.com/newsroom/press-releases/lowes-reports-first-quarter-sales-and-earnings-results-05-24-2017
2017-08-23 | Lowe's | Lowe's Reports Second Quarter Sales And Earnings Results | https://corporate.lowes.com/newsroom/press-releases/lowes-reports-second-quarter-sales-and-earnings-results-08-23-2017
2017-08-23 | The Motley Fool | Why Lowe's Companies, Inc. Fell on Wednesday | https://www.fool.com/investing/2017/08/23/why-lowes-companies-inc-fell-on-wednesday.aspx</x:v>
      </x:c>
      <x:c r="R7" s="15" t="n">
        <x:v>3</x:v>
      </x:c>
      <x:c r="S7" s="15" t="str">
        <x:v>PASS</x:v>
      </x:c>
    </x:row>
    <x:row r="8" ht="340" customHeight="1">
      <x:c r="A8" s="15" t="n">
        <x:v>6</x:v>
      </x:c>
      <x:c r="B8" s="15" t="str">
        <x:v>LOW</x:v>
      </x:c>
      <x:c r="C8" s="15" t="str">
        <x:v>Lowe's</x:v>
      </x:c>
      <x:c r="D8" s="15" t="str">
        <x:v>2017q4</x:v>
      </x:c>
      <x:c r="E8" s="15" t="str">
        <x:v>2017-11-21</x:v>
      </x:c>
      <x:c r="F8" s="18" t="n">
        <x:v>-1.72</x:v>
      </x:c>
      <x:c r="G8" s="18" t="n">
        <x:v>-1.27</x:v>
      </x:c>
      <x:c r="H8" s="18" t="n">
        <x:v>-2.97</x:v>
      </x:c>
      <x:c r="I8" s="18" t="n">
        <x:v>-1.65</x:v>
      </x:c>
      <x:c r="J8" s="18" t="n">
        <x:v>-1.37</x:v>
      </x:c>
      <x:c r="K8" s="15" t="str">
        <x:v>ret_1day_pct</x:v>
      </x:c>
      <x:c r="L8" s="15" t="str">
        <x:v>DOWN</x:v>
      </x:c>
      <x:c r="M8" s="15" t="str">
        <x:v>## Prior Context
Q3 followed a summer of improving sales but disappointing profitability. Hurricanes Harvey and Irma created an unusual tailwind for home-improvement demand, raising expectations for a particularly strong quarter.
### Verified prior source
2017-08-23 | Lowe's | Lowe's Reports Second Quarter Sales And Earnings Results | https://corporate.lowes.com/newsroom/press-releases/lowes-reports-second-quarter-sales-and-earnings-results-08-23-2017
## Current Earnings Release
Lowe's reported **$16.8 billion of sales**, up **6.5%**, and EPS of **$1.05**, both modestly above consensus. Comparable sales increased **5.7%**, and management estimated roughly **$200 million** of hurricane-related sales. Pro-customer comps also ran above the company average.
Despite the beat, Lowe's **left full-year guidance unchanged**. That mattered because Home Depot had recently delivered stronger comps and raised its outlook. Gross margin also slipped, partly because hurricane-related sales carried lower margins. The print was therefore good in absolute terms but weaker relative to the opportunity and to its main competitor.
### Verified release source
2017-11-21 | Lowe's | Lowe's Reports Third Quarter Sales and Earnings Results | https://corporate.lowes.com/newsroom/press-releases/lowes-reports-third-quarter-sales-and-earnings-results-11-21-2017
## Possible Drivers
**First-order driver.** The stock fell because an earnings beat did not translate into higher full-year guidance.
**Second-order driver.** Investors expected more benefit from hurricane demand and a narrower gap with Home Depot.
**Third-order driver.** Lower-margin hurricane sales reduced the quality of the comp beat.
### Verified reaction source
2017-11-21 | The Motley Fool | Lowe's Leaves Its 2017 Outlook Unchanged | https://www.fool.com/investing/2017/11/21/lowes-leaves-its-outlook-unchanged-despite-the-sal.aspx
## Verification Status
Included sources were checked for Lowe's/LOW identity, the correct earnings event or directly relevant pre-event catalyst, publication date, timing window and source origin. Lowe's Corporate is the factual anchor. No WSJ, Reuters, Dow Jones or MarketWatch-syndicated article is included.
</x:v>
      </x:c>
      <x:c r="N8" s="15" t="str">
        <x:v>2017-08-23 | Lowe's | Lowe's Reports Second Quarter Sales And Earnings Results | https://corporate.lowes.com/newsroom/press-releases/lowes-reports-second-quarter-sales-and-earnings-results-08-23-2017</x:v>
      </x:c>
      <x:c r="O8" s="15" t="str">
        <x:v>2017-11-21 | Lowe's | Lowe's Reports Third Quarter Sales and Earnings Results | https://corporate.lowes.com/newsroom/press-releases/lowes-reports-third-quarter-sales-and-earnings-results-11-21-2017</x:v>
      </x:c>
      <x:c r="P8" s="15" t="str">
        <x:v>2017-11-21 | The Motley Fool | Lowe's Leaves Its 2017 Outlook Unchanged | https://www.fool.com/investing/2017/11/21/lowes-leaves-its-outlook-unchanged-despite-the-sal.aspx</x:v>
      </x:c>
      <x:c r="Q8" s="15" t="str">
        <x:v>2017-08-23 | Lowe's | Lowe's Reports Second Quarter Sales And Earnings Results | https://corporate.lowes.com/newsroom/press-releases/lowes-reports-second-quarter-sales-and-earnings-results-08-23-2017
2017-11-21 | Lowe's | Lowe's Reports Third Quarter Sales and Earnings Results | https://corporate.lowes.com/newsroom/press-releases/lowes-reports-third-quarter-sales-and-earnings-results-11-21-2017
2017-11-21 | The Motley Fool | Lowe's Leaves Its 2017 Outlook Unchanged | https://www.fool.com/investing/2017/11/21/lowes-leaves-its-outlook-unchanged-despite-the-sal.aspx</x:v>
      </x:c>
      <x:c r="R8" s="15" t="n">
        <x:v>3</x:v>
      </x:c>
      <x:c r="S8" s="15" t="str">
        <x:v>PASS</x:v>
      </x:c>
    </x:row>
    <x:row r="9" ht="340" customHeight="1">
      <x:c r="A9" s="15" t="n">
        <x:v>7</x:v>
      </x:c>
      <x:c r="B9" s="15" t="str">
        <x:v>LOW</x:v>
      </x:c>
      <x:c r="C9" s="15" t="str">
        <x:v>Lowe's</x:v>
      </x:c>
      <x:c r="D9" s="15" t="str">
        <x:v>2018q1</x:v>
      </x:c>
      <x:c r="E9" s="15" t="str">
        <x:v>2018-02-28</x:v>
      </x:c>
      <x:c r="F9" s="18" t="n">
        <x:v>-5.37</x:v>
      </x:c>
      <x:c r="G9" s="18" t="n">
        <x:v>-0.74</x:v>
      </x:c>
      <x:c r="H9" s="18" t="n">
        <x:v>-6.07</x:v>
      </x:c>
      <x:c r="I9" s="18" t="n">
        <x:v>-6.55</x:v>
      </x:c>
      <x:c r="J9" s="18" t="n">
        <x:v>-9.75</x:v>
      </x:c>
      <x:c r="K9" s="15" t="str">
        <x:v>ret_1day_pct</x:v>
      </x:c>
      <x:c r="L9" s="15" t="str">
        <x:v>DOWN</x:v>
      </x:c>
      <x:c r="M9" s="15" t="str">
        <x:v>## Prior Context
By year-end, investors had become increasingly frustrated with the persistent performance gap versus Home Depot. Tax reform created room for investment, but it also raised expectations for a stronger 2018 earnings trajectory.
### Verified prior source
2017-11-21 | Lowe's | Lowe's Reports Third Quarter Sales and Earnings Results | https://corporate.lowes.com/newsroom/press-releases/lowes-reports-third-quarter-sales-and-earnings-results-11-21-2017
## Current Earnings Release
Fourth-quarter comparable sales increased **4.1%**, but adjusted EPS was only **$0.74**, well below expectations around $0.86–$0.87. Revenue was roughly in line to slightly above consensus. Home Depot, by contrast, had recently reported a **7.5% comp**, making the relative underperformance especially visible.
Lowe's fiscal-2018 outlook also called for operating margin to **decline about 30 basis points** as the company accelerated strategic investments. That meant investors were being asked to accept weaker near-term profitability without evidence that Lowe's had yet closed the sales-productivity gap.
### Verified release source
2018-02-28 | Lowe's | Lowe's Reports Fourth Quarter Sales and Earnings Results | https://corporate.lowes.com/newsroom/press-releases/lowes-reports-fourth-quarter-sales-and-earnings-results-02-28-18
## Possible Drivers
**First-order driver.** Shares fell because adjusted EPS missed badly despite acceptable comparable sales.
**Second-order driver.** The gap versus Home Depot remained large, reinforcing market-share and execution concerns.
**Third-order driver.** Guidance for lower 2018 operating margin reduced confidence in near-term earnings leverage.
### Verified reaction source
2018-02-28 | The Motley Fool | Why Lowe's Companies, Frontier Communications, and Stratasys Slumped Today | https://www.fool.com/investing/2018/02/28/why-lowes-companies-frontier-communications-and-st.aspx
## Verification Status
Included sources were checked for Lowe's/LOW identity, the correct earnings event or directly relevant pre-event catalyst, publication date, timing window and source origin. Lowe's Corporate is the factual anchor. No WSJ, Reuters, Dow Jones or MarketWatch-syndicated article is included.
</x:v>
      </x:c>
      <x:c r="N9" s="15" t="str">
        <x:v>2017-11-21 | Lowe's | Lowe's Reports Third Quarter Sales and Earnings Results | https://corporate.lowes.com/newsroom/press-releases/lowes-reports-third-quarter-sales-and-earnings-results-11-21-2017</x:v>
      </x:c>
      <x:c r="O9" s="15" t="str">
        <x:v>2018-02-28 | Lowe's | Lowe's Reports Fourth Quarter Sales and Earnings Results | https://corporate.lowes.com/newsroom/press-releases/lowes-reports-fourth-quarter-sales-and-earnings-results-02-28-18</x:v>
      </x:c>
      <x:c r="P9" s="15" t="str">
        <x:v>2018-02-28 | The Motley Fool | Why Lowe's Companies, Frontier Communications, and Stratasys Slumped Today | https://www.fool.com/investing/2018/02/28/why-lowes-companies-frontier-communications-and-st.aspx</x:v>
      </x:c>
      <x:c r="Q9" s="15" t="str">
        <x:v>2017-11-21 | Lowe's | Lowe's Reports Third Quarter Sales and Earnings Results | https://corporate.lowes.com/newsroom/press-releases/lowes-reports-third-quarter-sales-and-earnings-results-11-21-2017
2018-02-28 | Lowe's | Lowe's Reports Fourth Quarter Sales and Earnings Results | https://corporate.lowes.com/newsroom/press-releases/lowes-reports-fourth-quarter-sales-and-earnings-results-02-28-18
2018-02-28 | The Motley Fool | Why Lowe's Companies, Frontier Communications, and Stratasys Slumped Today | https://www.fool.com/investing/2018/02/28/why-lowes-companies-frontier-communications-and-st.aspx</x:v>
      </x:c>
      <x:c r="R9" s="15" t="n">
        <x:v>3</x:v>
      </x:c>
      <x:c r="S9" s="15" t="str">
        <x:v>PASS</x:v>
      </x:c>
    </x:row>
    <x:row r="10" ht="340" customHeight="1">
      <x:c r="A10" s="15" t="n">
        <x:v>8</x:v>
      </x:c>
      <x:c r="B10" s="15" t="str">
        <x:v>LOW</x:v>
      </x:c>
      <x:c r="C10" s="15" t="str">
        <x:v>Lowe's</x:v>
      </x:c>
      <x:c r="D10" s="15" t="str">
        <x:v>2018q2</x:v>
      </x:c>
      <x:c r="E10" s="15" t="str">
        <x:v>2018-05-23</x:v>
      </x:c>
      <x:c r="F10" s="18" t="n">
        <x:v>10.2</x:v>
      </x:c>
      <x:c r="G10" s="18" t="n">
        <x:v>2.08</x:v>
      </x:c>
      <x:c r="H10" s="18" t="n">
        <x:v>12.49</x:v>
      </x:c>
      <x:c r="I10" s="18" t="n">
        <x:v>10.77</x:v>
      </x:c>
      <x:c r="J10" s="18" t="n">
        <x:v>11.3</x:v>
      </x:c>
      <x:c r="K10" s="15" t="str">
        <x:v>ret_1day_pct</x:v>
      </x:c>
      <x:c r="L10" s="15" t="str">
        <x:v>UP</x:v>
      </x:c>
      <x:c r="M10" s="15" t="str">
        <x:v>## Prior Context
The earnings event came one day after Lowe's named **Marvin Ellison**, a former Home Depot executive, as its next CEO. That leadership change materially altered the market's expectations before the quarter was even released.
### Verified prior source
2018-02-28 | Lowe's | Lowe's Reports Fourth Quarter Sales and Earnings Results | https://corporate.lowes.com/newsroom/press-releases/lowes-reports-fourth-quarter-sales-and-earnings-results-02-28-18
2018-05-22 | Lowe's / SEC | Lowe's Names Marvin Ellison President and Chief Executive Officer | https://www.sec.gov/Archives/edgar/data/60667/000119312518170222/d577212dex991.htm
## Current Earnings Release
The operating print itself was weak. Sales rose **3.0% to $17.4 billion**, adjusted EPS was **$1.19**, and U.S. comparable sales increased only **0.5%**. Both revenue and EPS missed consensus. Management blamed prolonged cold weather, which delayed spring demand and reduced outdoor-category sales; it also said May comps had rebounded to double-digit growth.
Yet the stock surged. Investors focused on two non-earnings catalysts: the appointment of Marvin Ellison and reports that Bill Ackman's Pershing Square had accumulated roughly a **$1 billion stake**. The event is therefore a clear example where stock direction cannot be inferred from the earnings numbers alone.
### Verified release source
2018-05-23 | Lowe's | Lowe's Reports First Quarter Sales And Earnings Results | https://corporate.lowes.com/newsroom/press-releases/lowes-reports-first-quarter-sales-and-earnings-results-05-23-18
## Possible Drivers
**First-order driver.** Shares jumped because leadership change and activist involvement overwhelmed a weak earnings report.
**Second-order driver.** Double-digit May comps suggested the weather-related sales shortfall could reverse.
**Third-order driver.** The earnings miss itself was negative, but investors repriced the probability of an operational turnaround under Marvin Ellison.
### Verified reaction source
2018-05-23 | The Motley Fool | Why Shares of Lowe's Jumped Today | https://www.fool.com/investing/2018/05/23/why-shares-of-lowes-jumped-today.aspx
## Verification Status
Included sources were checked for Lowe's/LOW identity, the correct earnings event or directly relevant pre-event catalyst, publication date, timing window and source origin. Lowe's Corporate is the factual anchor. No WSJ, Reuters, Dow Jones or MarketWatch-syndicated article is included.
</x:v>
      </x:c>
      <x:c r="N10" s="15" t="str">
        <x:v>2018-02-28 | Lowe's | Lowe's Reports Fourth Quarter Sales and Earnings Results | https://corporate.lowes.com/newsroom/press-releases/lowes-reports-fourth-quarter-sales-and-earnings-results-02-28-18
2018-05-22 | Lowe's / SEC | Lowe's Names Marvin Ellison President and Chief Executive Officer | https://www.sec.gov/Archives/edgar/data/60667/000119312518170222/d577212dex991.htm</x:v>
      </x:c>
      <x:c r="O10" s="15" t="str">
        <x:v>2018-05-23 | Lowe's | Lowe's Reports First Quarter Sales And Earnings Results | https://corporate.lowes.com/newsroom/press-releases/lowes-reports-first-quarter-sales-and-earnings-results-05-23-18</x:v>
      </x:c>
      <x:c r="P10" s="15" t="str">
        <x:v>2018-05-23 | The Motley Fool | Why Shares of Lowe's Jumped Today | https://www.fool.com/investing/2018/05/23/why-shares-of-lowes-jumped-today.aspx</x:v>
      </x:c>
      <x:c r="Q10" s="15" t="str">
        <x:v>2018-02-28 | Lowe's | Lowe's Reports Fourth Quarter Sales and Earnings Results | https://corporate.lowes.com/newsroom/press-releases/lowes-reports-fourth-quarter-sales-and-earnings-results-02-28-18
2018-05-22 | Lowe's / SEC | Lowe's Names Marvin Ellison President and Chief Executive Officer | https://www.sec.gov/Archives/edgar/data/60667/000119312518170222/d577212dex991.htm
2018-05-23 | Lowe's | Lowe's Reports First Quarter Sales And Earnings Results | https://corporate.lowes.com/newsroom/press-releases/lowes-reports-first-quarter-sales-and-earnings-results-05-23-18
2018-05-23 | The Motley Fool | Why Shares of Lowe's Jumped Today | https://www.fool.com/investing/2018/05/23/why-shares-of-lowes-jumped-today.aspx</x:v>
      </x:c>
      <x:c r="R10" s="15" t="n">
        <x:v>4</x:v>
      </x:c>
      <x:c r="S10" s="15" t="str">
        <x:v>PASS</x:v>
      </x:c>
    </x:row>
    <x:row r="11" ht="340" customHeight="1">
      <x:c r="A11" s="15" t="n">
        <x:v>9</x:v>
      </x:c>
      <x:c r="B11" s="15" t="str">
        <x:v>LOW</x:v>
      </x:c>
      <x:c r="C11" s="15" t="str">
        <x:v>Lowe's</x:v>
      </x:c>
      <x:c r="D11" s="15" t="str">
        <x:v>2018q3</x:v>
      </x:c>
      <x:c r="E11" s="15" t="str">
        <x:v>2018-08-22</x:v>
      </x:c>
      <x:c r="F11" s="18" t="n">
        <x:v>5.72</x:v>
      </x:c>
      <x:c r="G11" s="18" t="n">
        <x:v>1.79</x:v>
      </x:c>
      <x:c r="H11" s="18" t="n">
        <x:v>7.61</x:v>
      </x:c>
      <x:c r="I11" s="18" t="n">
        <x:v>8.11</x:v>
      </x:c>
      <x:c r="J11" s="18" t="n">
        <x:v>6.49</x:v>
      </x:c>
      <x:c r="K11" s="15" t="str">
        <x:v>ret_1day_pct</x:v>
      </x:c>
      <x:c r="L11" s="15" t="str">
        <x:v>UP</x:v>
      </x:c>
      <x:c r="M11" s="15" t="str">
        <x:v>## Prior Context
By Q2, Marvin Ellison was in the CEO role and had begun a more aggressive portfolio and operating review. Investors wanted early evidence that stronger retail execution could coexist with restructuring.
### Verified prior source
2018-05-23 | Lowe's | Lowe's Reports First Quarter Sales And Earnings Results | https://corporate.lowes.com/newsroom/press-releases/lowes-reports-first-quarter-sales-and-earnings-results-05-23-18
## Current Earnings Release
Q2 sales rose **7.1% to $20.9 billion**, comparable sales increased **5.2%**, and adjusted EPS reached **$2.07**, ahead of consensus near $2.02. Transactions increased only **0.6%**, while average ticket rose **4.5%**, so most comp growth came from larger baskets rather than traffic.
Lowe's simultaneously announced the exit of **99 Orchard Supply Hardware stores** and other portfolio actions, producing non-cash charges and a reduced full-year GAAP outlook. Even so, investors focused on the strong current-quarter sales and adjusted earnings once regular trading began.
### Verified release source
2018-08-22 | Lowe's | Lowe's Reports Second Quarter Sales and Earnings Results | https://corporate.lowes.com/newsroom/press-releases/lowes-reports-second-quarter-sales-and-earnings-results-08-22-18
## Possible Drivers
**First-order driver.** Shares rose because comps, revenue and adjusted EPS all exceeded expectations.
**Second-order driver.** The Orchard Supply exit signaled faster portfolio cleanup under new management.
**Third-order driver.** Traffic growth was modest, so the strength still depended heavily on higher average ticket.
### Verified reaction source
2018-08-22 | The Motley Fool | Why Lowe's Companies Inc Stock Jumped Today | https://www.fool.com/investing/2018/08/22/why-lowes-companies-inc-stock-jumped-today.aspx
## Verification Status
Included sources were checked for Lowe's/LOW identity, the correct earnings event or directly relevant pre-event catalyst, publication date, timing window and source origin. Lowe's Corporate is the factual anchor. No WSJ, Reuters, Dow Jones or MarketWatch-syndicated article is included.
</x:v>
      </x:c>
      <x:c r="N11" s="15" t="str">
        <x:v>2018-05-23 | Lowe's | Lowe's Reports First Quarter Sales And Earnings Results | https://corporate.lowes.com/newsroom/press-releases/lowes-reports-first-quarter-sales-and-earnings-results-05-23-18</x:v>
      </x:c>
      <x:c r="O11" s="15" t="str">
        <x:v>2018-08-22 | Lowe's | Lowe's Reports Second Quarter Sales and Earnings Results | https://corporate.lowes.com/newsroom/press-releases/lowes-reports-second-quarter-sales-and-earnings-results-08-22-18</x:v>
      </x:c>
      <x:c r="P11" s="15" t="str">
        <x:v>2018-08-22 | The Motley Fool | Why Lowe's Companies Inc Stock Jumped Today | https://www.fool.com/investing/2018/08/22/why-lowes-companies-inc-stock-jumped-today.aspx</x:v>
      </x:c>
      <x:c r="Q11" s="15" t="str">
        <x:v>2018-05-23 | Lowe's | Lowe's Reports First Quarter Sales And Earnings Results | https://corporate.lowes.com/newsroom/press-releases/lowes-reports-first-quarter-sales-and-earnings-results-05-23-18
2018-08-22 | Lowe's | Lowe's Reports Second Quarter Sales and Earnings Results | https://corporate.lowes.com/newsroom/press-releases/lowes-reports-second-quarter-sales-and-earnings-results-08-22-18
2018-08-22 | The Motley Fool | Why Lowe's Companies Inc Stock Jumped Today | https://www.fool.com/investing/2018/08/22/why-lowes-companies-inc-stock-jumped-today.aspx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2" hidden="0" customWidth="1"/>
    <x:col min="8" max="8" width="92"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6"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2016-05-18</x:v>
      </x:c>
      <x:c r="B2" s="12" t="str">
        <x:v>LOW</x:v>
      </x:c>
      <x:c r="C2" s="12" t="str">
        <x:v>prior</x:v>
      </x:c>
      <x:c r="D2" s="12" t="str">
        <x:v>2016-02-24</x:v>
      </x:c>
      <x:c r="E2" s="12" t="n">
        <x:v>-84</x:v>
      </x:c>
      <x:c r="F2" s="12" t="str">
        <x:v>Lowe's</x:v>
      </x:c>
      <x:c r="G2" s="12" t="str">
        <x:v>Lowe's Reports Fourth Quarter Sales and Earnings Results</x:v>
      </x:c>
      <x:c r="H2" s="12" t="str">
        <x:v>https://corporate.lowes.com/newsroom/press-releases/lowes-reports-fourth-quarter-sales-and-earnings-results-02-24-2016</x:v>
      </x:c>
      <x:c r="I2" s="12" t="str">
        <x:v>OPENED/VERIFIED</x:v>
      </x:c>
      <x:c r="J2" s="12" t="str">
        <x:v>PASS</x:v>
      </x:c>
      <x:c r="K2" s="12" t="str">
        <x:v>PASS</x:v>
      </x:c>
      <x:c r="L2" s="12" t="str">
        <x:v>PASS</x:v>
      </x:c>
      <x:c r="M2" s="12" t="str">
        <x:v>NO</x:v>
      </x:c>
      <x:c r="N2" s="12" t="str">
        <x:v>PASS</x:v>
      </x:c>
      <x:c r="O2" s="12" t="str">
        <x:v>FACTUAL</x:v>
      </x:c>
      <x:c r="P2" s="12" t="str">
        <x:v>PASS</x:v>
      </x:c>
      <x:c r="Q2" s="12" t="str">
        <x:v>Checked against Lowe's/LOW, exact event or directly relevant pre-event catalyst, displayed date, timing window, and prohibited-source origin.</x:v>
      </x:c>
    </x:row>
    <x:row r="3">
      <x:c r="A3" s="12" t="str">
        <x:v>2016-05-18</x:v>
      </x:c>
      <x:c r="B3" s="12" t="str">
        <x:v>LOW</x:v>
      </x:c>
      <x:c r="C3" s="12" t="str">
        <x:v>release</x:v>
      </x:c>
      <x:c r="D3" s="12" t="str">
        <x:v>2016-05-18</x:v>
      </x:c>
      <x:c r="E3" s="12" t="n">
        <x:v>0</x:v>
      </x:c>
      <x:c r="F3" s="12" t="str">
        <x:v>Lowe's</x:v>
      </x:c>
      <x:c r="G3" s="12" t="str">
        <x:v>Lowe's Reports First Quarter Sales And Earnings Results</x:v>
      </x:c>
      <x:c r="H3" s="12" t="str">
        <x:v>https://corporate.lowes.com/newsroom/press-releases/lowes-reports-first-quarter-sales-and-earnings-results-05-18-2016</x:v>
      </x:c>
      <x:c r="I3" s="12" t="str">
        <x:v>OPENED/VERIFIED</x:v>
      </x:c>
      <x:c r="J3" s="12" t="str">
        <x:v>PASS</x:v>
      </x:c>
      <x:c r="K3" s="12" t="str">
        <x:v>PASS</x:v>
      </x:c>
      <x:c r="L3" s="12" t="str">
        <x:v>PASS</x:v>
      </x:c>
      <x:c r="M3" s="12" t="str">
        <x:v>NO</x:v>
      </x:c>
      <x:c r="N3" s="12" t="str">
        <x:v>PASS</x:v>
      </x:c>
      <x:c r="O3" s="12" t="str">
        <x:v>FACTUAL</x:v>
      </x:c>
      <x:c r="P3" s="12" t="str">
        <x:v>PASS</x:v>
      </x:c>
      <x:c r="Q3" s="12" t="str">
        <x:v>Checked against Lowe's/LOW, exact event or directly relevant pre-event catalyst, displayed date, timing window, and prohibited-source origin.</x:v>
      </x:c>
    </x:row>
    <x:row r="4">
      <x:c r="A4" s="12" t="str">
        <x:v>2016-05-18</x:v>
      </x:c>
      <x:c r="B4" s="12" t="str">
        <x:v>LOW</x:v>
      </x:c>
      <x:c r="C4" s="12" t="str">
        <x:v>reaction</x:v>
      </x:c>
      <x:c r="D4" s="12" t="str">
        <x:v>2016-05-18</x:v>
      </x:c>
      <x:c r="E4" s="12" t="n">
        <x:v>0</x:v>
      </x:c>
      <x:c r="F4" s="12" t="str">
        <x:v>TheStreet</x:v>
      </x:c>
      <x:c r="G4" s="12" t="str">
        <x:v>Lowe’s (LOW) Stock Gains on Q1 Earnings Beat</x:v>
      </x:c>
      <x:c r="H4" s="12" t="str">
        <x:v>https://www.thestreet.com/markets/lowe-rsquo-s-low-stock-gains-on-q1-earnings-beat-13576051</x:v>
      </x:c>
      <x:c r="I4" s="12" t="str">
        <x:v>OPENED/VERIFIED</x:v>
      </x:c>
      <x:c r="J4" s="12" t="str">
        <x:v>PASS</x:v>
      </x:c>
      <x:c r="K4" s="12" t="str">
        <x:v>PASS</x:v>
      </x:c>
      <x:c r="L4" s="12" t="str">
        <x:v>PASS</x:v>
      </x:c>
      <x:c r="M4" s="12" t="str">
        <x:v>NO</x:v>
      </x:c>
      <x:c r="N4" s="12" t="str">
        <x:v>PASS</x:v>
      </x:c>
      <x:c r="O4" s="12" t="str">
        <x:v>CONTEMPORANEOUS_ATTRIBUTION</x:v>
      </x:c>
      <x:c r="P4" s="12" t="str">
        <x:v>PASS</x:v>
      </x:c>
      <x:c r="Q4" s="12" t="str">
        <x:v>Checked against Lowe's/LOW, exact event or directly relevant pre-event catalyst, displayed date, timing window, and prohibited-source origin.</x:v>
      </x:c>
    </x:row>
    <x:row r="5">
      <x:c r="A5" s="12" t="str">
        <x:v>2016-08-17</x:v>
      </x:c>
      <x:c r="B5" s="12" t="str">
        <x:v>LOW</x:v>
      </x:c>
      <x:c r="C5" s="12" t="str">
        <x:v>prior</x:v>
      </x:c>
      <x:c r="D5" s="12" t="str">
        <x:v>2016-05-18</x:v>
      </x:c>
      <x:c r="E5" s="12" t="n">
        <x:v>-91</x:v>
      </x:c>
      <x:c r="F5" s="12" t="str">
        <x:v>Lowe's</x:v>
      </x:c>
      <x:c r="G5" s="12" t="str">
        <x:v>Lowe's Reports First Quarter Sales And Earnings Results</x:v>
      </x:c>
      <x:c r="H5" s="12" t="str">
        <x:v>https://corporate.lowes.com/newsroom/press-releases/lowes-reports-first-quarter-sales-and-earnings-results-05-18-2016</x:v>
      </x:c>
      <x:c r="I5" s="12" t="str">
        <x:v>OPENED/VERIFIED</x:v>
      </x:c>
      <x:c r="J5" s="12" t="str">
        <x:v>PASS</x:v>
      </x:c>
      <x:c r="K5" s="12" t="str">
        <x:v>PASS</x:v>
      </x:c>
      <x:c r="L5" s="12" t="str">
        <x:v>PASS</x:v>
      </x:c>
      <x:c r="M5" s="12" t="str">
        <x:v>NO</x:v>
      </x:c>
      <x:c r="N5" s="12" t="str">
        <x:v>PASS</x:v>
      </x:c>
      <x:c r="O5" s="12" t="str">
        <x:v>FACTUAL</x:v>
      </x:c>
      <x:c r="P5" s="12" t="str">
        <x:v>PASS</x:v>
      </x:c>
      <x:c r="Q5" s="12" t="str">
        <x:v>Checked against Lowe's/LOW, exact event or directly relevant pre-event catalyst, displayed date, timing window, and prohibited-source origin.</x:v>
      </x:c>
    </x:row>
    <x:row r="6">
      <x:c r="A6" s="12" t="str">
        <x:v>2016-08-17</x:v>
      </x:c>
      <x:c r="B6" s="12" t="str">
        <x:v>LOW</x:v>
      </x:c>
      <x:c r="C6" s="12" t="str">
        <x:v>release</x:v>
      </x:c>
      <x:c r="D6" s="12" t="str">
        <x:v>2016-08-17</x:v>
      </x:c>
      <x:c r="E6" s="12" t="n">
        <x:v>0</x:v>
      </x:c>
      <x:c r="F6" s="12" t="str">
        <x:v>Lowe's</x:v>
      </x:c>
      <x:c r="G6" s="12" t="str">
        <x:v>Lowe's Reports Second Quarter Sales and Earnings Results</x:v>
      </x:c>
      <x:c r="H6" s="12" t="str">
        <x:v>https://corporate.lowes.com/newsroom/press-releases/lowes-reports-second-quarter-sales-and-earnings-results-08-17-2016</x:v>
      </x:c>
      <x:c r="I6" s="12" t="str">
        <x:v>OPENED/VERIFIED</x:v>
      </x:c>
      <x:c r="J6" s="12" t="str">
        <x:v>PASS</x:v>
      </x:c>
      <x:c r="K6" s="12" t="str">
        <x:v>PASS</x:v>
      </x:c>
      <x:c r="L6" s="12" t="str">
        <x:v>PASS</x:v>
      </x:c>
      <x:c r="M6" s="12" t="str">
        <x:v>NO</x:v>
      </x:c>
      <x:c r="N6" s="12" t="str">
        <x:v>PASS</x:v>
      </x:c>
      <x:c r="O6" s="12" t="str">
        <x:v>FACTUAL</x:v>
      </x:c>
      <x:c r="P6" s="12" t="str">
        <x:v>PASS</x:v>
      </x:c>
      <x:c r="Q6" s="12" t="str">
        <x:v>Checked against Lowe's/LOW, exact event or directly relevant pre-event catalyst, displayed date, timing window, and prohibited-source origin.</x:v>
      </x:c>
    </x:row>
    <x:row r="7">
      <x:c r="A7" s="12" t="str">
        <x:v>2016-08-17</x:v>
      </x:c>
      <x:c r="B7" s="12" t="str">
        <x:v>LOW</x:v>
      </x:c>
      <x:c r="C7" s="12" t="str">
        <x:v>reaction</x:v>
      </x:c>
      <x:c r="D7" s="12" t="str">
        <x:v>2016-08-17</x:v>
      </x:c>
      <x:c r="E7" s="12" t="n">
        <x:v>0</x:v>
      </x:c>
      <x:c r="F7" s="12" t="str">
        <x:v>TheStreet</x:v>
      </x:c>
      <x:c r="G7" s="12" t="str">
        <x:v>Lowe's Gets Pummeled by Home Depot in the Second Quarter</x:v>
      </x:c>
      <x:c r="H7" s="12" t="str">
        <x:v>https://www.thestreet.com/investing/stocks/lowe-s-gets-pummeled-by-home-depot-in-the-second-quarter-13677270</x:v>
      </x:c>
      <x:c r="I7" s="12" t="str">
        <x:v>OPENED/VERIFIED</x:v>
      </x:c>
      <x:c r="J7" s="12" t="str">
        <x:v>PASS</x:v>
      </x:c>
      <x:c r="K7" s="12" t="str">
        <x:v>PASS</x:v>
      </x:c>
      <x:c r="L7" s="12" t="str">
        <x:v>PASS</x:v>
      </x:c>
      <x:c r="M7" s="12" t="str">
        <x:v>NO</x:v>
      </x:c>
      <x:c r="N7" s="12" t="str">
        <x:v>PASS</x:v>
      </x:c>
      <x:c r="O7" s="12" t="str">
        <x:v>CONTEMPORANEOUS_ATTRIBUTION</x:v>
      </x:c>
      <x:c r="P7" s="12" t="str">
        <x:v>PASS</x:v>
      </x:c>
      <x:c r="Q7" s="12" t="str">
        <x:v>Checked against Lowe's/LOW, exact event or directly relevant pre-event catalyst, displayed date, timing window, and prohibited-source origin.</x:v>
      </x:c>
    </x:row>
    <x:row r="8">
      <x:c r="A8" s="12" t="str">
        <x:v>2016-11-16</x:v>
      </x:c>
      <x:c r="B8" s="12" t="str">
        <x:v>LOW</x:v>
      </x:c>
      <x:c r="C8" s="12" t="str">
        <x:v>prior</x:v>
      </x:c>
      <x:c r="D8" s="12" t="str">
        <x:v>2016-08-17</x:v>
      </x:c>
      <x:c r="E8" s="12" t="n">
        <x:v>-91</x:v>
      </x:c>
      <x:c r="F8" s="12" t="str">
        <x:v>Lowe's</x:v>
      </x:c>
      <x:c r="G8" s="12" t="str">
        <x:v>Lowe's Reports Second Quarter Sales and Earnings Results</x:v>
      </x:c>
      <x:c r="H8" s="12" t="str">
        <x:v>https://corporate.lowes.com/newsroom/press-releases/lowes-reports-second-quarter-sales-and-earnings-results-08-17-2016</x:v>
      </x:c>
      <x:c r="I8" s="12" t="str">
        <x:v>OPENED/VERIFIED</x:v>
      </x:c>
      <x:c r="J8" s="12" t="str">
        <x:v>PASS</x:v>
      </x:c>
      <x:c r="K8" s="12" t="str">
        <x:v>PASS</x:v>
      </x:c>
      <x:c r="L8" s="12" t="str">
        <x:v>PASS</x:v>
      </x:c>
      <x:c r="M8" s="12" t="str">
        <x:v>NO</x:v>
      </x:c>
      <x:c r="N8" s="12" t="str">
        <x:v>PASS</x:v>
      </x:c>
      <x:c r="O8" s="12" t="str">
        <x:v>FACTUAL</x:v>
      </x:c>
      <x:c r="P8" s="12" t="str">
        <x:v>PASS</x:v>
      </x:c>
      <x:c r="Q8" s="12" t="str">
        <x:v>Checked against Lowe's/LOW, exact event or directly relevant pre-event catalyst, displayed date, timing window, and prohibited-source origin.</x:v>
      </x:c>
    </x:row>
    <x:row r="9">
      <x:c r="A9" s="12" t="str">
        <x:v>2016-11-16</x:v>
      </x:c>
      <x:c r="B9" s="12" t="str">
        <x:v>LOW</x:v>
      </x:c>
      <x:c r="C9" s="12" t="str">
        <x:v>release</x:v>
      </x:c>
      <x:c r="D9" s="12" t="str">
        <x:v>2016-11-16</x:v>
      </x:c>
      <x:c r="E9" s="12" t="n">
        <x:v>0</x:v>
      </x:c>
      <x:c r="F9" s="12" t="str">
        <x:v>Lowe's</x:v>
      </x:c>
      <x:c r="G9" s="12" t="str">
        <x:v>Lowe's Reports Third Quarter Sales and Earnings Results</x:v>
      </x:c>
      <x:c r="H9" s="12" t="str">
        <x:v>https://corporate.lowes.com/newsroom/press-releases/lowes-reports-third-quarter-sales-and-earnings-results-11-16-2016</x:v>
      </x:c>
      <x:c r="I9" s="12" t="str">
        <x:v>OPENED/VERIFIED</x:v>
      </x:c>
      <x:c r="J9" s="12" t="str">
        <x:v>PASS</x:v>
      </x:c>
      <x:c r="K9" s="12" t="str">
        <x:v>PASS</x:v>
      </x:c>
      <x:c r="L9" s="12" t="str">
        <x:v>PASS</x:v>
      </x:c>
      <x:c r="M9" s="12" t="str">
        <x:v>NO</x:v>
      </x:c>
      <x:c r="N9" s="12" t="str">
        <x:v>PASS</x:v>
      </x:c>
      <x:c r="O9" s="12" t="str">
        <x:v>FACTUAL</x:v>
      </x:c>
      <x:c r="P9" s="12" t="str">
        <x:v>PASS</x:v>
      </x:c>
      <x:c r="Q9" s="12" t="str">
        <x:v>Checked against Lowe's/LOW, exact event or directly relevant pre-event catalyst, displayed date, timing window, and prohibited-source origin.</x:v>
      </x:c>
    </x:row>
    <x:row r="10">
      <x:c r="A10" s="12" t="str">
        <x:v>2016-11-16</x:v>
      </x:c>
      <x:c r="B10" s="12" t="str">
        <x:v>LOW</x:v>
      </x:c>
      <x:c r="C10" s="12" t="str">
        <x:v>reaction</x:v>
      </x:c>
      <x:c r="D10" s="12" t="str">
        <x:v>2016-11-16</x:v>
      </x:c>
      <x:c r="E10" s="12" t="n">
        <x:v>0</x:v>
      </x:c>
      <x:c r="F10" s="12" t="str">
        <x:v>TheStreet</x:v>
      </x:c>
      <x:c r="G10" s="12" t="str">
        <x:v>Jim Cramer — Target Roars While Lowe's Struggles</x:v>
      </x:c>
      <x:c r="H10" s="12" t="str">
        <x:v>https://www.thestreet.com/investing/stocks/jim-cramer-target-roars-while-lowe-s-struggles-13895957</x:v>
      </x:c>
      <x:c r="I10" s="12" t="str">
        <x:v>OPENED/VERIFIED</x:v>
      </x:c>
      <x:c r="J10" s="12" t="str">
        <x:v>PASS</x:v>
      </x:c>
      <x:c r="K10" s="12" t="str">
        <x:v>PASS</x:v>
      </x:c>
      <x:c r="L10" s="12" t="str">
        <x:v>PASS</x:v>
      </x:c>
      <x:c r="M10" s="12" t="str">
        <x:v>NO</x:v>
      </x:c>
      <x:c r="N10" s="12" t="str">
        <x:v>PASS</x:v>
      </x:c>
      <x:c r="O10" s="12" t="str">
        <x:v>CONTEMPORANEOUS_ATTRIBUTION</x:v>
      </x:c>
      <x:c r="P10" s="12" t="str">
        <x:v>PASS</x:v>
      </x:c>
      <x:c r="Q10" s="12" t="str">
        <x:v>Checked against Lowe's/LOW, exact event or directly relevant pre-event catalyst, displayed date, timing window, and prohibited-source origin.</x:v>
      </x:c>
    </x:row>
    <x:row r="11">
      <x:c r="A11" s="12" t="str">
        <x:v>2017-03-01</x:v>
      </x:c>
      <x:c r="B11" s="12" t="str">
        <x:v>LOW</x:v>
      </x:c>
      <x:c r="C11" s="12" t="str">
        <x:v>release</x:v>
      </x:c>
      <x:c r="D11" s="12" t="str">
        <x:v>2017-03-01</x:v>
      </x:c>
      <x:c r="E11" s="12" t="n">
        <x:v>0</x:v>
      </x:c>
      <x:c r="F11" s="12" t="str">
        <x:v>Lowe's</x:v>
      </x:c>
      <x:c r="G11" s="12" t="str">
        <x:v>Lowe's Reports Fourth Quarter Sales And Earnings Results</x:v>
      </x:c>
      <x:c r="H11" s="12" t="str">
        <x:v>https://corporate.lowes.com/newsroom/press-releases/lowes-reports-fourth-quarter-sales-and-earnings-results-03-01-2017</x:v>
      </x:c>
      <x:c r="I11" s="12" t="str">
        <x:v>OPENED/VERIFIED</x:v>
      </x:c>
      <x:c r="J11" s="12" t="str">
        <x:v>PASS</x:v>
      </x:c>
      <x:c r="K11" s="12" t="str">
        <x:v>PASS</x:v>
      </x:c>
      <x:c r="L11" s="12" t="str">
        <x:v>PASS</x:v>
      </x:c>
      <x:c r="M11" s="12" t="str">
        <x:v>NO</x:v>
      </x:c>
      <x:c r="N11" s="12" t="str">
        <x:v>PASS</x:v>
      </x:c>
      <x:c r="O11" s="12" t="str">
        <x:v>FACTUAL</x:v>
      </x:c>
      <x:c r="P11" s="12" t="str">
        <x:v>PASS</x:v>
      </x:c>
      <x:c r="Q11" s="12" t="str">
        <x:v>Checked against Lowe's/LOW, exact event or directly relevant pre-event catalyst, displayed date, timing window, and prohibited-source origin.</x:v>
      </x:c>
    </x:row>
    <x:row r="12">
      <x:c r="A12" s="12" t="str">
        <x:v>2017-03-01</x:v>
      </x:c>
      <x:c r="B12" s="12" t="str">
        <x:v>LOW</x:v>
      </x:c>
      <x:c r="C12" s="12" t="str">
        <x:v>reaction</x:v>
      </x:c>
      <x:c r="D12" s="12" t="str">
        <x:v>2017-03-01</x:v>
      </x:c>
      <x:c r="E12" s="12" t="n">
        <x:v>0</x:v>
      </x:c>
      <x:c r="F12" s="12" t="str">
        <x:v>The Motley Fool</x:v>
      </x:c>
      <x:c r="G12" s="12" t="str">
        <x:v>Why Lowe's Companies Inc. Soared Today</x:v>
      </x:c>
      <x:c r="H12" s="12" t="str">
        <x:v>https://www.fool.com/investing/2017/03/01/why-lowes-companies-inc-soared-today.aspx</x:v>
      </x:c>
      <x:c r="I12" s="12" t="str">
        <x:v>OPENED/VERIFIED</x:v>
      </x:c>
      <x:c r="J12" s="12" t="str">
        <x:v>PASS</x:v>
      </x:c>
      <x:c r="K12" s="12" t="str">
        <x:v>PASS</x:v>
      </x:c>
      <x:c r="L12" s="12" t="str">
        <x:v>PASS</x:v>
      </x:c>
      <x:c r="M12" s="12" t="str">
        <x:v>NO</x:v>
      </x:c>
      <x:c r="N12" s="12" t="str">
        <x:v>PASS</x:v>
      </x:c>
      <x:c r="O12" s="12" t="str">
        <x:v>CONTEMPORANEOUS_ATTRIBUTION</x:v>
      </x:c>
      <x:c r="P12" s="12" t="str">
        <x:v>PASS</x:v>
      </x:c>
      <x:c r="Q12" s="12" t="str">
        <x:v>Checked against Lowe's/LOW, exact event or directly relevant pre-event catalyst, displayed date, timing window, and prohibited-source origin.</x:v>
      </x:c>
    </x:row>
    <x:row r="13">
      <x:c r="A13" s="12" t="str">
        <x:v>2017-05-24</x:v>
      </x:c>
      <x:c r="B13" s="12" t="str">
        <x:v>LOW</x:v>
      </x:c>
      <x:c r="C13" s="12" t="str">
        <x:v>prior</x:v>
      </x:c>
      <x:c r="D13" s="12" t="str">
        <x:v>2017-03-01</x:v>
      </x:c>
      <x:c r="E13" s="12" t="n">
        <x:v>-84</x:v>
      </x:c>
      <x:c r="F13" s="12" t="str">
        <x:v>Lowe's</x:v>
      </x:c>
      <x:c r="G13" s="12" t="str">
        <x:v>Lowe's Reports Fourth Quarter Sales And Earnings Results</x:v>
      </x:c>
      <x:c r="H13" s="12" t="str">
        <x:v>https://corporate.lowes.com/newsroom/press-releases/lowes-reports-fourth-quarter-sales-and-earnings-results-03-01-2017</x:v>
      </x:c>
      <x:c r="I13" s="12" t="str">
        <x:v>OPENED/VERIFIED</x:v>
      </x:c>
      <x:c r="J13" s="12" t="str">
        <x:v>PASS</x:v>
      </x:c>
      <x:c r="K13" s="12" t="str">
        <x:v>PASS</x:v>
      </x:c>
      <x:c r="L13" s="12" t="str">
        <x:v>PASS</x:v>
      </x:c>
      <x:c r="M13" s="12" t="str">
        <x:v>NO</x:v>
      </x:c>
      <x:c r="N13" s="12" t="str">
        <x:v>PASS</x:v>
      </x:c>
      <x:c r="O13" s="12" t="str">
        <x:v>FACTUAL</x:v>
      </x:c>
      <x:c r="P13" s="12" t="str">
        <x:v>PASS</x:v>
      </x:c>
      <x:c r="Q13" s="12" t="str">
        <x:v>Checked against Lowe's/LOW, exact event or directly relevant pre-event catalyst, displayed date, timing window, and prohibited-source origin.</x:v>
      </x:c>
    </x:row>
    <x:row r="14">
      <x:c r="A14" s="12" t="str">
        <x:v>2017-05-24</x:v>
      </x:c>
      <x:c r="B14" s="12" t="str">
        <x:v>LOW</x:v>
      </x:c>
      <x:c r="C14" s="12" t="str">
        <x:v>release</x:v>
      </x:c>
      <x:c r="D14" s="12" t="str">
        <x:v>2017-05-24</x:v>
      </x:c>
      <x:c r="E14" s="12" t="n">
        <x:v>0</x:v>
      </x:c>
      <x:c r="F14" s="12" t="str">
        <x:v>Lowe's</x:v>
      </x:c>
      <x:c r="G14" s="12" t="str">
        <x:v>Lowe's Reports First Quarter Sales And Earnings Results</x:v>
      </x:c>
      <x:c r="H14" s="12" t="str">
        <x:v>https://corporate.lowes.com/newsroom/press-releases/lowes-reports-first-quarter-sales-and-earnings-results-05-24-2017</x:v>
      </x:c>
      <x:c r="I14" s="12" t="str">
        <x:v>OPENED/VERIFIED</x:v>
      </x:c>
      <x:c r="J14" s="12" t="str">
        <x:v>PASS</x:v>
      </x:c>
      <x:c r="K14" s="12" t="str">
        <x:v>PASS</x:v>
      </x:c>
      <x:c r="L14" s="12" t="str">
        <x:v>PASS</x:v>
      </x:c>
      <x:c r="M14" s="12" t="str">
        <x:v>NO</x:v>
      </x:c>
      <x:c r="N14" s="12" t="str">
        <x:v>PASS</x:v>
      </x:c>
      <x:c r="O14" s="12" t="str">
        <x:v>FACTUAL</x:v>
      </x:c>
      <x:c r="P14" s="12" t="str">
        <x:v>PASS</x:v>
      </x:c>
      <x:c r="Q14" s="12" t="str">
        <x:v>Checked against Lowe's/LOW, exact event or directly relevant pre-event catalyst, displayed date, timing window, and prohibited-source origin.</x:v>
      </x:c>
    </x:row>
    <x:row r="15">
      <x:c r="A15" s="12" t="str">
        <x:v>2017-05-24</x:v>
      </x:c>
      <x:c r="B15" s="12" t="str">
        <x:v>LOW</x:v>
      </x:c>
      <x:c r="C15" s="12" t="str">
        <x:v>reaction</x:v>
      </x:c>
      <x:c r="D15" s="12" t="str">
        <x:v>2017-05-24</x:v>
      </x:c>
      <x:c r="E15" s="12" t="n">
        <x:v>0</x:v>
      </x:c>
      <x:c r="F15" s="12" t="str">
        <x:v>InvestorPlace</x:v>
      </x:c>
      <x:c r="G15" s="12" t="str">
        <x:v>Trade Lowe’s Companies, Inc. (LOW) Stock After Its Earnings Miss</x:v>
      </x:c>
      <x:c r="H15" s="12" t="str">
        <x:v>https://investorplace.com/2017/05/trade-lowes-companies-inc-low-stock-after-its-earnings-miss/</x:v>
      </x:c>
      <x:c r="I15" s="12" t="str">
        <x:v>OPENED/VERIFIED</x:v>
      </x:c>
      <x:c r="J15" s="12" t="str">
        <x:v>PASS</x:v>
      </x:c>
      <x:c r="K15" s="12" t="str">
        <x:v>PASS</x:v>
      </x:c>
      <x:c r="L15" s="12" t="str">
        <x:v>PASS</x:v>
      </x:c>
      <x:c r="M15" s="12" t="str">
        <x:v>NO</x:v>
      </x:c>
      <x:c r="N15" s="12" t="str">
        <x:v>PASS</x:v>
      </x:c>
      <x:c r="O15" s="12" t="str">
        <x:v>CONTEMPORANEOUS_ATTRIBUTION</x:v>
      </x:c>
      <x:c r="P15" s="12" t="str">
        <x:v>PASS</x:v>
      </x:c>
      <x:c r="Q15" s="12" t="str">
        <x:v>Checked against Lowe's/LOW, exact event or directly relevant pre-event catalyst, displayed date, timing window, and prohibited-source origin.</x:v>
      </x:c>
    </x:row>
    <x:row r="16">
      <x:c r="A16" s="12" t="str">
        <x:v>2017-08-23</x:v>
      </x:c>
      <x:c r="B16" s="12" t="str">
        <x:v>LOW</x:v>
      </x:c>
      <x:c r="C16" s="12" t="str">
        <x:v>prior</x:v>
      </x:c>
      <x:c r="D16" s="12" t="str">
        <x:v>2017-05-24</x:v>
      </x:c>
      <x:c r="E16" s="12" t="n">
        <x:v>-91</x:v>
      </x:c>
      <x:c r="F16" s="12" t="str">
        <x:v>Lowe's</x:v>
      </x:c>
      <x:c r="G16" s="12" t="str">
        <x:v>Lowe's Reports First Quarter Sales And Earnings Results</x:v>
      </x:c>
      <x:c r="H16" s="12" t="str">
        <x:v>https://corporate.lowes.com/newsroom/press-releases/lowes-reports-first-quarter-sales-and-earnings-results-05-24-2017</x:v>
      </x:c>
      <x:c r="I16" s="12" t="str">
        <x:v>OPENED/VERIFIED</x:v>
      </x:c>
      <x:c r="J16" s="12" t="str">
        <x:v>PASS</x:v>
      </x:c>
      <x:c r="K16" s="12" t="str">
        <x:v>PASS</x:v>
      </x:c>
      <x:c r="L16" s="12" t="str">
        <x:v>PASS</x:v>
      </x:c>
      <x:c r="M16" s="12" t="str">
        <x:v>NO</x:v>
      </x:c>
      <x:c r="N16" s="12" t="str">
        <x:v>PASS</x:v>
      </x:c>
      <x:c r="O16" s="12" t="str">
        <x:v>FACTUAL</x:v>
      </x:c>
      <x:c r="P16" s="12" t="str">
        <x:v>PASS</x:v>
      </x:c>
      <x:c r="Q16" s="12" t="str">
        <x:v>Checked against Lowe's/LOW, exact event or directly relevant pre-event catalyst, displayed date, timing window, and prohibited-source origin.</x:v>
      </x:c>
    </x:row>
    <x:row r="17">
      <x:c r="A17" s="12" t="str">
        <x:v>2017-08-23</x:v>
      </x:c>
      <x:c r="B17" s="12" t="str">
        <x:v>LOW</x:v>
      </x:c>
      <x:c r="C17" s="12" t="str">
        <x:v>release</x:v>
      </x:c>
      <x:c r="D17" s="12" t="str">
        <x:v>2017-08-23</x:v>
      </x:c>
      <x:c r="E17" s="12" t="n">
        <x:v>0</x:v>
      </x:c>
      <x:c r="F17" s="12" t="str">
        <x:v>Lowe's</x:v>
      </x:c>
      <x:c r="G17" s="12" t="str">
        <x:v>Lowe's Reports Second Quarter Sales And Earnings Results</x:v>
      </x:c>
      <x:c r="H17" s="12" t="str">
        <x:v>https://corporate.lowes.com/newsroom/press-releases/lowes-reports-second-quarter-sales-and-earnings-results-08-23-2017</x:v>
      </x:c>
      <x:c r="I17" s="12" t="str">
        <x:v>OPENED/VERIFIED</x:v>
      </x:c>
      <x:c r="J17" s="12" t="str">
        <x:v>PASS</x:v>
      </x:c>
      <x:c r="K17" s="12" t="str">
        <x:v>PASS</x:v>
      </x:c>
      <x:c r="L17" s="12" t="str">
        <x:v>PASS</x:v>
      </x:c>
      <x:c r="M17" s="12" t="str">
        <x:v>NO</x:v>
      </x:c>
      <x:c r="N17" s="12" t="str">
        <x:v>PASS</x:v>
      </x:c>
      <x:c r="O17" s="12" t="str">
        <x:v>FACTUAL</x:v>
      </x:c>
      <x:c r="P17" s="12" t="str">
        <x:v>PASS</x:v>
      </x:c>
      <x:c r="Q17" s="12" t="str">
        <x:v>Checked against Lowe's/LOW, exact event or directly relevant pre-event catalyst, displayed date, timing window, and prohibited-source origin.</x:v>
      </x:c>
    </x:row>
    <x:row r="18">
      <x:c r="A18" s="12" t="str">
        <x:v>2017-08-23</x:v>
      </x:c>
      <x:c r="B18" s="12" t="str">
        <x:v>LOW</x:v>
      </x:c>
      <x:c r="C18" s="12" t="str">
        <x:v>reaction</x:v>
      </x:c>
      <x:c r="D18" s="12" t="str">
        <x:v>2017-08-23</x:v>
      </x:c>
      <x:c r="E18" s="12" t="n">
        <x:v>0</x:v>
      </x:c>
      <x:c r="F18" s="12" t="str">
        <x:v>The Motley Fool</x:v>
      </x:c>
      <x:c r="G18" s="12" t="str">
        <x:v>Why Lowe's Companies, Inc. Fell on Wednesday</x:v>
      </x:c>
      <x:c r="H18" s="12" t="str">
        <x:v>https://www.fool.com/investing/2017/08/23/why-lowes-companies-inc-fell-on-wednesday.aspx</x:v>
      </x:c>
      <x:c r="I18" s="12" t="str">
        <x:v>OPENED/VERIFIED</x:v>
      </x:c>
      <x:c r="J18" s="12" t="str">
        <x:v>PASS</x:v>
      </x:c>
      <x:c r="K18" s="12" t="str">
        <x:v>PASS</x:v>
      </x:c>
      <x:c r="L18" s="12" t="str">
        <x:v>PASS</x:v>
      </x:c>
      <x:c r="M18" s="12" t="str">
        <x:v>NO</x:v>
      </x:c>
      <x:c r="N18" s="12" t="str">
        <x:v>PASS</x:v>
      </x:c>
      <x:c r="O18" s="12" t="str">
        <x:v>CONTEMPORANEOUS_ATTRIBUTION</x:v>
      </x:c>
      <x:c r="P18" s="12" t="str">
        <x:v>PASS</x:v>
      </x:c>
      <x:c r="Q18" s="12" t="str">
        <x:v>Checked against Lowe's/LOW, exact event or directly relevant pre-event catalyst, displayed date, timing window, and prohibited-source origin.</x:v>
      </x:c>
    </x:row>
    <x:row r="19">
      <x:c r="A19" s="12" t="str">
        <x:v>2017-11-21</x:v>
      </x:c>
      <x:c r="B19" s="12" t="str">
        <x:v>LOW</x:v>
      </x:c>
      <x:c r="C19" s="12" t="str">
        <x:v>prior</x:v>
      </x:c>
      <x:c r="D19" s="12" t="str">
        <x:v>2017-08-23</x:v>
      </x:c>
      <x:c r="E19" s="12" t="n">
        <x:v>-90</x:v>
      </x:c>
      <x:c r="F19" s="12" t="str">
        <x:v>Lowe's</x:v>
      </x:c>
      <x:c r="G19" s="12" t="str">
        <x:v>Lowe's Reports Second Quarter Sales And Earnings Results</x:v>
      </x:c>
      <x:c r="H19" s="12" t="str">
        <x:v>https://corporate.lowes.com/newsroom/press-releases/lowes-reports-second-quarter-sales-and-earnings-results-08-23-2017</x:v>
      </x:c>
      <x:c r="I19" s="12" t="str">
        <x:v>OPENED/VERIFIED</x:v>
      </x:c>
      <x:c r="J19" s="12" t="str">
        <x:v>PASS</x:v>
      </x:c>
      <x:c r="K19" s="12" t="str">
        <x:v>PASS</x:v>
      </x:c>
      <x:c r="L19" s="12" t="str">
        <x:v>PASS</x:v>
      </x:c>
      <x:c r="M19" s="12" t="str">
        <x:v>NO</x:v>
      </x:c>
      <x:c r="N19" s="12" t="str">
        <x:v>PASS</x:v>
      </x:c>
      <x:c r="O19" s="12" t="str">
        <x:v>FACTUAL</x:v>
      </x:c>
      <x:c r="P19" s="12" t="str">
        <x:v>PASS</x:v>
      </x:c>
      <x:c r="Q19" s="12" t="str">
        <x:v>Checked against Lowe's/LOW, exact event or directly relevant pre-event catalyst, displayed date, timing window, and prohibited-source origin.</x:v>
      </x:c>
    </x:row>
    <x:row r="20">
      <x:c r="A20" s="12" t="str">
        <x:v>2017-11-21</x:v>
      </x:c>
      <x:c r="B20" s="12" t="str">
        <x:v>LOW</x:v>
      </x:c>
      <x:c r="C20" s="12" t="str">
        <x:v>release</x:v>
      </x:c>
      <x:c r="D20" s="12" t="str">
        <x:v>2017-11-21</x:v>
      </x:c>
      <x:c r="E20" s="12" t="n">
        <x:v>0</x:v>
      </x:c>
      <x:c r="F20" s="12" t="str">
        <x:v>Lowe's</x:v>
      </x:c>
      <x:c r="G20" s="12" t="str">
        <x:v>Lowe's Reports Third Quarter Sales and Earnings Results</x:v>
      </x:c>
      <x:c r="H20" s="12" t="str">
        <x:v>https://corporate.lowes.com/newsroom/press-releases/lowes-reports-third-quarter-sales-and-earnings-results-11-21-2017</x:v>
      </x:c>
      <x:c r="I20" s="12" t="str">
        <x:v>OPENED/VERIFIED</x:v>
      </x:c>
      <x:c r="J20" s="12" t="str">
        <x:v>PASS</x:v>
      </x:c>
      <x:c r="K20" s="12" t="str">
        <x:v>PASS</x:v>
      </x:c>
      <x:c r="L20" s="12" t="str">
        <x:v>PASS</x:v>
      </x:c>
      <x:c r="M20" s="12" t="str">
        <x:v>NO</x:v>
      </x:c>
      <x:c r="N20" s="12" t="str">
        <x:v>PASS</x:v>
      </x:c>
      <x:c r="O20" s="12" t="str">
        <x:v>FACTUAL</x:v>
      </x:c>
      <x:c r="P20" s="12" t="str">
        <x:v>PASS</x:v>
      </x:c>
      <x:c r="Q20" s="12" t="str">
        <x:v>Checked against Lowe's/LOW, exact event or directly relevant pre-event catalyst, displayed date, timing window, and prohibited-source origin.</x:v>
      </x:c>
    </x:row>
    <x:row r="21">
      <x:c r="A21" s="12" t="str">
        <x:v>2017-11-21</x:v>
      </x:c>
      <x:c r="B21" s="12" t="str">
        <x:v>LOW</x:v>
      </x:c>
      <x:c r="C21" s="12" t="str">
        <x:v>reaction</x:v>
      </x:c>
      <x:c r="D21" s="12" t="str">
        <x:v>2017-11-21</x:v>
      </x:c>
      <x:c r="E21" s="12" t="n">
        <x:v>0</x:v>
      </x:c>
      <x:c r="F21" s="12" t="str">
        <x:v>The Motley Fool</x:v>
      </x:c>
      <x:c r="G21" s="12" t="str">
        <x:v>Lowe's Leaves Its 2017 Outlook Unchanged</x:v>
      </x:c>
      <x:c r="H21" s="12" t="str">
        <x:v>https://www.fool.com/investing/2017/11/21/lowes-leaves-its-outlook-unchanged-despite-the-sal.aspx</x:v>
      </x:c>
      <x:c r="I21" s="12" t="str">
        <x:v>OPENED/VERIFIED</x:v>
      </x:c>
      <x:c r="J21" s="12" t="str">
        <x:v>PASS</x:v>
      </x:c>
      <x:c r="K21" s="12" t="str">
        <x:v>PASS</x:v>
      </x:c>
      <x:c r="L21" s="12" t="str">
        <x:v>PASS</x:v>
      </x:c>
      <x:c r="M21" s="12" t="str">
        <x:v>NO</x:v>
      </x:c>
      <x:c r="N21" s="12" t="str">
        <x:v>PASS</x:v>
      </x:c>
      <x:c r="O21" s="12" t="str">
        <x:v>SUPPORTED_INFERENCE</x:v>
      </x:c>
      <x:c r="P21" s="12" t="str">
        <x:v>PASS</x:v>
      </x:c>
      <x:c r="Q21" s="12" t="str">
        <x:v>Checked against Lowe's/LOW, exact event or directly relevant pre-event catalyst, displayed date, timing window, and prohibited-source origin.</x:v>
      </x:c>
    </x:row>
    <x:row r="22">
      <x:c r="A22" s="12" t="str">
        <x:v>2018-02-28</x:v>
      </x:c>
      <x:c r="B22" s="12" t="str">
        <x:v>LOW</x:v>
      </x:c>
      <x:c r="C22" s="12" t="str">
        <x:v>prior</x:v>
      </x:c>
      <x:c r="D22" s="12" t="str">
        <x:v>2017-11-21</x:v>
      </x:c>
      <x:c r="E22" s="12" t="n">
        <x:v>-99</x:v>
      </x:c>
      <x:c r="F22" s="12" t="str">
        <x:v>Lowe's</x:v>
      </x:c>
      <x:c r="G22" s="12" t="str">
        <x:v>Lowe's Reports Third Quarter Sales and Earnings Results</x:v>
      </x:c>
      <x:c r="H22" s="12" t="str">
        <x:v>https://corporate.lowes.com/newsroom/press-releases/lowes-reports-third-quarter-sales-and-earnings-results-11-21-2017</x:v>
      </x:c>
      <x:c r="I22" s="12" t="str">
        <x:v>OPENED/VERIFIED</x:v>
      </x:c>
      <x:c r="J22" s="12" t="str">
        <x:v>PASS</x:v>
      </x:c>
      <x:c r="K22" s="12" t="str">
        <x:v>PASS</x:v>
      </x:c>
      <x:c r="L22" s="12" t="str">
        <x:v>PASS</x:v>
      </x:c>
      <x:c r="M22" s="12" t="str">
        <x:v>NO</x:v>
      </x:c>
      <x:c r="N22" s="12" t="str">
        <x:v>PASS</x:v>
      </x:c>
      <x:c r="O22" s="12" t="str">
        <x:v>FACTUAL</x:v>
      </x:c>
      <x:c r="P22" s="12" t="str">
        <x:v>PASS</x:v>
      </x:c>
      <x:c r="Q22" s="12" t="str">
        <x:v>Checked against Lowe's/LOW, exact event or directly relevant pre-event catalyst, displayed date, timing window, and prohibited-source origin.</x:v>
      </x:c>
    </x:row>
    <x:row r="23">
      <x:c r="A23" s="12" t="str">
        <x:v>2018-02-28</x:v>
      </x:c>
      <x:c r="B23" s="12" t="str">
        <x:v>LOW</x:v>
      </x:c>
      <x:c r="C23" s="12" t="str">
        <x:v>release</x:v>
      </x:c>
      <x:c r="D23" s="12" t="str">
        <x:v>2018-02-28</x:v>
      </x:c>
      <x:c r="E23" s="12" t="n">
        <x:v>0</x:v>
      </x:c>
      <x:c r="F23" s="12" t="str">
        <x:v>Lowe's</x:v>
      </x:c>
      <x:c r="G23" s="12" t="str">
        <x:v>Lowe's Reports Fourth Quarter Sales and Earnings Results</x:v>
      </x:c>
      <x:c r="H23" s="12" t="str">
        <x:v>https://corporate.lowes.com/newsroom/press-releases/lowes-reports-fourth-quarter-sales-and-earnings-results-02-28-18</x:v>
      </x:c>
      <x:c r="I23" s="12" t="str">
        <x:v>OPENED/VERIFIED</x:v>
      </x:c>
      <x:c r="J23" s="12" t="str">
        <x:v>PASS</x:v>
      </x:c>
      <x:c r="K23" s="12" t="str">
        <x:v>PASS</x:v>
      </x:c>
      <x:c r="L23" s="12" t="str">
        <x:v>PASS</x:v>
      </x:c>
      <x:c r="M23" s="12" t="str">
        <x:v>NO</x:v>
      </x:c>
      <x:c r="N23" s="12" t="str">
        <x:v>PASS</x:v>
      </x:c>
      <x:c r="O23" s="12" t="str">
        <x:v>FACTUAL</x:v>
      </x:c>
      <x:c r="P23" s="12" t="str">
        <x:v>PASS</x:v>
      </x:c>
      <x:c r="Q23" s="12" t="str">
        <x:v>Checked against Lowe's/LOW, exact event or directly relevant pre-event catalyst, displayed date, timing window, and prohibited-source origin.</x:v>
      </x:c>
    </x:row>
    <x:row r="24">
      <x:c r="A24" s="12" t="str">
        <x:v>2018-02-28</x:v>
      </x:c>
      <x:c r="B24" s="12" t="str">
        <x:v>LOW</x:v>
      </x:c>
      <x:c r="C24" s="12" t="str">
        <x:v>reaction</x:v>
      </x:c>
      <x:c r="D24" s="12" t="str">
        <x:v>2018-02-28</x:v>
      </x:c>
      <x:c r="E24" s="12" t="n">
        <x:v>0</x:v>
      </x:c>
      <x:c r="F24" s="12" t="str">
        <x:v>The Motley Fool</x:v>
      </x:c>
      <x:c r="G24" s="12" t="str">
        <x:v>Why Lowe's Companies, Frontier Communications, and Stratasys Slumped Today</x:v>
      </x:c>
      <x:c r="H24" s="12" t="str">
        <x:v>https://www.fool.com/investing/2018/02/28/why-lowes-companies-frontier-communications-and-st.aspx</x:v>
      </x:c>
      <x:c r="I24" s="12" t="str">
        <x:v>OPENED/VERIFIED</x:v>
      </x:c>
      <x:c r="J24" s="12" t="str">
        <x:v>PASS</x:v>
      </x:c>
      <x:c r="K24" s="12" t="str">
        <x:v>PASS</x:v>
      </x:c>
      <x:c r="L24" s="12" t="str">
        <x:v>PASS</x:v>
      </x:c>
      <x:c r="M24" s="12" t="str">
        <x:v>NO</x:v>
      </x:c>
      <x:c r="N24" s="12" t="str">
        <x:v>PASS</x:v>
      </x:c>
      <x:c r="O24" s="12" t="str">
        <x:v>CONTEMPORANEOUS_ATTRIBUTION</x:v>
      </x:c>
      <x:c r="P24" s="12" t="str">
        <x:v>PASS</x:v>
      </x:c>
      <x:c r="Q24" s="12" t="str">
        <x:v>Checked against Lowe's/LOW, exact event or directly relevant pre-event catalyst, displayed date, timing window, and prohibited-source origin.</x:v>
      </x:c>
    </x:row>
    <x:row r="25">
      <x:c r="A25" s="12" t="str">
        <x:v>2018-05-23</x:v>
      </x:c>
      <x:c r="B25" s="12" t="str">
        <x:v>LOW</x:v>
      </x:c>
      <x:c r="C25" s="12" t="str">
        <x:v>prior</x:v>
      </x:c>
      <x:c r="D25" s="12" t="str">
        <x:v>2018-02-28</x:v>
      </x:c>
      <x:c r="E25" s="12" t="n">
        <x:v>-84</x:v>
      </x:c>
      <x:c r="F25" s="12" t="str">
        <x:v>Lowe's</x:v>
      </x:c>
      <x:c r="G25" s="12" t="str">
        <x:v>Lowe's Reports Fourth Quarter Sales and Earnings Results</x:v>
      </x:c>
      <x:c r="H25" s="12" t="str">
        <x:v>https://corporate.lowes.com/newsroom/press-releases/lowes-reports-fourth-quarter-sales-and-earnings-results-02-28-18</x:v>
      </x:c>
      <x:c r="I25" s="12" t="str">
        <x:v>OPENED/VERIFIED</x:v>
      </x:c>
      <x:c r="J25" s="12" t="str">
        <x:v>PASS</x:v>
      </x:c>
      <x:c r="K25" s="12" t="str">
        <x:v>PASS</x:v>
      </x:c>
      <x:c r="L25" s="12" t="str">
        <x:v>PASS</x:v>
      </x:c>
      <x:c r="M25" s="12" t="str">
        <x:v>NO</x:v>
      </x:c>
      <x:c r="N25" s="12" t="str">
        <x:v>PASS</x:v>
      </x:c>
      <x:c r="O25" s="12" t="str">
        <x:v>FACTUAL</x:v>
      </x:c>
      <x:c r="P25" s="12" t="str">
        <x:v>PASS</x:v>
      </x:c>
      <x:c r="Q25" s="12" t="str">
        <x:v>Checked against Lowe's/LOW, exact event or directly relevant pre-event catalyst, displayed date, timing window, and prohibited-source origin.</x:v>
      </x:c>
    </x:row>
    <x:row r="26">
      <x:c r="A26" s="12" t="str">
        <x:v>2018-05-23</x:v>
      </x:c>
      <x:c r="B26" s="12" t="str">
        <x:v>LOW</x:v>
      </x:c>
      <x:c r="C26" s="12" t="str">
        <x:v>prior</x:v>
      </x:c>
      <x:c r="D26" s="12" t="str">
        <x:v>2018-05-22</x:v>
      </x:c>
      <x:c r="E26" s="12" t="n">
        <x:v>-1</x:v>
      </x:c>
      <x:c r="F26" s="12" t="str">
        <x:v>Lowe's / SEC</x:v>
      </x:c>
      <x:c r="G26" s="12" t="str">
        <x:v>Lowe's Names Marvin Ellison President and Chief Executive Officer</x:v>
      </x:c>
      <x:c r="H26" s="12" t="str">
        <x:v>https://www.sec.gov/Archives/edgar/data/60667/000119312518170222/d577212dex991.htm</x:v>
      </x:c>
      <x:c r="I26" s="12" t="str">
        <x:v>OPENED/VERIFIED</x:v>
      </x:c>
      <x:c r="J26" s="12" t="str">
        <x:v>PASS</x:v>
      </x:c>
      <x:c r="K26" s="12" t="str">
        <x:v>PASS</x:v>
      </x:c>
      <x:c r="L26" s="12" t="str">
        <x:v>PASS</x:v>
      </x:c>
      <x:c r="M26" s="12" t="str">
        <x:v>NO</x:v>
      </x:c>
      <x:c r="N26" s="12" t="str">
        <x:v>PASS</x:v>
      </x:c>
      <x:c r="O26" s="12" t="str">
        <x:v>FACTUAL</x:v>
      </x:c>
      <x:c r="P26" s="12" t="str">
        <x:v>PASS</x:v>
      </x:c>
      <x:c r="Q26" s="12" t="str">
        <x:v>Checked against Lowe's/LOW, exact event or directly relevant pre-event catalyst, displayed date, timing window, and prohibited-source origin.</x:v>
      </x:c>
    </x:row>
    <x:row r="27">
      <x:c r="A27" s="12" t="str">
        <x:v>2018-05-23</x:v>
      </x:c>
      <x:c r="B27" s="12" t="str">
        <x:v>LOW</x:v>
      </x:c>
      <x:c r="C27" s="12" t="str">
        <x:v>release</x:v>
      </x:c>
      <x:c r="D27" s="12" t="str">
        <x:v>2018-05-23</x:v>
      </x:c>
      <x:c r="E27" s="12" t="n">
        <x:v>0</x:v>
      </x:c>
      <x:c r="F27" s="12" t="str">
        <x:v>Lowe's</x:v>
      </x:c>
      <x:c r="G27" s="12" t="str">
        <x:v>Lowe's Reports First Quarter Sales And Earnings Results</x:v>
      </x:c>
      <x:c r="H27" s="12" t="str">
        <x:v>https://corporate.lowes.com/newsroom/press-releases/lowes-reports-first-quarter-sales-and-earnings-results-05-23-18</x:v>
      </x:c>
      <x:c r="I27" s="12" t="str">
        <x:v>OPENED/VERIFIED</x:v>
      </x:c>
      <x:c r="J27" s="12" t="str">
        <x:v>PASS</x:v>
      </x:c>
      <x:c r="K27" s="12" t="str">
        <x:v>PASS</x:v>
      </x:c>
      <x:c r="L27" s="12" t="str">
        <x:v>PASS</x:v>
      </x:c>
      <x:c r="M27" s="12" t="str">
        <x:v>NO</x:v>
      </x:c>
      <x:c r="N27" s="12" t="str">
        <x:v>PASS</x:v>
      </x:c>
      <x:c r="O27" s="12" t="str">
        <x:v>FACTUAL</x:v>
      </x:c>
      <x:c r="P27" s="12" t="str">
        <x:v>PASS</x:v>
      </x:c>
      <x:c r="Q27" s="12" t="str">
        <x:v>Checked against Lowe's/LOW, exact event or directly relevant pre-event catalyst, displayed date, timing window, and prohibited-source origin.</x:v>
      </x:c>
    </x:row>
    <x:row r="28">
      <x:c r="A28" s="12" t="str">
        <x:v>2018-05-23</x:v>
      </x:c>
      <x:c r="B28" s="12" t="str">
        <x:v>LOW</x:v>
      </x:c>
      <x:c r="C28" s="12" t="str">
        <x:v>reaction</x:v>
      </x:c>
      <x:c r="D28" s="12" t="str">
        <x:v>2018-05-23</x:v>
      </x:c>
      <x:c r="E28" s="12" t="n">
        <x:v>0</x:v>
      </x:c>
      <x:c r="F28" s="12" t="str">
        <x:v>The Motley Fool</x:v>
      </x:c>
      <x:c r="G28" s="12" t="str">
        <x:v>Why Shares of Lowe's Jumped Today</x:v>
      </x:c>
      <x:c r="H28" s="12" t="str">
        <x:v>https://www.fool.com/investing/2018/05/23/why-shares-of-lowes-jumped-today.aspx</x:v>
      </x:c>
      <x:c r="I28" s="12" t="str">
        <x:v>OPENED/VERIFIED</x:v>
      </x:c>
      <x:c r="J28" s="12" t="str">
        <x:v>PASS</x:v>
      </x:c>
      <x:c r="K28" s="12" t="str">
        <x:v>PASS</x:v>
      </x:c>
      <x:c r="L28" s="12" t="str">
        <x:v>PASS</x:v>
      </x:c>
      <x:c r="M28" s="12" t="str">
        <x:v>NO</x:v>
      </x:c>
      <x:c r="N28" s="12" t="str">
        <x:v>PASS</x:v>
      </x:c>
      <x:c r="O28" s="12" t="str">
        <x:v>CONTEMPORANEOUS_ATTRIBUTION</x:v>
      </x:c>
      <x:c r="P28" s="12" t="str">
        <x:v>PASS</x:v>
      </x:c>
      <x:c r="Q28" s="12" t="str">
        <x:v>Checked against Lowe's/LOW, exact event or directly relevant pre-event catalyst, displayed date, timing window, and prohibited-source origin.</x:v>
      </x:c>
    </x:row>
    <x:row r="29">
      <x:c r="A29" s="12" t="str">
        <x:v>2018-08-22</x:v>
      </x:c>
      <x:c r="B29" s="12" t="str">
        <x:v>LOW</x:v>
      </x:c>
      <x:c r="C29" s="12" t="str">
        <x:v>prior</x:v>
      </x:c>
      <x:c r="D29" s="12" t="str">
        <x:v>2018-05-23</x:v>
      </x:c>
      <x:c r="E29" s="12" t="n">
        <x:v>-91</x:v>
      </x:c>
      <x:c r="F29" s="12" t="str">
        <x:v>Lowe's</x:v>
      </x:c>
      <x:c r="G29" s="12" t="str">
        <x:v>Lowe's Reports First Quarter Sales And Earnings Results</x:v>
      </x:c>
      <x:c r="H29" s="12" t="str">
        <x:v>https://corporate.lowes.com/newsroom/press-releases/lowes-reports-first-quarter-sales-and-earnings-results-05-23-18</x:v>
      </x:c>
      <x:c r="I29" s="12" t="str">
        <x:v>OPENED/VERIFIED</x:v>
      </x:c>
      <x:c r="J29" s="12" t="str">
        <x:v>PASS</x:v>
      </x:c>
      <x:c r="K29" s="12" t="str">
        <x:v>PASS</x:v>
      </x:c>
      <x:c r="L29" s="12" t="str">
        <x:v>PASS</x:v>
      </x:c>
      <x:c r="M29" s="12" t="str">
        <x:v>NO</x:v>
      </x:c>
      <x:c r="N29" s="12" t="str">
        <x:v>PASS</x:v>
      </x:c>
      <x:c r="O29" s="12" t="str">
        <x:v>FACTUAL</x:v>
      </x:c>
      <x:c r="P29" s="12" t="str">
        <x:v>PASS</x:v>
      </x:c>
      <x:c r="Q29" s="12" t="str">
        <x:v>Checked against Lowe's/LOW, exact event or directly relevant pre-event catalyst, displayed date, timing window, and prohibited-source origin.</x:v>
      </x:c>
    </x:row>
    <x:row r="30">
      <x:c r="A30" s="12" t="str">
        <x:v>2018-08-22</x:v>
      </x:c>
      <x:c r="B30" s="12" t="str">
        <x:v>LOW</x:v>
      </x:c>
      <x:c r="C30" s="12" t="str">
        <x:v>release</x:v>
      </x:c>
      <x:c r="D30" s="12" t="str">
        <x:v>2018-08-22</x:v>
      </x:c>
      <x:c r="E30" s="12" t="n">
        <x:v>0</x:v>
      </x:c>
      <x:c r="F30" s="12" t="str">
        <x:v>Lowe's</x:v>
      </x:c>
      <x:c r="G30" s="12" t="str">
        <x:v>Lowe's Reports Second Quarter Sales and Earnings Results</x:v>
      </x:c>
      <x:c r="H30" s="12" t="str">
        <x:v>https://corporate.lowes.com/newsroom/press-releases/lowes-reports-second-quarter-sales-and-earnings-results-08-22-18</x:v>
      </x:c>
      <x:c r="I30" s="12" t="str">
        <x:v>OPENED/VERIFIED</x:v>
      </x:c>
      <x:c r="J30" s="12" t="str">
        <x:v>PASS</x:v>
      </x:c>
      <x:c r="K30" s="12" t="str">
        <x:v>PASS</x:v>
      </x:c>
      <x:c r="L30" s="12" t="str">
        <x:v>PASS</x:v>
      </x:c>
      <x:c r="M30" s="12" t="str">
        <x:v>NO</x:v>
      </x:c>
      <x:c r="N30" s="12" t="str">
        <x:v>PASS</x:v>
      </x:c>
      <x:c r="O30" s="12" t="str">
        <x:v>FACTUAL</x:v>
      </x:c>
      <x:c r="P30" s="12" t="str">
        <x:v>PASS</x:v>
      </x:c>
      <x:c r="Q30" s="12" t="str">
        <x:v>Checked against Lowe's/LOW, exact event or directly relevant pre-event catalyst, displayed date, timing window, and prohibited-source origin.</x:v>
      </x:c>
    </x:row>
    <x:row r="31">
      <x:c r="A31" s="12" t="str">
        <x:v>2018-08-22</x:v>
      </x:c>
      <x:c r="B31" s="12" t="str">
        <x:v>LOW</x:v>
      </x:c>
      <x:c r="C31" s="12" t="str">
        <x:v>reaction</x:v>
      </x:c>
      <x:c r="D31" s="12" t="str">
        <x:v>2018-08-22</x:v>
      </x:c>
      <x:c r="E31" s="12" t="n">
        <x:v>0</x:v>
      </x:c>
      <x:c r="F31" s="12" t="str">
        <x:v>The Motley Fool</x:v>
      </x:c>
      <x:c r="G31" s="12" t="str">
        <x:v>Why Lowe's Companies Inc Stock Jumped Today</x:v>
      </x:c>
      <x:c r="H31" s="12" t="str">
        <x:v>https://www.fool.com/investing/2018/08/22/why-lowes-companies-inc-stock-jumped-today.aspx</x:v>
      </x:c>
      <x:c r="I31" s="12" t="str">
        <x:v>OPENED/VERIFIED</x:v>
      </x:c>
      <x:c r="J31" s="12" t="str">
        <x:v>PASS</x:v>
      </x:c>
      <x:c r="K31" s="12" t="str">
        <x:v>PASS</x:v>
      </x:c>
      <x:c r="L31" s="12" t="str">
        <x:v>PASS</x:v>
      </x:c>
      <x:c r="M31" s="12" t="str">
        <x:v>NO</x:v>
      </x:c>
      <x:c r="N31" s="12" t="str">
        <x:v>PASS</x:v>
      </x:c>
      <x:c r="O31" s="12" t="str">
        <x:v>CONTEMPORANEOUS_ATTRIBUTION</x:v>
      </x:c>
      <x:c r="P31" s="12" t="str">
        <x:v>PASS</x:v>
      </x:c>
      <x:c r="Q31" s="12" t="str">
        <x:v>Checked against Lowe's/LOW, exact event or directly relevant pre-event catalyst, displayed date, timing window, and prohibited-source origin.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2016-05-18</x:v>
      </x:c>
      <x:c r="B2" t="str">
        <x:v>LOW</x:v>
      </x:c>
      <x:c r="C2" s="20" t="n">
        <x:v>3.41</x:v>
      </x:c>
      <x:c r="D2" s="20" t="n">
        <x:v>1.98</x:v>
      </x:c>
      <x:c r="E2" t="str">
        <x:v>ret_1day_pct</x:v>
      </x:c>
      <x:c r="F2" t="str">
        <x:f>IF(C2&gt;0.1,"UP",IF(C2&lt;-0.1,"DOWN","FLAT"))</x:f>
        <x:v>UP</x:v>
      </x:c>
      <x:c r="G2" t="str">
        <x:v>UP</x:v>
      </x:c>
      <x:c r="H2" t="str">
        <x:f>IF(F2=G2,"PASS","FAIL")</x:f>
        <x:v>PASS</x:v>
      </x:c>
      <x:c r="I2" t="n">
        <x:v>3</x:v>
      </x:c>
      <x:c r="J2" t="n">
        <x:f>COUNTIFS('Source Audit'!$A:$A,A2,'Source Audit'!$P:$P,"PASS")</x:f>
        <x:v>3</x:v>
      </x:c>
      <x:c r="K2" t="str">
        <x:f>IF(AND(H2="PASS",J2=I2),"PASS","FAIL")</x:f>
        <x:v>PASS</x:v>
      </x:c>
    </x:row>
    <x:row r="3">
      <x:c r="A3" t="str">
        <x:v>2016-08-17</x:v>
      </x:c>
      <x:c r="B3" t="str">
        <x:v>LOW</x:v>
      </x:c>
      <x:c r="C3" s="20" t="n">
        <x:v>-5.75</x:v>
      </x:c>
      <x:c r="D3" s="20" t="n">
        <x:v>-0.92</x:v>
      </x:c>
      <x:c r="E3" t="str">
        <x:v>ret_1day_pct</x:v>
      </x:c>
      <x:c r="F3" t="str">
        <x:f>IF(C3&gt;0.1,"UP",IF(C3&lt;-0.1,"DOWN","FLAT"))</x:f>
        <x:v>DOWN</x:v>
      </x:c>
      <x:c r="G3" t="str">
        <x:v>DOWN</x:v>
      </x:c>
      <x:c r="H3" t="str">
        <x:f>IF(F3=G3,"PASS","FAIL")</x:f>
        <x:v>PASS</x:v>
      </x:c>
      <x:c r="I3" t="n">
        <x:v>3</x:v>
      </x:c>
      <x:c r="J3" t="n">
        <x:f>COUNTIFS('Source Audit'!$A:$A,A3,'Source Audit'!$P:$P,"PASS")</x:f>
        <x:v>3</x:v>
      </x:c>
      <x:c r="K3" t="str">
        <x:f>IF(AND(H3="PASS",J3=I3),"PASS","FAIL")</x:f>
        <x:v>PASS</x:v>
      </x:c>
    </x:row>
    <x:row r="4">
      <x:c r="A4" t="str">
        <x:v>2016-11-16</x:v>
      </x:c>
      <x:c r="B4" t="str">
        <x:v>LOW</x:v>
      </x:c>
      <x:c r="C4" s="20" t="n">
        <x:v>-2.79</x:v>
      </x:c>
      <x:c r="D4" s="20" t="n">
        <x:v>0.93</x:v>
      </x:c>
      <x:c r="E4" t="str">
        <x:v>ret_1day_pct</x:v>
      </x:c>
      <x:c r="F4" t="str">
        <x:f>IF(C4&gt;0.1,"UP",IF(C4&lt;-0.1,"DOWN","FLAT"))</x:f>
        <x:v>DOWN</x:v>
      </x:c>
      <x:c r="G4" t="str">
        <x:v>DOWN</x:v>
      </x:c>
      <x:c r="H4" t="str">
        <x:f>IF(F4=G4,"PASS","FAIL")</x:f>
        <x:v>PASS</x:v>
      </x:c>
      <x:c r="I4" t="n">
        <x:v>3</x:v>
      </x:c>
      <x:c r="J4" t="n">
        <x:f>COUNTIFS('Source Audit'!$A:$A,A4,'Source Audit'!$P:$P,"PASS")</x:f>
        <x:v>3</x:v>
      </x:c>
      <x:c r="K4" t="str">
        <x:f>IF(AND(H4="PASS",J4=I4),"PASS","FAIL")</x:f>
        <x:v>PASS</x:v>
      </x:c>
    </x:row>
    <x:row r="5">
      <x:c r="A5" t="str">
        <x:v>2017-03-01</x:v>
      </x:c>
      <x:c r="B5" t="str">
        <x:v>LOW</x:v>
      </x:c>
      <x:c r="C5" s="20" t="n">
        <x:v>8.18</x:v>
      </x:c>
      <x:c r="D5" s="20" t="n">
        <x:v>-0.6</x:v>
      </x:c>
      <x:c r="E5" t="str">
        <x:v>ret_1day_pct</x:v>
      </x:c>
      <x:c r="F5" t="str">
        <x:f>IF(C5&gt;0.1,"UP",IF(C5&lt;-0.1,"DOWN","FLAT"))</x:f>
        <x:v>UP</x:v>
      </x:c>
      <x:c r="G5" t="str">
        <x:v>UP</x:v>
      </x:c>
      <x:c r="H5" t="str">
        <x:f>IF(F5=G5,"PASS","FAIL")</x:f>
        <x:v>PASS</x:v>
      </x:c>
      <x:c r="I5" t="n">
        <x:v>2</x:v>
      </x:c>
      <x:c r="J5" t="n">
        <x:f>COUNTIFS('Source Audit'!$A:$A,A5,'Source Audit'!$P:$P,"PASS")</x:f>
        <x:v>2</x:v>
      </x:c>
      <x:c r="K5" t="str">
        <x:f>IF(AND(H5="PASS",J5=I5),"PASS","FAIL")</x:f>
        <x:v>PASS</x:v>
      </x:c>
    </x:row>
    <x:row r="6">
      <x:c r="A6" t="str">
        <x:v>2017-05-24</x:v>
      </x:c>
      <x:c r="B6" t="str">
        <x:v>LOW</x:v>
      </x:c>
      <x:c r="C6" s="20" t="n">
        <x:v>-3.26</x:v>
      </x:c>
      <x:c r="D6" s="20" t="n">
        <x:v>1.53</x:v>
      </x:c>
      <x:c r="E6" t="str">
        <x:v>ret_1day_pct</x:v>
      </x:c>
      <x:c r="F6" t="str">
        <x:f>IF(C6&gt;0.1,"UP",IF(C6&lt;-0.1,"DOWN","FLAT"))</x:f>
        <x:v>DOWN</x:v>
      </x:c>
      <x:c r="G6" t="str">
        <x:v>DOWN</x:v>
      </x:c>
      <x:c r="H6" t="str">
        <x:f>IF(F6=G6,"PASS","FAIL")</x:f>
        <x:v>PASS</x:v>
      </x:c>
      <x:c r="I6" t="n">
        <x:v>3</x:v>
      </x:c>
      <x:c r="J6" t="n">
        <x:f>COUNTIFS('Source Audit'!$A:$A,A6,'Source Audit'!$P:$P,"PASS")</x:f>
        <x:v>3</x:v>
      </x:c>
      <x:c r="K6" t="str">
        <x:f>IF(AND(H6="PASS",J6=I6),"PASS","FAIL")</x:f>
        <x:v>PASS</x:v>
      </x:c>
    </x:row>
    <x:row r="7">
      <x:c r="A7" t="str">
        <x:v>2017-08-23</x:v>
      </x:c>
      <x:c r="B7" t="str">
        <x:v>LOW</x:v>
      </x:c>
      <x:c r="C7" s="20" t="n">
        <x:v>-3.51</x:v>
      </x:c>
      <x:c r="D7" s="20" t="n">
        <x:v>-0.43</x:v>
      </x:c>
      <x:c r="E7" t="str">
        <x:v>ret_1day_pct</x:v>
      </x:c>
      <x:c r="F7" t="str">
        <x:f>IF(C7&gt;0.1,"UP",IF(C7&lt;-0.1,"DOWN","FLAT"))</x:f>
        <x:v>DOWN</x:v>
      </x:c>
      <x:c r="G7" t="str">
        <x:v>DOWN</x:v>
      </x:c>
      <x:c r="H7" t="str">
        <x:f>IF(F7=G7,"PASS","FAIL")</x:f>
        <x:v>PASS</x:v>
      </x:c>
      <x:c r="I7" t="n">
        <x:v>3</x:v>
      </x:c>
      <x:c r="J7" t="n">
        <x:f>COUNTIFS('Source Audit'!$A:$A,A7,'Source Audit'!$P:$P,"PASS")</x:f>
        <x:v>3</x:v>
      </x:c>
      <x:c r="K7" t="str">
        <x:f>IF(AND(H7="PASS",J7=I7),"PASS","FAIL")</x:f>
        <x:v>PASS</x:v>
      </x:c>
    </x:row>
    <x:row r="8">
      <x:c r="A8" t="str">
        <x:v>2017-11-21</x:v>
      </x:c>
      <x:c r="B8" t="str">
        <x:v>LOW</x:v>
      </x:c>
      <x:c r="C8" s="20" t="n">
        <x:v>-1.72</x:v>
      </x:c>
      <x:c r="D8" s="20" t="n">
        <x:v>-1.27</x:v>
      </x:c>
      <x:c r="E8" t="str">
        <x:v>ret_1day_pct</x:v>
      </x:c>
      <x:c r="F8" t="str">
        <x:f>IF(C8&gt;0.1,"UP",IF(C8&lt;-0.1,"DOWN","FLAT"))</x:f>
        <x:v>DOWN</x:v>
      </x:c>
      <x:c r="G8" t="str">
        <x:v>DOWN</x:v>
      </x:c>
      <x:c r="H8" t="str">
        <x:f>IF(F8=G8,"PASS","FAIL")</x:f>
        <x:v>PASS</x:v>
      </x:c>
      <x:c r="I8" t="n">
        <x:v>3</x:v>
      </x:c>
      <x:c r="J8" t="n">
        <x:f>COUNTIFS('Source Audit'!$A:$A,A8,'Source Audit'!$P:$P,"PASS")</x:f>
        <x:v>3</x:v>
      </x:c>
      <x:c r="K8" t="str">
        <x:f>IF(AND(H8="PASS",J8=I8),"PASS","FAIL")</x:f>
        <x:v>PASS</x:v>
      </x:c>
    </x:row>
    <x:row r="9">
      <x:c r="A9" t="str">
        <x:v>2018-02-28</x:v>
      </x:c>
      <x:c r="B9" t="str">
        <x:v>LOW</x:v>
      </x:c>
      <x:c r="C9" s="20" t="n">
        <x:v>-5.37</x:v>
      </x:c>
      <x:c r="D9" s="20" t="n">
        <x:v>-0.74</x:v>
      </x:c>
      <x:c r="E9" t="str">
        <x:v>ret_1day_pct</x:v>
      </x:c>
      <x:c r="F9" t="str">
        <x:f>IF(C9&gt;0.1,"UP",IF(C9&lt;-0.1,"DOWN","FLAT"))</x:f>
        <x:v>DOWN</x:v>
      </x:c>
      <x:c r="G9" t="str">
        <x:v>DOWN</x:v>
      </x:c>
      <x:c r="H9" t="str">
        <x:f>IF(F9=G9,"PASS","FAIL")</x:f>
        <x:v>PASS</x:v>
      </x:c>
      <x:c r="I9" t="n">
        <x:v>3</x:v>
      </x:c>
      <x:c r="J9" t="n">
        <x:f>COUNTIFS('Source Audit'!$A:$A,A9,'Source Audit'!$P:$P,"PASS")</x:f>
        <x:v>3</x:v>
      </x:c>
      <x:c r="K9" t="str">
        <x:f>IF(AND(H9="PASS",J9=I9),"PASS","FAIL")</x:f>
        <x:v>PASS</x:v>
      </x:c>
    </x:row>
    <x:row r="10">
      <x:c r="A10" t="str">
        <x:v>2018-05-23</x:v>
      </x:c>
      <x:c r="B10" t="str">
        <x:v>LOW</x:v>
      </x:c>
      <x:c r="C10" s="20" t="n">
        <x:v>10.2</x:v>
      </x:c>
      <x:c r="D10" s="20" t="n">
        <x:v>2.08</x:v>
      </x:c>
      <x:c r="E10" t="str">
        <x:v>ret_1day_pct</x:v>
      </x:c>
      <x:c r="F10" t="str">
        <x:f>IF(C10&gt;0.1,"UP",IF(C10&lt;-0.1,"DOWN","FLAT"))</x:f>
        <x:v>UP</x:v>
      </x:c>
      <x:c r="G10" t="str">
        <x:v>UP</x:v>
      </x:c>
      <x:c r="H10" t="str">
        <x:f>IF(F10=G10,"PASS","FAIL")</x:f>
        <x:v>PASS</x:v>
      </x:c>
      <x:c r="I10" t="n">
        <x:v>4</x:v>
      </x:c>
      <x:c r="J10" t="n">
        <x:f>COUNTIFS('Source Audit'!$A:$A,A10,'Source Audit'!$P:$P,"PASS")</x:f>
        <x:v>4</x:v>
      </x:c>
      <x:c r="K10" t="str">
        <x:f>IF(AND(H10="PASS",J10=I10),"PASS","FAIL")</x:f>
        <x:v>PASS</x:v>
      </x:c>
    </x:row>
    <x:row r="11">
      <x:c r="A11" t="str">
        <x:v>2018-08-22</x:v>
      </x:c>
      <x:c r="B11" t="str">
        <x:v>LOW</x:v>
      </x:c>
      <x:c r="C11" s="20" t="n">
        <x:v>5.72</x:v>
      </x:c>
      <x:c r="D11" s="20" t="n">
        <x:v>1.79</x:v>
      </x:c>
      <x:c r="E11" t="str">
        <x:v>ret_1day_pct</x:v>
      </x:c>
      <x:c r="F11" t="str">
        <x:f>IF(C11&gt;0.1,"UP",IF(C11&lt;-0.1,"DOWN","FLAT"))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2" hidden="0" customWidth="1"/>
  </x:cols>
  <x:sheetData>
    <x:row r="1">
      <x:c r="A1" s="5" t="str">
        <x:v>Item</x:v>
      </x:c>
      <x:c r="B1" s="5" t="str">
        <x:v>Rule</x:v>
      </x:c>
    </x:row>
    <x:row r="2">
      <x:c r="A2" s="12" t="str">
        <x:v>Rebuild status</x:v>
      </x:c>
      <x:c r="B2" s="12" t="str">
        <x:v>LOW rebuilt from scratch under the corrected protocol.</x:v>
      </x:c>
    </x:row>
    <x:row r="3">
      <x:c r="A3" s="12" t="str">
        <x:v>Identity source</x:v>
      </x:c>
      <x:c r="B3" s="12" t="str">
        <x:v>Ticker/company, exact earnings dates and return fields come from group_observations.csv.</x:v>
      </x:c>
    </x:row>
    <x:row r="4">
      <x:c r="A4" s="12" t="str">
        <x:v>Reaction basis</x:v>
      </x:c>
      <x:c r="B4" s="12" t="str">
        <x:v>Lowe's earnings calls in this sample were at 9:00 a.m. ET; the results were available before regular trading. ret_1day_pct is therefore the primary reaction field.</x:v>
      </x:c>
    </x:row>
    <x:row r="5">
      <x:c r="A5" s="12" t="str">
        <x:v>Narrative</x:v>
      </x:c>
      <x:c r="B5" s="12" t="str">
        <x:v>Short Prior Context, detailed Current Earnings Release, and three concise event-specific Possible Drivers.</x:v>
      </x:c>
    </x:row>
    <x:row r="6">
      <x:c r="A6" s="12" t="str">
        <x:v>Sources</x:v>
      </x:c>
      <x:c r="B6" s="12" t="str">
        <x:v>Lowe's Corporate is the factual anchor; each event has one date-matched open reaction source. Pre-event catalysts are included only when directly relevant.</x:v>
      </x:c>
    </x:row>
    <x:row r="7">
      <x:c r="A7" s="12" t="str">
        <x:v>Timing</x:v>
      </x:c>
      <x:c r="B7" s="12" t="str">
        <x:v>Prior = -100..-1 days; release = day 0; reaction = day 0..+3.</x:v>
      </x:c>
    </x:row>
    <x:row r="8">
      <x:c r="A8" s="12" t="str">
        <x:v>Restrictions</x:v>
      </x:c>
      <x:c r="B8" s="12" t="str">
        <x:v>No WSJ, Reuters, Dow Jones or MarketWatch-syndicated article is included. Reuters/Dow Jones republishers found during research were excluded.</x:v>
      </x:c>
    </x:row>
    <x:row r="9">
      <x:c r="A9" s="12" t="str">
        <x:v>Special case</x:v>
      </x:c>
      <x:c r="B9" s="12" t="str">
        <x:v>2018-05-23 is explicitly treated as a non-earnings-driven rally: weak earnings were overwhelmed by Marvin Ellison's appointment and activist involvement.</x:v>
      </x:c>
    </x:row>
    <x:row r="10">
      <x:c r="A10" s="12" t="str">
        <x:v>QA</x:v>
      </x:c>
      <x:c r="B10" s="12" t="str">
        <x:v>Event QA recomputes direction from ret_1day_pct and checks the exact PASS source count for each event.</x:v>
      </x:c>
    </x:row>
  </x:sheetData>
  <x:pageMargins left="0.7" right="0.7" top="0.75" bottom="0.75" header="0.3" footer="0.3"/>
</x:worksheet>
</file>