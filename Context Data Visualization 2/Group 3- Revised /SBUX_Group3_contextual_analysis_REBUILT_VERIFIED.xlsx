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8181fcd7964cb7" /></Relationships>
</file>

<file path=xl/workbook.xml><?xml version="1.0" encoding="utf-8"?>
<x:workbook xmlns:x="http://schemas.openxmlformats.org/spreadsheetml/2006/main">
  <x:sheets>
    <x:sheet xmlns:r="http://schemas.openxmlformats.org/officeDocument/2006/relationships" name="SBUX" sheetId="1" r:id="Rd647cefdb82e4919"/>
    <x:sheet xmlns:r="http://schemas.openxmlformats.org/officeDocument/2006/relationships" name="Source Audit" sheetId="2" r:id="R66ddfe737e444c88"/>
    <x:sheet xmlns:r="http://schemas.openxmlformats.org/officeDocument/2006/relationships" name="Event QA" sheetId="3" r:id="R9058cc306a0b4baf"/>
    <x:sheet xmlns:r="http://schemas.openxmlformats.org/officeDocument/2006/relationships" name="Methodology" sheetId="4" r:id="R4562adfc5aa34f4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db185bf77e4779" /><Relationship Type="http://schemas.openxmlformats.org/officeDocument/2006/relationships/theme" Target="/xl/theme/theme1.xml" Id="R80c0a27ca8c542ce" /><Relationship Type="http://schemas.openxmlformats.org/officeDocument/2006/relationships/sharedStrings" Target="/xl/sharedStrings.xml" Id="R251eba702a2d4130" /><Relationship Type="http://schemas.openxmlformats.org/officeDocument/2006/relationships/worksheet" Target="/xl/worksheets/sheet1.xml" Id="Rd647cefdb82e4919" /><Relationship Type="http://schemas.openxmlformats.org/officeDocument/2006/relationships/worksheet" Target="/xl/worksheets/sheet2.xml" Id="R66ddfe737e444c88" /><Relationship Type="http://schemas.openxmlformats.org/officeDocument/2006/relationships/worksheet" Target="/xl/worksheets/sheet3.xml" Id="R9058cc306a0b4baf" /><Relationship Type="http://schemas.openxmlformats.org/officeDocument/2006/relationships/worksheet" Target="/xl/worksheets/sheet4.xml" Id="R4562adfc5aa34f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5" hidden="0" customWidth="1"/>
    <x:col min="15" max="15" width="65" hidden="0" customWidth="1"/>
    <x:col min="16" max="16" width="65"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SBUX</x:v>
      </x:c>
      <x:c r="C2" s="15" t="str">
        <x:v>Starbucks</x:v>
      </x:c>
      <x:c r="D2" s="15" t="str">
        <x:v>2016q2</x:v>
      </x:c>
      <x:c r="E2" s="15" t="str">
        <x:v>2016-04-21</x:v>
      </x:c>
      <x:c r="F2" s="18" t="n">
        <x:v>0.1</x:v>
      </x:c>
      <x:c r="G2" s="18" t="n">
        <x:v>-5.06</x:v>
      </x:c>
      <x:c r="H2" s="18" t="n">
        <x:v>-4.97</x:v>
      </x:c>
      <x:c r="I2" s="18" t="n">
        <x:v>-5.09</x:v>
      </x:c>
      <x:c r="J2" s="18" t="n">
        <x:v>-5.08</x:v>
      </x:c>
      <x:c r="K2" s="15" t="str">
        <x:v>ret_1daypost_pct</x:v>
      </x:c>
      <x:c r="L2" s="15" t="str">
        <x:v>DOWN</x:v>
      </x:c>
      <x:c r="M2" s="15" t="str">
        <x:v>## Prior Context
Starbucks entered fiscal Q2 after a very strong holiday period and with unusually high expectations for U.S. same-store sales, traffic and digital loyalty growth.
### Verified prior source
None
## Current Earnings Release
Starbucks reported **$4.99 billion of revenue**, up **9%**, and EPS of **$0.39**, up 18%. Global comparable-store sales increased **6%**, consisting of **2% transaction growth and 4% ticket growth**, while U.S./Americas comps reached **7%**. Operating margin expanded to a Q2 record **17.3%**.
The quarter was fundamentally strong, but the top line was slightly below consensus near $5.03 billion and global comps had decelerated from the extraordinary holiday period. Starbucks also reiterated its full-year growth targets rather than raising them. With the stock priced for repeated exceptional comp growth, a small miss mattered more than the record profit numbers.
### Verified release source
2016-04-21 | Starbucks | Starbucks Reports Record Q2 Financial and Operating Results; EPS Up 18% to a Q2 Record $0.39 Per Share | https://investor.starbucks.com/news/financial-releases/news-details/2016/Starbucks-Reports-Record-Q2-Financial-and-Operating-Results-EPS-Up-18-to-a-Q2-Record-039-Per-Share/default.aspx
## Possible Drivers
**First-order driver.** Shares fell because revenue and comp growth came in slightly below an unusually high expectations bar.
**Second-order driver.** Traffic was still positive, but comp growth was increasingly being carried by ticket.
**Third-order driver.** Record margins and Rewards growth kept the operating story strong despite the selloff.
### Verified reaction source
2016-04-22 | The Motley Fool | Starbucks Corporation: Good Quarter or Not? Key Takeaways Investors Should Know | https://www.fool.com/investing/general/2016/04/22/starbucks-corporation-good-quarter-or-not-key-take.aspx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2" s="15" t="str">
        <x:v>None</x:v>
      </x:c>
      <x:c r="O2" s="15" t="str">
        <x:v>2016-04-21 | Starbucks | Starbucks Reports Record Q2 Financial and Operating Results; EPS Up 18% to a Q2 Record $0.39 Per Share | https://investor.starbucks.com/news/financial-releases/news-details/2016/Starbucks-Reports-Record-Q2-Financial-and-Operating-Results-EPS-Up-18-to-a-Q2-Record-039-Per-Share/default.aspx</x:v>
      </x:c>
      <x:c r="P2" s="15" t="str">
        <x:v>2016-04-22 | The Motley Fool | Starbucks Corporation: Good Quarter or Not? Key Takeaways Investors Should Know | https://www.fool.com/investing/general/2016/04/22/starbucks-corporation-good-quarter-or-not-key-take.aspx</x:v>
      </x:c>
      <x:c r="Q2" s="15" t="str">
        <x:v>2016-04-21 | Starbucks | Starbucks Reports Record Q2 Financial and Operating Results; EPS Up 18% to a Q2 Record $0.39 Per Share | https://investor.starbucks.com/news/financial-releases/news-details/2016/Starbucks-Reports-Record-Q2-Financial-and-Operating-Results-EPS-Up-18-to-a-Q2-Record-039-Per-Share/default.aspx
2016-04-22 | The Motley Fool | Starbucks Corporation: Good Quarter or Not? Key Takeaways Investors Should Know | https://www.fool.com/investing/general/2016/04/22/starbucks-corporation-good-quarter-or-not-key-take.aspx</x:v>
      </x:c>
      <x:c r="R2" s="15" t="n">
        <x:v>2</x:v>
      </x:c>
      <x:c r="S2" s="15" t="str">
        <x:v>PASS</x:v>
      </x:c>
    </x:row>
    <x:row r="3" ht="340" customHeight="1">
      <x:c r="A3" s="15" t="n">
        <x:v>1</x:v>
      </x:c>
      <x:c r="B3" s="15" t="str">
        <x:v>SBUX</x:v>
      </x:c>
      <x:c r="C3" s="15" t="str">
        <x:v>Starbucks</x:v>
      </x:c>
      <x:c r="D3" s="15" t="str">
        <x:v>2016q3</x:v>
      </x:c>
      <x:c r="E3" s="15" t="str">
        <x:v>2016-07-21</x:v>
      </x:c>
      <x:c r="F3" s="18" t="n">
        <x:v>0.44</x:v>
      </x:c>
      <x:c r="G3" s="18" t="n">
        <x:v>0.07</x:v>
      </x:c>
      <x:c r="H3" s="18" t="n">
        <x:v>0.51</x:v>
      </x:c>
      <x:c r="I3" s="18" t="n">
        <x:v>1.42</x:v>
      </x:c>
      <x:c r="J3" s="18" t="n">
        <x:v>2.3</x:v>
      </x:c>
      <x:c r="K3" s="15" t="str">
        <x:v>ret_1daypost_pct</x:v>
      </x:c>
      <x:c r="L3" s="15" t="str">
        <x:v>FLAT</x:v>
      </x:c>
      <x:c r="M3" s="15" t="str">
        <x:v>## Prior Context
After the April selloff, investors were watching whether Starbucks' comp slowdown was temporary and whether the newly redesigned Rewards program would affect traffic.
### Verified prior source
2016-04-21 | Starbucks | Starbucks Reports Record Q2 Financial and Operating Results; EPS Up 18% to a Q2 Record $0.39 Per Share | https://investor.starbucks.com/news/financial-releases/news-details/2016/Starbucks-Reports-Record-Q2-Financial-and-Operating-Results-EPS-Up-18-to-a-Q2-Record-039-Per-Share/default.aspx
## Current Earnings Release
Fiscal Q3 revenue reached a record **$5.24 billion** and non-GAAP EPS was **$0.49**. Global comps increased only **4%**, down from 6% in Q2 and 8% in Q1, while U.S. comps also slowed to **4%**. Starbucks continued opening stores and expanding digital payment, but the pace of same-store growth clearly moderated.
The earnings and profit numbers remained healthy, so this was not an outright earnings failure. The concern was the trajectory: three consecutive quarters of decelerating comps suggested that Starbucks could no longer rely on mid-to-high-single-digit U.S. same-store growth as a normal baseline.
### Verified release source
2016-07-21 | Starbucks | Starbucks Reports Record Q3 Financial and Operating Results | https://investor.starbucks.com/news/financial-releases/news-details/2016/Starbucks-Reports-Record-Q3-Financial-and-Operating-Results/default.aspx
## Possible Drivers
**First-order driver.** The stock was essentially flat because record earnings were offset by another step-down in comp growth.
**Second-order driver.** The slowdown made traffic and Rewards-program behavior more important than headline revenue.
**Third-order driver.** Digital adoption remained strong, but investors needed evidence it would translate into faster store productivity.
### Verified reaction source
2016-07-22 | The Motley Fool | Starbucks Corporation Reports Record Quarter, But is Growth Turning Lukewarm? | https://www.fool.com/investing/2016/07/22/starbucks-corporation-reports-record-quarter-but-i.aspx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3" s="15" t="str">
        <x:v>2016-04-21 | Starbucks | Starbucks Reports Record Q2 Financial and Operating Results; EPS Up 18% to a Q2 Record $0.39 Per Share | https://investor.starbucks.com/news/financial-releases/news-details/2016/Starbucks-Reports-Record-Q2-Financial-and-Operating-Results-EPS-Up-18-to-a-Q2-Record-039-Per-Share/default.aspx</x:v>
      </x:c>
      <x:c r="O3" s="15" t="str">
        <x:v>2016-07-21 | Starbucks | Starbucks Reports Record Q3 Financial and Operating Results | https://investor.starbucks.com/news/financial-releases/news-details/2016/Starbucks-Reports-Record-Q3-Financial-and-Operating-Results/default.aspx</x:v>
      </x:c>
      <x:c r="P3" s="15" t="str">
        <x:v>2016-07-22 | The Motley Fool | Starbucks Corporation Reports Record Quarter, But is Growth Turning Lukewarm? | https://www.fool.com/investing/2016/07/22/starbucks-corporation-reports-record-quarter-but-i.aspx</x:v>
      </x:c>
      <x:c r="Q3" s="15" t="str">
        <x:v>2016-04-21 | Starbucks | Starbucks Reports Record Q2 Financial and Operating Results; EPS Up 18% to a Q2 Record $0.39 Per Share | https://investor.starbucks.com/news/financial-releases/news-details/2016/Starbucks-Reports-Record-Q2-Financial-and-Operating-Results-EPS-Up-18-to-a-Q2-Record-039-Per-Share/default.aspx
2016-07-21 | Starbucks | Starbucks Reports Record Q3 Financial and Operating Results | https://investor.starbucks.com/news/financial-releases/news-details/2016/Starbucks-Reports-Record-Q3-Financial-and-Operating-Results/default.aspx
2016-07-22 | The Motley Fool | Starbucks Corporation Reports Record Quarter, But is Growth Turning Lukewarm? | https://www.fool.com/investing/2016/07/22/starbucks-corporation-reports-record-quarter-but-i.aspx</x:v>
      </x:c>
      <x:c r="R3" s="15" t="n">
        <x:v>3</x:v>
      </x:c>
      <x:c r="S3" s="15" t="str">
        <x:v>PASS</x:v>
      </x:c>
    </x:row>
    <x:row r="4" ht="340" customHeight="1">
      <x:c r="A4" s="15" t="n">
        <x:v>2</x:v>
      </x:c>
      <x:c r="B4" s="15" t="str">
        <x:v>SBUX</x:v>
      </x:c>
      <x:c r="C4" s="15" t="str">
        <x:v>Starbucks</x:v>
      </x:c>
      <x:c r="D4" s="15" t="str">
        <x:v>2016q4</x:v>
      </x:c>
      <x:c r="E4" s="15" t="str">
        <x:v>2016-11-03</x:v>
      </x:c>
      <x:c r="F4" s="18" t="n">
        <x:v>-1.89</x:v>
      </x:c>
      <x:c r="G4" s="18" t="n">
        <x:v>2.02</x:v>
      </x:c>
      <x:c r="H4" s="18" t="n">
        <x:v>0.09</x:v>
      </x:c>
      <x:c r="I4" s="18" t="n">
        <x:v>1.77</x:v>
      </x:c>
      <x:c r="J4" s="18" t="n">
        <x:v>2.85</x:v>
      </x:c>
      <x:c r="K4" s="15" t="str">
        <x:v>ret_1daypost_pct</x:v>
      </x:c>
      <x:c r="L4" s="15" t="str">
        <x:v>UP</x:v>
      </x:c>
      <x:c r="M4" s="15" t="str">
        <x:v>## Prior Context
By Q4, Starbucks had spent two quarters defending the durability of its U.S. growth model. Analysts were looking for stabilization in comps and evidence that China and digital could offset slower domestic traffic.
### Verified prior source
2016-10-28 | TheStreet | Starbucks (SBUX) Q4 Earnings Results Out Next Week, Analysts Look Ahead | https://www.thestreet.com/markets/starbucks-sbux-q4-earnings-results-out-next-week-analysts-look-ahead-13872360
## Current Earnings Release
Starbucks reported record Q4 revenue of **$5.71 billion** and non-GAAP EPS of **$0.56**. Global comps increased **4%**, U.S. comps **4%**, and China comps **6%**. The U.S. result was driven largely by a **6% increase in ticket while traffic declined 1%**, keeping the traffic-quality issue visible.
The forward message was stronger than the current traffic figure. Starbucks issued a robust fiscal-2017 outlook, highlighted very strong new-store economics in the U.S. and China, and increased the quarterly dividend **25% to $0.25**. That combination gave investors a reason to look past the negative traffic component.
### Verified release source
2016-11-03 | Starbucks | Starbucks Reports Record Q4 and Record FY16 Results | https://investor.starbucks.com/news/financial-releases/news-details/2016/Starbucks-Reports-Record-Q4-and-Record-FY16-Results/default.aspx
## Possible Drivers
**First-order driver.** Shares rose because strong 2017 guidance and a 25% dividend increase outweighed weak U.S. traffic.
**Second-order driver.** U.S. comps were increasingly ticket-led, so traffic remained a structural concern.
**Third-order driver.** China growth and strong new-store returns supported the long-term expansion thesis.
### Verified reaction source
2016-11-04 | The Motley Fool | Starbucks Writes Another Chapter in Its Long Growth Story | https://www.fool.com/investing/2016/11/04/starbucks-writes-another-chapter-in-its-long-growt.aspx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4" s="15" t="str">
        <x:v>2016-10-28 | TheStreet | Starbucks (SBUX) Q4 Earnings Results Out Next Week, Analysts Look Ahead | https://www.thestreet.com/markets/starbucks-sbux-q4-earnings-results-out-next-week-analysts-look-ahead-13872360</x:v>
      </x:c>
      <x:c r="O4" s="15" t="str">
        <x:v>2016-11-03 | Starbucks | Starbucks Reports Record Q4 and Record FY16 Results | https://investor.starbucks.com/news/financial-releases/news-details/2016/Starbucks-Reports-Record-Q4-and-Record-FY16-Results/default.aspx</x:v>
      </x:c>
      <x:c r="P4" s="15" t="str">
        <x:v>2016-11-04 | The Motley Fool | Starbucks Writes Another Chapter in Its Long Growth Story | https://www.fool.com/investing/2016/11/04/starbucks-writes-another-chapter-in-its-long-growt.aspx</x:v>
      </x:c>
      <x:c r="Q4" s="15" t="str">
        <x:v>2016-10-28 | TheStreet | Starbucks (SBUX) Q4 Earnings Results Out Next Week, Analysts Look Ahead | https://www.thestreet.com/markets/starbucks-sbux-q4-earnings-results-out-next-week-analysts-look-ahead-13872360
2016-11-03 | Starbucks | Starbucks Reports Record Q4 and Record FY16 Results | https://investor.starbucks.com/news/financial-releases/news-details/2016/Starbucks-Reports-Record-Q4-and-Record-FY16-Results/default.aspx
2016-11-04 | The Motley Fool | Starbucks Writes Another Chapter in Its Long Growth Story | https://www.fool.com/investing/2016/11/04/starbucks-writes-another-chapter-in-its-long-growt.aspx</x:v>
      </x:c>
      <x:c r="R4" s="15" t="n">
        <x:v>3</x:v>
      </x:c>
      <x:c r="S4" s="15" t="str">
        <x:v>PASS</x:v>
      </x:c>
    </x:row>
    <x:row r="5" ht="340" customHeight="1">
      <x:c r="A5" s="15" t="n">
        <x:v>3</x:v>
      </x:c>
      <x:c r="B5" s="15" t="str">
        <x:v>SBUX</x:v>
      </x:c>
      <x:c r="C5" s="15" t="str">
        <x:v>Starbucks</x:v>
      </x:c>
      <x:c r="D5" s="15" t="str">
        <x:v>2017q1</x:v>
      </x:c>
      <x:c r="E5" s="15" t="str">
        <x:v>2017-01-26</x:v>
      </x:c>
      <x:c r="F5" s="18" t="n">
        <x:v>-0.29</x:v>
      </x:c>
      <x:c r="G5" s="18" t="n">
        <x:v>-3.84</x:v>
      </x:c>
      <x:c r="H5" s="18" t="n">
        <x:v>-4.13</x:v>
      </x:c>
      <x:c r="I5" s="18" t="n">
        <x:v>-4.47</x:v>
      </x:c>
      <x:c r="J5" s="18" t="n">
        <x:v>-5.42</x:v>
      </x:c>
      <x:c r="K5" s="15" t="str">
        <x:v>ret_1daypost_pct</x:v>
      </x:c>
      <x:c r="L5" s="15" t="str">
        <x:v>DOWN</x:v>
      </x:c>
      <x:c r="M5" s="15" t="str">
        <x:v>## Prior Context
Starbucks entered the holiday quarter with its long-term growth targets intact, but Mobile Order &amp; Pay adoption had become large enough to create operational congestion at busy pickup counters.
### Verified prior source
2016-11-03 | Starbucks | Starbucks Reports Record Q4 and Record FY16 Results | https://investor.starbucks.com/news/financial-releases/news-details/2016/Starbucks-Reports-Record-Q4-and-Record-FY16-Results/default.aspx
## Current Earnings Release
Fiscal Q1 revenue increased **7% to $5.73 billion**, while non-GAAP EPS was **$0.52**. Both global and U.S. comps were only **3%**; U.S. transactions declined **2%** before adjusting for the accounting effect of the redesigned Rewards program. Revenue also missed consensus near $5.85 billion.
Management identified a new execution problem: rapid Mobile Order &amp; Pay adoption was shifting queues from the register to the handoff counter, causing some walk-in customers to leave crowded stores. Starbucks also lowered its fiscal-2017 revenue-growth expectation to **8%–10%** from its earlier double-digit framework. China remained a bright spot with 6% comps.
### Verified release source
2017-01-26 | Starbucks | Starbucks Reports Record Holiday and Record Q1 FY17 Results | https://investor.starbucks.com/news/financial-releases/news-details/2017/Starbucks-Reports-Record-Holiday-and-Record-Q1-FY17-Results/default.aspx
## Possible Drivers
**First-order driver.** Shares fell because comps and revenue missed expectations and full-year revenue growth guidance was reduced.
**Second-order driver.** Mobile-order congestion was directly hurting walk-in traffic at high-volume stores.
**Third-order driver.** China growth remained strong, but it was not yet large enough to offset U.S. execution concerns.
### Verified reaction source
2017-01-27 | The Motley Fool | 7 Telling Metrics From Starbucks Corporation's First Quarter | https://www.fool.com/investing/2017/01/27/7-telling-metrics-from-starbucks-corporations-firs.aspx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5" s="15" t="str">
        <x:v>2016-11-03 | Starbucks | Starbucks Reports Record Q4 and Record FY16 Results | https://investor.starbucks.com/news/financial-releases/news-details/2016/Starbucks-Reports-Record-Q4-and-Record-FY16-Results/default.aspx</x:v>
      </x:c>
      <x:c r="O5" s="15" t="str">
        <x:v>2017-01-26 | Starbucks | Starbucks Reports Record Holiday and Record Q1 FY17 Results | https://investor.starbucks.com/news/financial-releases/news-details/2017/Starbucks-Reports-Record-Holiday-and-Record-Q1-FY17-Results/default.aspx</x:v>
      </x:c>
      <x:c r="P5" s="15" t="str">
        <x:v>2017-01-27 | The Motley Fool | 7 Telling Metrics From Starbucks Corporation's First Quarter | https://www.fool.com/investing/2017/01/27/7-telling-metrics-from-starbucks-corporations-firs.aspx</x:v>
      </x:c>
      <x:c r="Q5" s="15" t="str">
        <x:v>2016-11-03 | Starbucks | Starbucks Reports Record Q4 and Record FY16 Results | https://investor.starbucks.com/news/financial-releases/news-details/2016/Starbucks-Reports-Record-Q4-and-Record-FY16-Results/default.aspx
2017-01-26 | Starbucks | Starbucks Reports Record Holiday and Record Q1 FY17 Results | https://investor.starbucks.com/news/financial-releases/news-details/2017/Starbucks-Reports-Record-Holiday-and-Record-Q1-FY17-Results/default.aspx
2017-01-27 | The Motley Fool | 7 Telling Metrics From Starbucks Corporation's First Quarter | https://www.fool.com/investing/2017/01/27/7-telling-metrics-from-starbucks-corporations-firs.aspx</x:v>
      </x:c>
      <x:c r="R5" s="15" t="n">
        <x:v>3</x:v>
      </x:c>
      <x:c r="S5" s="15" t="str">
        <x:v>PASS</x:v>
      </x:c>
    </x:row>
    <x:row r="6" ht="340" customHeight="1">
      <x:c r="A6" s="15" t="n">
        <x:v>4</x:v>
      </x:c>
      <x:c r="B6" s="15" t="str">
        <x:v>SBUX</x:v>
      </x:c>
      <x:c r="C6" s="15" t="str">
        <x:v>Starbucks</x:v>
      </x:c>
      <x:c r="D6" s="15" t="str">
        <x:v>2017q2</x:v>
      </x:c>
      <x:c r="E6" s="15" t="str">
        <x:v>2017-04-27</x:v>
      </x:c>
      <x:c r="F6" s="18" t="n">
        <x:v>-0.42</x:v>
      </x:c>
      <x:c r="G6" s="18" t="n">
        <x:v>-1.76</x:v>
      </x:c>
      <x:c r="H6" s="18" t="n">
        <x:v>-2.17</x:v>
      </x:c>
      <x:c r="I6" s="18" t="n">
        <x:v>-1.2</x:v>
      </x:c>
      <x:c r="J6" s="18" t="n">
        <x:v>-0.7</x:v>
      </x:c>
      <x:c r="K6" s="15" t="str">
        <x:v>ret_1daypost_pct</x:v>
      </x:c>
      <x:c r="L6" s="15" t="str">
        <x:v>DOWN</x:v>
      </x:c>
      <x:c r="M6" s="15" t="str">
        <x:v>## Prior Context
Kevin Johnson had just become CEO, and the key operating task was to fix mobile-order congestion and restore U.S. traffic growth.
### Verified prior source
2017-01-26 | Starbucks | Starbucks Reports Record Holiday and Record Q1 FY17 Results | https://investor.starbucks.com/news/financial-releases/news-details/2017/Starbucks-Reports-Record-Holiday-and-Record-Q1-FY17-Results/default.aspx
## Current Earnings Release
Fiscal Q2 revenue increased **6% to $5.29 billion** and EPS rose **15% to $0.45**. Global and U.S. comps were again only **3%**. Adjusting for the redesigned Rewards program, U.S. average ticket grew about 3% while transactions were roughly flat. China comps increased **7%**, driven mainly by transactions.
Management emphasized that U.S. performance improved as the quarter progressed, with March comps reaching 4% and April trends stronger still. However, investors had now seen several quarters below Starbucks' historical comp standard, so record revenue and EPS were not enough by themselves to restore confidence.
### Verified release source
2017-04-27 | Starbucks | Starbucks Reports Record Q2 FY17 Revenues and EPS | https://investor.starbucks.com/news/financial-releases/news-details/2017/Starbucks-Reports-Record-Q2-FY17-Revenues-and-EPS/default.aspx
## Possible Drivers
**First-order driver.** Shares fell because 3% U.S. comps remained below the growth rate investors expected from Starbucks.
**Second-order driver.** Sequential improvement suggested congestion fixes were helping, but traffic had not yet clearly reaccelerated.
**Third-order driver.** Strong China comps provided the clearest offset to slower U.S. store productivity.
### Verified reaction source
2017-04-28 | The Motley Fool | Starbucks Corporation Delivers Record Earnings, but 1 Important Metric Is Getting All the Attention | https://www.fool.com/investing/2017/04/28/starbucks-corporation-delivers-record-earnings-but.aspx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6" s="15" t="str">
        <x:v>2017-01-26 | Starbucks | Starbucks Reports Record Holiday and Record Q1 FY17 Results | https://investor.starbucks.com/news/financial-releases/news-details/2017/Starbucks-Reports-Record-Holiday-and-Record-Q1-FY17-Results/default.aspx</x:v>
      </x:c>
      <x:c r="O6" s="15" t="str">
        <x:v>2017-04-27 | Starbucks | Starbucks Reports Record Q2 FY17 Revenues and EPS | https://investor.starbucks.com/news/financial-releases/news-details/2017/Starbucks-Reports-Record-Q2-FY17-Revenues-and-EPS/default.aspx</x:v>
      </x:c>
      <x:c r="P6" s="15" t="str">
        <x:v>2017-04-28 | The Motley Fool | Starbucks Corporation Delivers Record Earnings, but 1 Important Metric Is Getting All the Attention | https://www.fool.com/investing/2017/04/28/starbucks-corporation-delivers-record-earnings-but.aspx</x:v>
      </x:c>
      <x:c r="Q6" s="15" t="str">
        <x:v>2017-01-26 | Starbucks | Starbucks Reports Record Holiday and Record Q1 FY17 Results | https://investor.starbucks.com/news/financial-releases/news-details/2017/Starbucks-Reports-Record-Holiday-and-Record-Q1-FY17-Results/default.aspx
2017-04-27 | Starbucks | Starbucks Reports Record Q2 FY17 Revenues and EPS | https://investor.starbucks.com/news/financial-releases/news-details/2017/Starbucks-Reports-Record-Q2-FY17-Revenues-and-EPS/default.aspx
2017-04-28 | The Motley Fool | Starbucks Corporation Delivers Record Earnings, but 1 Important Metric Is Getting All the Attention | https://www.fool.com/investing/2017/04/28/starbucks-corporation-delivers-record-earnings-but.aspx</x:v>
      </x:c>
      <x:c r="R6" s="15" t="n">
        <x:v>3</x:v>
      </x:c>
      <x:c r="S6" s="15" t="str">
        <x:v>PASS</x:v>
      </x:c>
    </x:row>
    <x:row r="7" ht="340" customHeight="1">
      <x:c r="A7" s="15" t="n">
        <x:v>5</x:v>
      </x:c>
      <x:c r="B7" s="15" t="str">
        <x:v>SBUX</x:v>
      </x:c>
      <x:c r="C7" s="15" t="str">
        <x:v>Starbucks</x:v>
      </x:c>
      <x:c r="D7" s="15" t="str">
        <x:v>2017q3</x:v>
      </x:c>
      <x:c r="E7" s="15" t="str">
        <x:v>2017-07-27</x:v>
      </x:c>
      <x:c r="F7" s="18" t="n">
        <x:v>2.9</x:v>
      </x:c>
      <x:c r="G7" s="18" t="n">
        <x:v>-9.14</x:v>
      </x:c>
      <x:c r="H7" s="18" t="n">
        <x:v>-6.5</x:v>
      </x:c>
      <x:c r="I7" s="18" t="n">
        <x:v>-7.47</x:v>
      </x:c>
      <x:c r="J7" s="18" t="n">
        <x:v>-6.35</x:v>
      </x:c>
      <x:c r="K7" s="15" t="str">
        <x:v>ret_1daypost_pct</x:v>
      </x:c>
      <x:c r="L7" s="15" t="str">
        <x:v>DOWN</x:v>
      </x:c>
      <x:c r="M7" s="15" t="str">
        <x:v>## Prior Context
U.S. trends had improved into spring, so investors entered Q3 expecting a convincing acceleration. Starbucks was also reviewing its underperforming Teavana mall-store portfolio.
### Verified prior source
2017-04-27 | Starbucks | Starbucks Reports Record Q2 FY17 Revenues and EPS | https://investor.starbucks.com/news/financial-releases/news-details/2017/Starbucks-Reports-Record-Q2-FY17-Revenues-and-EPS/default.aspx
## Current Earnings Release
Fiscal Q3 revenue was about **$5.67 billion**, below consensus near $5.75–$5.76 billion, while EPS of **$0.55** matched expectations. U.S. comps improved to **5%**, and Mobile Order &amp; Pay reached **9%** of U.S. transactions. China comps were **7%**.
The problem was forward guidance. Management adopted a more cautious Q4 view because of softness across retail and restaurants, and Starbucks reduced near-term expectations. On the same day it announced the closure of **all 379 Teavana mall stores** and a **$1.3 billion acquisition of the remaining 50% of its East China joint venture**. Strategically, China became more important just as management acknowledged that U.S. growth was less predictable.
### Verified release source
2017-07-27 | Starbucks | Starbucks Reports Record Q3 Financial and Operating Results; Company Announces Strategic Actions to Advance Growth Agenda and Increase Returns | https://investor.starbucks.com/news/financial-releases/news-details/2017/Starbucks-Reports-Record-Q3-Financial-and-Operating-Results-Company-Announces-Strategic-Actions-to-Advance-Growth-Agenda-and-Increase-Returns/default.aspx
## Possible Drivers
**First-order driver.** The 9% selloff was driven by the revenue miss and a cautious forward outlook, not by weak current U.S. comps.
**Second-order driver.** Closing Teavana confirmed that Starbucks was exiting a persistently underperforming retail concept.
**Third-order driver.** Full ownership of East China strengthened the long-run China thesis but required investors to accept slower near-term U.S. growth.
### Verified reaction source
2017-07-28 | TheStreet | Amazon and Starbucks Have More Than 20% Upside Despite Earnings Whiff: Analyst | https://www.thestreet.com/investing/stocks/amazon-and-starbucks-have-more-than-20-upside-despite-earnings-whiff-analyst-14247406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7" s="15" t="str">
        <x:v>2017-04-27 | Starbucks | Starbucks Reports Record Q2 FY17 Revenues and EPS | https://investor.starbucks.com/news/financial-releases/news-details/2017/Starbucks-Reports-Record-Q2-FY17-Revenues-and-EPS/default.aspx</x:v>
      </x:c>
      <x:c r="O7" s="15" t="str">
        <x:v>2017-07-27 | Starbucks | Starbucks Reports Record Q3 Financial and Operating Results; Company Announces Strategic Actions to Advance Growth Agenda and Increase Returns | https://investor.starbucks.com/news/financial-releases/news-details/2017/Starbucks-Reports-Record-Q3-Financial-and-Operating-Results-Company-Announces-Strategic-Actions-to-Advance-Growth-Agenda-and-Increase-Returns/default.aspx</x:v>
      </x:c>
      <x:c r="P7" s="15" t="str">
        <x:v>2017-07-28 | TheStreet | Amazon and Starbucks Have More Than 20% Upside Despite Earnings Whiff: Analyst | https://www.thestreet.com/investing/stocks/amazon-and-starbucks-have-more-than-20-upside-despite-earnings-whiff-analyst-14247406</x:v>
      </x:c>
      <x:c r="Q7" s="15" t="str">
        <x:v>2017-04-27 | Starbucks | Starbucks Reports Record Q2 FY17 Revenues and EPS | https://investor.starbucks.com/news/financial-releases/news-details/2017/Starbucks-Reports-Record-Q2-FY17-Revenues-and-EPS/default.aspx
2017-07-27 | Starbucks | Starbucks Reports Record Q3 Financial and Operating Results; Company Announces Strategic Actions to Advance Growth Agenda and Increase Returns | https://investor.starbucks.com/news/financial-releases/news-details/2017/Starbucks-Reports-Record-Q3-Financial-and-Operating-Results-Company-Announces-Strategic-Actions-to-Advance-Growth-Agenda-and-Increase-Returns/default.aspx
2017-07-28 | TheStreet | Amazon and Starbucks Have More Than 20% Upside Despite Earnings Whiff: Analyst | https://www.thestreet.com/investing/stocks/amazon-and-starbucks-have-more-than-20-upside-despite-earnings-whiff-analyst-14247406</x:v>
      </x:c>
      <x:c r="R7" s="15" t="n">
        <x:v>3</x:v>
      </x:c>
      <x:c r="S7" s="15" t="str">
        <x:v>PASS</x:v>
      </x:c>
    </x:row>
    <x:row r="8" ht="340" customHeight="1">
      <x:c r="A8" s="15" t="n">
        <x:v>6</x:v>
      </x:c>
      <x:c r="B8" s="15" t="str">
        <x:v>SBUX</x:v>
      </x:c>
      <x:c r="C8" s="15" t="str">
        <x:v>Starbucks</x:v>
      </x:c>
      <x:c r="D8" s="15" t="str">
        <x:v>2017q4</x:v>
      </x:c>
      <x:c r="E8" s="15" t="str">
        <x:v>2017-11-02</x:v>
      </x:c>
      <x:c r="F8" s="18" t="n">
        <x:v>-0.51</x:v>
      </x:c>
      <x:c r="G8" s="18" t="n">
        <x:v>1.83</x:v>
      </x:c>
      <x:c r="H8" s="18" t="n">
        <x:v>1.31</x:v>
      </x:c>
      <x:c r="I8" s="18" t="n">
        <x:v>1.77</x:v>
      </x:c>
      <x:c r="J8" s="18" t="n">
        <x:v>3.91</x:v>
      </x:c>
      <x:c r="K8" s="15" t="str">
        <x:v>ret_1daypost_pct</x:v>
      </x:c>
      <x:c r="L8" s="15" t="str">
        <x:v>UP</x:v>
      </x:c>
      <x:c r="M8" s="15" t="str">
        <x:v>## Prior Context
After the July guidance reset, expectations for U.S. growth were lower. Starbucks was simultaneously simplifying the portfolio through Teavana closures, Tazo's sale and greater emphasis on China.
### Verified prior source
2017-07-27 | Starbucks | Starbucks Reports Record Q3 Financial and Operating Results; Company Announces Strategic Actions to Advance Growth Agenda and Increase Returns | https://investor.starbucks.com/news/financial-releases/news-details/2017/Starbucks-Reports-Record-Q3-Financial-and-Operating-Results-Company-Announces-Strategic-Actions-to-Advance-Growth-Agenda-and-Increase-Returns/default.aspx
## Current Earnings Release
Q4 revenue was about **$5.7 billion** and non-GAAP EPS **$0.55**. Global and U.S. comps increased only **2%**, or roughly 3% excluding hurricane effects, while **China comps reached 8%**. Non-GAAP operating margin fell **90 basis points**, primarily because of higher partner investments.
Starbucks also reset its long-term financial framework to more moderate growth, sold Tazo to Unilever and committed to return **$15 billion** to shareholders over three years. The initial after-hours reaction was negative, but the stock reversed higher during the next session as investors digested the more achievable targets, strong China performance and aggressive capital-return plan.
### Verified release source
2017-11-02 | Starbucks | Starbucks Reports Q4 and Full Year Fiscal 2017 Results | https://investor.starbucks.com/news/financial-releases/news-details/2017/Starbucks-Reports-Q4-and-Full-Year-Fiscal-2017-Results/default.aspx
## Possible Drivers
**First-order driver.** Shares finished higher as investors accepted a lower growth framework in exchange for stronger capital returns and a clearer strategy.
**Second-order driver.** China remained the strongest comp market and became increasingly central to valuation.
**Third-order driver.** Lower margins and only 2% U.S. comps kept the domestic growth concern unresolved.
### Verified reaction source
2017-11-03 | TheStreet | Buy Starbucks' (SBUX) Friday Earnings Breakout | https://www.thestreet.com/investing/stocks/buy-starbucks-earnings-breakout-14375080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8" s="15" t="str">
        <x:v>2017-07-27 | Starbucks | Starbucks Reports Record Q3 Financial and Operating Results; Company Announces Strategic Actions to Advance Growth Agenda and Increase Returns | https://investor.starbucks.com/news/financial-releases/news-details/2017/Starbucks-Reports-Record-Q3-Financial-and-Operating-Results-Company-Announces-Strategic-Actions-to-Advance-Growth-Agenda-and-Increase-Returns/default.aspx</x:v>
      </x:c>
      <x:c r="O8" s="15" t="str">
        <x:v>2017-11-02 | Starbucks | Starbucks Reports Q4 and Full Year Fiscal 2017 Results | https://investor.starbucks.com/news/financial-releases/news-details/2017/Starbucks-Reports-Q4-and-Full-Year-Fiscal-2017-Results/default.aspx</x:v>
      </x:c>
      <x:c r="P8" s="15" t="str">
        <x:v>2017-11-03 | TheStreet | Buy Starbucks' (SBUX) Friday Earnings Breakout | https://www.thestreet.com/investing/stocks/buy-starbucks-earnings-breakout-14375080</x:v>
      </x:c>
      <x:c r="Q8" s="15" t="str">
        <x:v>2017-07-27 | Starbucks | Starbucks Reports Record Q3 Financial and Operating Results; Company Announces Strategic Actions to Advance Growth Agenda and Increase Returns | https://investor.starbucks.com/news/financial-releases/news-details/2017/Starbucks-Reports-Record-Q3-Financial-and-Operating-Results-Company-Announces-Strategic-Actions-to-Advance-Growth-Agenda-and-Increase-Returns/default.aspx
2017-11-02 | Starbucks | Starbucks Reports Q4 and Full Year Fiscal 2017 Results | https://investor.starbucks.com/news/financial-releases/news-details/2017/Starbucks-Reports-Q4-and-Full-Year-Fiscal-2017-Results/default.aspx
2017-11-03 | TheStreet | Buy Starbucks' (SBUX) Friday Earnings Breakout | https://www.thestreet.com/investing/stocks/buy-starbucks-earnings-breakout-14375080</x:v>
      </x:c>
      <x:c r="R8" s="15" t="n">
        <x:v>3</x:v>
      </x:c>
      <x:c r="S8" s="15" t="str">
        <x:v>PASS</x:v>
      </x:c>
    </x:row>
    <x:row r="9" ht="340" customHeight="1">
      <x:c r="A9" s="15" t="n">
        <x:v>7</x:v>
      </x:c>
      <x:c r="B9" s="15" t="str">
        <x:v>SBUX</x:v>
      </x:c>
      <x:c r="C9" s="15" t="str">
        <x:v>Starbucks</x:v>
      </x:c>
      <x:c r="D9" s="15" t="str">
        <x:v>2018q1</x:v>
      </x:c>
      <x:c r="E9" s="15" t="str">
        <x:v>2018-01-25</x:v>
      </x:c>
      <x:c r="F9" s="18" t="n">
        <x:v>-0.47</x:v>
      </x:c>
      <x:c r="G9" s="18" t="n">
        <x:v>-5.22</x:v>
      </x:c>
      <x:c r="H9" s="18" t="n">
        <x:v>-5.67</x:v>
      </x:c>
      <x:c r="I9" s="18" t="n">
        <x:v>-6.9</x:v>
      </x:c>
      <x:c r="J9" s="18" t="n">
        <x:v>-6.6</x:v>
      </x:c>
      <x:c r="K9" s="15" t="str">
        <x:v>ret_1daypost_pct</x:v>
      </x:c>
      <x:c r="L9" s="15" t="str">
        <x:v>DOWN</x:v>
      </x:c>
      <x:c r="M9" s="15" t="str">
        <x:v>## Prior Context
Starbucks entered fiscal 2018 with reduced long-term growth targets but still expected global comps of 3%–5%. China was expanding rapidly after Starbucks took full ownership of East China.
### Verified prior source
2017-11-02 | Starbucks | Starbucks Reports Q4 and Full Year Fiscal 2017 Results | https://investor.starbucks.com/news/financial-releases/news-details/2017/Starbucks-Reports-Q4-and-Full-Year-Fiscal-2017-Results/default.aspx
## Current Earnings Release
Fiscal Q1 revenue reached a record **$6.07 billion**, up 6%, and non-GAAP EPS was **$0.65**, helped by U.S. tax reform. But global and U.S. comps were only **2%**, below both Starbucks' own 3%–5% target and market expectations. U.S. operating margin also declined.
Management explained that holiday beverages, merchandise and gift-card activity underperformed, while transactions weakened in the back half of the quarter. China was the clear contrast: revenue grew **30%** and comps increased **6%**, driven by transactions. The quarter therefore widened the gap between a slow U.S. core and a much stronger China growth engine.
### Verified release source
2018-01-25 | Starbucks | Starbucks Reports Record Q1 Fiscal 2018 Results | https://investor.starbucks.com/news/financial-releases/news-details/2018/Starbucks-Reports-Record-Q1-Fiscal-2018-Results/default.aspx
## Possible Drivers
**First-order driver.** The stock fell because U.S. comps and revenue were weaker than expected despite record headline sales.
**Second-order driver.** Soft holiday traffic showed the problem extended beyond mobile-order congestion.
**Third-order driver.** China remained strong, but investors were unwilling to ignore weakness in Starbucks' largest profit pool.
### Verified reaction source
2018-01-26 | The Motley Fool | Starbucks Corporation Stock Down 6% Today: Here's Why | https://www.fool.com/investing/2018/01/26/starbucks-corporation-stock-down-6-today-heres-why.aspx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9" s="15" t="str">
        <x:v>2017-11-02 | Starbucks | Starbucks Reports Q4 and Full Year Fiscal 2017 Results | https://investor.starbucks.com/news/financial-releases/news-details/2017/Starbucks-Reports-Q4-and-Full-Year-Fiscal-2017-Results/default.aspx</x:v>
      </x:c>
      <x:c r="O9" s="15" t="str">
        <x:v>2018-01-25 | Starbucks | Starbucks Reports Record Q1 Fiscal 2018 Results | https://investor.starbucks.com/news/financial-releases/news-details/2018/Starbucks-Reports-Record-Q1-Fiscal-2018-Results/default.aspx</x:v>
      </x:c>
      <x:c r="P9" s="15" t="str">
        <x:v>2018-01-26 | The Motley Fool | Starbucks Corporation Stock Down 6% Today: Here's Why | https://www.fool.com/investing/2018/01/26/starbucks-corporation-stock-down-6-today-heres-why.aspx</x:v>
      </x:c>
      <x:c r="Q9" s="15" t="str">
        <x:v>2017-11-02 | Starbucks | Starbucks Reports Q4 and Full Year Fiscal 2017 Results | https://investor.starbucks.com/news/financial-releases/news-details/2017/Starbucks-Reports-Q4-and-Full-Year-Fiscal-2017-Results/default.aspx
2018-01-25 | Starbucks | Starbucks Reports Record Q1 Fiscal 2018 Results | https://investor.starbucks.com/news/financial-releases/news-details/2018/Starbucks-Reports-Record-Q1-Fiscal-2018-Results/default.aspx
2018-01-26 | The Motley Fool | Starbucks Corporation Stock Down 6% Today: Here's Why | https://www.fool.com/investing/2018/01/26/starbucks-corporation-stock-down-6-today-heres-why.aspx</x:v>
      </x:c>
      <x:c r="R9" s="15" t="n">
        <x:v>3</x:v>
      </x:c>
      <x:c r="S9" s="15" t="str">
        <x:v>PASS</x:v>
      </x:c>
    </x:row>
    <x:row r="10" ht="340" customHeight="1">
      <x:c r="A10" s="15" t="n">
        <x:v>8</x:v>
      </x:c>
      <x:c r="B10" s="15" t="str">
        <x:v>SBUX</x:v>
      </x:c>
      <x:c r="C10" s="15" t="str">
        <x:v>Starbucks</x:v>
      </x:c>
      <x:c r="D10" s="15" t="str">
        <x:v>2018q2</x:v>
      </x:c>
      <x:c r="E10" s="15" t="str">
        <x:v>2018-04-26</x:v>
      </x:c>
      <x:c r="F10" s="18" t="n">
        <x:v>1.99</x:v>
      </x:c>
      <x:c r="G10" s="18" t="n">
        <x:v>-1.79</x:v>
      </x:c>
      <x:c r="H10" s="18" t="n">
        <x:v>0.17</x:v>
      </x:c>
      <x:c r="I10" s="18" t="n">
        <x:v>-0.08</x:v>
      </x:c>
      <x:c r="J10" s="18" t="n">
        <x:v>0.04</x:v>
      </x:c>
      <x:c r="K10" s="15" t="str">
        <x:v>ret_1daypost_pct</x:v>
      </x:c>
      <x:c r="L10" s="15" t="str">
        <x:v>DOWN</x:v>
      </x:c>
      <x:c r="M10" s="15" t="str">
        <x:v>## Prior Context
By Q2, the U.S. comp problem was well understood. Starbucks was trying to expand digital relationships beyond Rewards members and improve afternoon traffic, while China continued to grow.
### Verified prior source
2018-01-25 | Starbucks | Starbucks Reports Record Q1 Fiscal 2018 Results | https://investor.starbucks.com/news/financial-releases/news-details/2018/Starbucks-Reports-Record-Q1-Fiscal-2018-Results/default.aspx
## Current Earnings Release
Fiscal Q2 revenue increased **14% to $6.0 billion** and non-GAAP EPS rose **18% to $0.53**. Global and U.S. comps remained only **2%**, while China comps were **4%**. The East China acquisition increased reported revenue, but operating margins declined materially because of restructuring, partner investments and mix.
Starbucks reiterated fiscal-2018 guidance but said global comps would likely land near the **low end of the 3%–5% range**. The company was also preparing to close more than 8,000 U.S. stores for racial-bias training on May 29, whose impact was not yet included in guidance. The result was therefore strong on reported revenue but still weak on underlying store productivity and margin.
### Verified release source
2018-04-26 | Starbucks | Starbucks Reports Record Q2 Fiscal 2018 Results | https://investor.starbucks.com/news/financial-releases/news-details/2018/Starbucks-Reports-Record-Q2-Fiscal-2018-Results/default.aspx
## Possible Drivers
**First-order driver.** Shares fell because another 2% comp quarter and margin pressure outweighed strong reported revenue and EPS growth.
**Second-order driver.** East China consolidation boosted reported sales, making organic comp quality more important.
**Third-order driver.** Digital initiatives and stronger China performance had not yet restored U.S. traffic.
### Verified reaction source
2018-04-27 | The Motley Fool | The Details Matter in Starbucks Corporation's Earnings Report | https://www.fool.com/investing/2018/04/27/the-details-matter-in-starbucks-corporations-earni.aspx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10" s="15" t="str">
        <x:v>2018-01-25 | Starbucks | Starbucks Reports Record Q1 Fiscal 2018 Results | https://investor.starbucks.com/news/financial-releases/news-details/2018/Starbucks-Reports-Record-Q1-Fiscal-2018-Results/default.aspx</x:v>
      </x:c>
      <x:c r="O10" s="15" t="str">
        <x:v>2018-04-26 | Starbucks | Starbucks Reports Record Q2 Fiscal 2018 Results | https://investor.starbucks.com/news/financial-releases/news-details/2018/Starbucks-Reports-Record-Q2-Fiscal-2018-Results/default.aspx</x:v>
      </x:c>
      <x:c r="P10" s="15" t="str">
        <x:v>2018-04-27 | The Motley Fool | The Details Matter in Starbucks Corporation's Earnings Report | https://www.fool.com/investing/2018/04/27/the-details-matter-in-starbucks-corporations-earni.aspx</x:v>
      </x:c>
      <x:c r="Q10" s="15" t="str">
        <x:v>2018-01-25 | Starbucks | Starbucks Reports Record Q1 Fiscal 2018 Results | https://investor.starbucks.com/news/financial-releases/news-details/2018/Starbucks-Reports-Record-Q1-Fiscal-2018-Results/default.aspx
2018-04-26 | Starbucks | Starbucks Reports Record Q2 Fiscal 2018 Results | https://investor.starbucks.com/news/financial-releases/news-details/2018/Starbucks-Reports-Record-Q2-Fiscal-2018-Results/default.aspx
2018-04-27 | The Motley Fool | The Details Matter in Starbucks Corporation's Earnings Report | https://www.fool.com/investing/2018/04/27/the-details-matter-in-starbucks-corporations-earni.aspx</x:v>
      </x:c>
      <x:c r="R10" s="15" t="n">
        <x:v>3</x:v>
      </x:c>
      <x:c r="S10" s="15" t="str">
        <x:v>PASS</x:v>
      </x:c>
    </x:row>
    <x:row r="11" ht="340" customHeight="1">
      <x:c r="A11" s="15" t="n">
        <x:v>9</x:v>
      </x:c>
      <x:c r="B11" s="15" t="str">
        <x:v>SBUX</x:v>
      </x:c>
      <x:c r="C11" s="15" t="str">
        <x:v>Starbucks</x:v>
      </x:c>
      <x:c r="D11" s="15" t="str">
        <x:v>2018q3</x:v>
      </x:c>
      <x:c r="E11" s="15" t="str">
        <x:v>2018-07-26</x:v>
      </x:c>
      <x:c r="F11" s="18" t="n">
        <x:v>-0.17</x:v>
      </x:c>
      <x:c r="G11" s="18" t="n">
        <x:v>2.13</x:v>
      </x:c>
      <x:c r="H11" s="18" t="n">
        <x:v>1.95</x:v>
      </x:c>
      <x:c r="I11" s="18" t="n">
        <x:v>2</x:v>
      </x:c>
      <x:c r="J11" s="18" t="n">
        <x:v>2.48</x:v>
      </x:c>
      <x:c r="K11" s="15" t="str">
        <x:v>ret_1daypost_pct</x:v>
      </x:c>
      <x:c r="L11" s="15" t="str">
        <x:v>UP</x:v>
      </x:c>
      <x:c r="M11" s="15" t="str">
        <x:v>## Prior Context
Most of the bad news was already public before earnings. On June 19, Starbucks warned that Q3 global comps would be only about **1%**, planned to close roughly **150 underperforming U.S. company stores** in fiscal 2019, and raised its capital-return target to $25 billion.
### Verified prior source
2018-06-19 | Starbucks | Starbucks Announces Strategic Priorities and Operational Initiatives to Accelerate Growth and Create Long-Term Shareholder Value | https://investor.starbucks.com/news/financial-releases/news-details/2018/Starbucks-Announces-Strategic-Priorities-and-Operational-Initiatives-to-Accelerate-Growth-and-Create-Long-Term-Shareholder-Value/default.aspx
## Current Earnings Release
The formal Q3 release showed **$6.3 billion of revenue**, up 11%, and non-GAAP EPS of **$0.62**. Global and U.S. comps were **1%**, broadly matching the June warning, while **China comps declined 2%**. Non-GAAP operating margin fell **230 basis points**.
The operating quarter was weak, but it did not contain the same incremental shock as the June 19 pre-announcement. Revenue and EPS slightly exceeded expectations, Rewards membership grew 14%, and management laid out a more aggressive plan around beverage innovation, digital relationships, in-store efficiency and portfolio optimization. The next-day gain therefore looks like relief relative to an expectations bar that had already been reset.
### Verified release source
2018-07-26 | Starbucks | Starbucks Reports Record Q3 Fiscal 2018 Revenues and EPS | https://investor.starbucks.com/news/financial-releases/news-release-details/2018/Starbucks-Reports-Record-Q3-Fiscal-2018-Revenues-and-EPS/default.aspx
## Possible Drivers
**First-order driver.** Shares rose because the 1% comp slowdown had already been pre-announced and the formal revenue/EPS numbers were slightly better than feared.
**Second-order driver.** China’s 2% comp decline was a new concern in what had been Starbucks' strongest growth market.
**Third-order driver.** Store closures, digital initiatives and higher capital returns reframed the story around restructuring rather than near-term comp acceleration.
### Verified reaction source
2018-07-26 | TheStreet | Starbucks Earnings Reveal a Company in Transition | https://www.thestreet.com/investing/starbucks-earnings-reveal-a-company-in-transition-14662481
## Verification Status
Included sources were checked for Starbucks/SBUX identity, the correct earnings event or directly relevant pre-event setup, publication date, timing window and source origin. Starbucks Investor Relations is the factual anchor. No WSJ, Reuters, Dow Jones or MarketWatch-syndicated article is included.
</x:v>
      </x:c>
      <x:c r="N11" s="15" t="str">
        <x:v>2018-06-19 | Starbucks | Starbucks Announces Strategic Priorities and Operational Initiatives to Accelerate Growth and Create Long-Term Shareholder Value | https://investor.starbucks.com/news/financial-releases/news-details/2018/Starbucks-Announces-Strategic-Priorities-and-Operational-Initiatives-to-Accelerate-Growth-and-Create-Long-Term-Shareholder-Value/default.aspx</x:v>
      </x:c>
      <x:c r="O11" s="15" t="str">
        <x:v>2018-07-26 | Starbucks | Starbucks Reports Record Q3 Fiscal 2018 Revenues and EPS | https://investor.starbucks.com/news/financial-releases/news-release-details/2018/Starbucks-Reports-Record-Q3-Fiscal-2018-Revenues-and-EPS/default.aspx</x:v>
      </x:c>
      <x:c r="P11" s="15" t="str">
        <x:v>2018-07-26 | TheStreet | Starbucks Earnings Reveal a Company in Transition | https://www.thestreet.com/investing/starbucks-earnings-reveal-a-company-in-transition-14662481</x:v>
      </x:c>
      <x:c r="Q11" s="15" t="str">
        <x:v>2018-06-19 | Starbucks | Starbucks Announces Strategic Priorities and Operational Initiatives to Accelerate Growth and Create Long-Term Shareholder Value | https://investor.starbucks.com/news/financial-releases/news-details/2018/Starbucks-Announces-Strategic-Priorities-and-Operational-Initiatives-to-Accelerate-Growth-and-Create-Long-Term-Shareholder-Value/default.aspx
2018-07-26 | Starbucks | Starbucks Reports Record Q3 Fiscal 2018 Revenues and EPS | https://investor.starbucks.com/news/financial-releases/news-release-details/2018/Starbucks-Reports-Record-Q3-Fiscal-2018-Revenues-and-EPS/default.aspx
2018-07-26 | TheStreet | Starbucks Earnings Reveal a Company in Transition | https://www.thestreet.com/investing/starbucks-earnings-reveal-a-company-in-transition-14662481</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2016-04-21</x:v>
      </x:c>
      <x:c r="B2" s="12" t="str">
        <x:v>SBUX</x:v>
      </x:c>
      <x:c r="C2" s="12" t="str">
        <x:v>release</x:v>
      </x:c>
      <x:c r="D2" s="12" t="str">
        <x:v>2016-04-21</x:v>
      </x:c>
      <x:c r="E2" s="12" t="n">
        <x:v>0</x:v>
      </x:c>
      <x:c r="F2" s="12" t="str">
        <x:v>Starbucks</x:v>
      </x:c>
      <x:c r="G2" s="12" t="str">
        <x:v>Starbucks Reports Record Q2 Financial and Operating Results; EPS Up 18% to a Q2 Record $0.39 Per Share</x:v>
      </x:c>
      <x:c r="H2" s="12" t="str">
        <x:v>https://investor.starbucks.com/news/financial-releases/news-details/2016/Starbucks-Reports-Record-Q2-Financial-and-Operating-Results-EPS-Up-18-to-a-Q2-Record-039-Per-Share/default.aspx</x:v>
      </x:c>
      <x:c r="I2" s="12" t="str">
        <x:v>OPENED/VERIFIED</x:v>
      </x:c>
      <x:c r="J2" s="12" t="str">
        <x:v>PASS</x:v>
      </x:c>
      <x:c r="K2" s="12" t="str">
        <x:v>PASS</x:v>
      </x:c>
      <x:c r="L2" s="12" t="str">
        <x:v>PASS</x:v>
      </x:c>
      <x:c r="M2" s="12" t="str">
        <x:v>NO</x:v>
      </x:c>
      <x:c r="N2" s="12" t="str">
        <x:v>PASS</x:v>
      </x:c>
      <x:c r="O2" s="12" t="str">
        <x:v>FACTUAL</x:v>
      </x:c>
      <x:c r="P2" s="12" t="str">
        <x:v>PASS</x:v>
      </x:c>
      <x:c r="Q2" s="12" t="str">
        <x:v>Source was checked for Starbucks/SBUX identity, the exact event or directly relevant pre-event setup, displayed publication date, timing window and source-origin restriction.</x:v>
      </x:c>
    </x:row>
    <x:row r="3">
      <x:c r="A3" s="12" t="str">
        <x:v>2016-04-21</x:v>
      </x:c>
      <x:c r="B3" s="12" t="str">
        <x:v>SBUX</x:v>
      </x:c>
      <x:c r="C3" s="12" t="str">
        <x:v>reaction</x:v>
      </x:c>
      <x:c r="D3" s="12" t="str">
        <x:v>2016-04-22</x:v>
      </x:c>
      <x:c r="E3" s="12" t="n">
        <x:v>1</x:v>
      </x:c>
      <x:c r="F3" s="12" t="str">
        <x:v>The Motley Fool</x:v>
      </x:c>
      <x:c r="G3" s="12" t="str">
        <x:v>Starbucks Corporation: Good Quarter or Not? Key Takeaways Investors Should Know</x:v>
      </x:c>
      <x:c r="H3" s="12" t="str">
        <x:v>https://www.fool.com/investing/general/2016/04/22/starbucks-corporation-good-quarter-or-not-key-take.aspx</x:v>
      </x:c>
      <x:c r="I3" s="12" t="str">
        <x:v>OPENED/VERIFIED</x:v>
      </x:c>
      <x:c r="J3" s="12" t="str">
        <x:v>PASS</x:v>
      </x:c>
      <x:c r="K3" s="12" t="str">
        <x:v>PASS</x:v>
      </x:c>
      <x:c r="L3" s="12" t="str">
        <x:v>PASS</x:v>
      </x:c>
      <x:c r="M3" s="12" t="str">
        <x:v>NO</x:v>
      </x:c>
      <x:c r="N3" s="12" t="str">
        <x:v>PASS</x:v>
      </x:c>
      <x:c r="O3" s="12" t="str">
        <x:v>CONTEMPORANEOUS_ATTRIBUTION</x:v>
      </x:c>
      <x:c r="P3" s="12" t="str">
        <x:v>PASS</x:v>
      </x:c>
      <x:c r="Q3" s="12" t="str">
        <x:v>Source was checked for Starbucks/SBUX identity, the exact event or directly relevant pre-event setup, displayed publication date, timing window and source-origin restriction.</x:v>
      </x:c>
    </x:row>
    <x:row r="4">
      <x:c r="A4" s="12" t="str">
        <x:v>2016-07-21</x:v>
      </x:c>
      <x:c r="B4" s="12" t="str">
        <x:v>SBUX</x:v>
      </x:c>
      <x:c r="C4" s="12" t="str">
        <x:v>prior</x:v>
      </x:c>
      <x:c r="D4" s="12" t="str">
        <x:v>2016-04-21</x:v>
      </x:c>
      <x:c r="E4" s="12" t="n">
        <x:v>-91</x:v>
      </x:c>
      <x:c r="F4" s="12" t="str">
        <x:v>Starbucks</x:v>
      </x:c>
      <x:c r="G4" s="12" t="str">
        <x:v>Starbucks Reports Record Q2 Financial and Operating Results; EPS Up 18% to a Q2 Record $0.39 Per Share</x:v>
      </x:c>
      <x:c r="H4" s="12" t="str">
        <x:v>https://investor.starbucks.com/news/financial-releases/news-details/2016/Starbucks-Reports-Record-Q2-Financial-and-Operating-Results-EPS-Up-18-to-a-Q2-Record-039-Per-Share/default.aspx</x:v>
      </x:c>
      <x:c r="I4" s="12" t="str">
        <x:v>OPENED/VERIFIED</x:v>
      </x:c>
      <x:c r="J4" s="12" t="str">
        <x:v>PASS</x:v>
      </x:c>
      <x:c r="K4" s="12" t="str">
        <x:v>PASS</x:v>
      </x:c>
      <x:c r="L4" s="12" t="str">
        <x:v>PASS</x:v>
      </x:c>
      <x:c r="M4" s="12" t="str">
        <x:v>NO</x:v>
      </x:c>
      <x:c r="N4" s="12" t="str">
        <x:v>PASS</x:v>
      </x:c>
      <x:c r="O4" s="12" t="str">
        <x:v>FACTUAL</x:v>
      </x:c>
      <x:c r="P4" s="12" t="str">
        <x:v>PASS</x:v>
      </x:c>
      <x:c r="Q4" s="12" t="str">
        <x:v>Source was checked for Starbucks/SBUX identity, the exact event or directly relevant pre-event setup, displayed publication date, timing window and source-origin restriction.</x:v>
      </x:c>
    </x:row>
    <x:row r="5">
      <x:c r="A5" s="12" t="str">
        <x:v>2016-07-21</x:v>
      </x:c>
      <x:c r="B5" s="12" t="str">
        <x:v>SBUX</x:v>
      </x:c>
      <x:c r="C5" s="12" t="str">
        <x:v>release</x:v>
      </x:c>
      <x:c r="D5" s="12" t="str">
        <x:v>2016-07-21</x:v>
      </x:c>
      <x:c r="E5" s="12" t="n">
        <x:v>0</x:v>
      </x:c>
      <x:c r="F5" s="12" t="str">
        <x:v>Starbucks</x:v>
      </x:c>
      <x:c r="G5" s="12" t="str">
        <x:v>Starbucks Reports Record Q3 Financial and Operating Results</x:v>
      </x:c>
      <x:c r="H5" s="12" t="str">
        <x:v>https://investor.starbucks.com/news/financial-releases/news-details/2016/Starbucks-Reports-Record-Q3-Financial-and-Operating-Results/default.aspx</x:v>
      </x:c>
      <x:c r="I5" s="12" t="str">
        <x:v>OPENED/VERIFIED</x:v>
      </x:c>
      <x:c r="J5" s="12" t="str">
        <x:v>PASS</x:v>
      </x:c>
      <x:c r="K5" s="12" t="str">
        <x:v>PASS</x:v>
      </x:c>
      <x:c r="L5" s="12" t="str">
        <x:v>PASS</x:v>
      </x:c>
      <x:c r="M5" s="12" t="str">
        <x:v>NO</x:v>
      </x:c>
      <x:c r="N5" s="12" t="str">
        <x:v>PASS</x:v>
      </x:c>
      <x:c r="O5" s="12" t="str">
        <x:v>FACTUAL</x:v>
      </x:c>
      <x:c r="P5" s="12" t="str">
        <x:v>PASS</x:v>
      </x:c>
      <x:c r="Q5" s="12" t="str">
        <x:v>Source was checked for Starbucks/SBUX identity, the exact event or directly relevant pre-event setup, displayed publication date, timing window and source-origin restriction.</x:v>
      </x:c>
    </x:row>
    <x:row r="6">
      <x:c r="A6" s="12" t="str">
        <x:v>2016-07-21</x:v>
      </x:c>
      <x:c r="B6" s="12" t="str">
        <x:v>SBUX</x:v>
      </x:c>
      <x:c r="C6" s="12" t="str">
        <x:v>reaction</x:v>
      </x:c>
      <x:c r="D6" s="12" t="str">
        <x:v>2016-07-22</x:v>
      </x:c>
      <x:c r="E6" s="12" t="n">
        <x:v>1</x:v>
      </x:c>
      <x:c r="F6" s="12" t="str">
        <x:v>The Motley Fool</x:v>
      </x:c>
      <x:c r="G6" s="12" t="str">
        <x:v>Starbucks Corporation Reports Record Quarter, But is Growth Turning Lukewarm?</x:v>
      </x:c>
      <x:c r="H6" s="12" t="str">
        <x:v>https://www.fool.com/investing/2016/07/22/starbucks-corporation-reports-record-quarter-but-i.aspx</x:v>
      </x:c>
      <x:c r="I6" s="12" t="str">
        <x:v>OPENED/VERIFIED</x:v>
      </x:c>
      <x:c r="J6" s="12" t="str">
        <x:v>PASS</x:v>
      </x:c>
      <x:c r="K6" s="12" t="str">
        <x:v>PASS</x:v>
      </x:c>
      <x:c r="L6" s="12" t="str">
        <x:v>PASS</x:v>
      </x:c>
      <x:c r="M6" s="12" t="str">
        <x:v>NO</x:v>
      </x:c>
      <x:c r="N6" s="12" t="str">
        <x:v>PASS</x:v>
      </x:c>
      <x:c r="O6" s="12" t="str">
        <x:v>CONTEMPORANEOUS_ATTRIBUTION</x:v>
      </x:c>
      <x:c r="P6" s="12" t="str">
        <x:v>PASS</x:v>
      </x:c>
      <x:c r="Q6" s="12" t="str">
        <x:v>Source was checked for Starbucks/SBUX identity, the exact event or directly relevant pre-event setup, displayed publication date, timing window and source-origin restriction.</x:v>
      </x:c>
    </x:row>
    <x:row r="7">
      <x:c r="A7" s="12" t="str">
        <x:v>2016-11-03</x:v>
      </x:c>
      <x:c r="B7" s="12" t="str">
        <x:v>SBUX</x:v>
      </x:c>
      <x:c r="C7" s="12" t="str">
        <x:v>prior</x:v>
      </x:c>
      <x:c r="D7" s="12" t="str">
        <x:v>2016-10-28</x:v>
      </x:c>
      <x:c r="E7" s="12" t="n">
        <x:v>-6</x:v>
      </x:c>
      <x:c r="F7" s="12" t="str">
        <x:v>TheStreet</x:v>
      </x:c>
      <x:c r="G7" s="12" t="str">
        <x:v>Starbucks (SBUX) Q4 Earnings Results Out Next Week, Analysts Look Ahead</x:v>
      </x:c>
      <x:c r="H7" s="12" t="str">
        <x:v>https://www.thestreet.com/markets/starbucks-sbux-q4-earnings-results-out-next-week-analysts-look-ahead-13872360</x:v>
      </x:c>
      <x:c r="I7" s="12" t="str">
        <x:v>OPENED/VERIFIED</x:v>
      </x:c>
      <x:c r="J7" s="12" t="str">
        <x:v>PASS</x:v>
      </x:c>
      <x:c r="K7" s="12" t="str">
        <x:v>PASS</x:v>
      </x:c>
      <x:c r="L7" s="12" t="str">
        <x:v>PASS</x:v>
      </x:c>
      <x:c r="M7" s="12" t="str">
        <x:v>NO</x:v>
      </x:c>
      <x:c r="N7" s="12" t="str">
        <x:v>PASS</x:v>
      </x:c>
      <x:c r="O7" s="12" t="str">
        <x:v>FACTUAL</x:v>
      </x:c>
      <x:c r="P7" s="12" t="str">
        <x:v>PASS</x:v>
      </x:c>
      <x:c r="Q7" s="12" t="str">
        <x:v>Source was checked for Starbucks/SBUX identity, the exact event or directly relevant pre-event setup, displayed publication date, timing window and source-origin restriction.</x:v>
      </x:c>
    </x:row>
    <x:row r="8">
      <x:c r="A8" s="12" t="str">
        <x:v>2016-11-03</x:v>
      </x:c>
      <x:c r="B8" s="12" t="str">
        <x:v>SBUX</x:v>
      </x:c>
      <x:c r="C8" s="12" t="str">
        <x:v>release</x:v>
      </x:c>
      <x:c r="D8" s="12" t="str">
        <x:v>2016-11-03</x:v>
      </x:c>
      <x:c r="E8" s="12" t="n">
        <x:v>0</x:v>
      </x:c>
      <x:c r="F8" s="12" t="str">
        <x:v>Starbucks</x:v>
      </x:c>
      <x:c r="G8" s="12" t="str">
        <x:v>Starbucks Reports Record Q4 and Record FY16 Results</x:v>
      </x:c>
      <x:c r="H8" s="12" t="str">
        <x:v>https://investor.starbucks.com/news/financial-releases/news-details/2016/Starbucks-Reports-Record-Q4-and-Record-FY16-Results/default.aspx</x:v>
      </x:c>
      <x:c r="I8" s="12" t="str">
        <x:v>OPENED/VERIFIED</x:v>
      </x:c>
      <x:c r="J8" s="12" t="str">
        <x:v>PASS</x:v>
      </x:c>
      <x:c r="K8" s="12" t="str">
        <x:v>PASS</x:v>
      </x:c>
      <x:c r="L8" s="12" t="str">
        <x:v>PASS</x:v>
      </x:c>
      <x:c r="M8" s="12" t="str">
        <x:v>NO</x:v>
      </x:c>
      <x:c r="N8" s="12" t="str">
        <x:v>PASS</x:v>
      </x:c>
      <x:c r="O8" s="12" t="str">
        <x:v>FACTUAL</x:v>
      </x:c>
      <x:c r="P8" s="12" t="str">
        <x:v>PASS</x:v>
      </x:c>
      <x:c r="Q8" s="12" t="str">
        <x:v>Source was checked for Starbucks/SBUX identity, the exact event or directly relevant pre-event setup, displayed publication date, timing window and source-origin restriction.</x:v>
      </x:c>
    </x:row>
    <x:row r="9">
      <x:c r="A9" s="12" t="str">
        <x:v>2016-11-03</x:v>
      </x:c>
      <x:c r="B9" s="12" t="str">
        <x:v>SBUX</x:v>
      </x:c>
      <x:c r="C9" s="12" t="str">
        <x:v>reaction</x:v>
      </x:c>
      <x:c r="D9" s="12" t="str">
        <x:v>2016-11-04</x:v>
      </x:c>
      <x:c r="E9" s="12" t="n">
        <x:v>1</x:v>
      </x:c>
      <x:c r="F9" s="12" t="str">
        <x:v>The Motley Fool</x:v>
      </x:c>
      <x:c r="G9" s="12" t="str">
        <x:v>Starbucks Writes Another Chapter in Its Long Growth Story</x:v>
      </x:c>
      <x:c r="H9" s="12" t="str">
        <x:v>https://www.fool.com/investing/2016/11/04/starbucks-writes-another-chapter-in-its-long-growt.aspx</x:v>
      </x:c>
      <x:c r="I9" s="12" t="str">
        <x:v>OPENED/VERIFIED</x:v>
      </x:c>
      <x:c r="J9" s="12" t="str">
        <x:v>PASS</x:v>
      </x:c>
      <x:c r="K9" s="12" t="str">
        <x:v>PASS</x:v>
      </x:c>
      <x:c r="L9" s="12" t="str">
        <x:v>PASS</x:v>
      </x:c>
      <x:c r="M9" s="12" t="str">
        <x:v>NO</x:v>
      </x:c>
      <x:c r="N9" s="12" t="str">
        <x:v>PASS</x:v>
      </x:c>
      <x:c r="O9" s="12" t="str">
        <x:v>CONTEMPORANEOUS_ATTRIBUTION</x:v>
      </x:c>
      <x:c r="P9" s="12" t="str">
        <x:v>PASS</x:v>
      </x:c>
      <x:c r="Q9" s="12" t="str">
        <x:v>Source was checked for Starbucks/SBUX identity, the exact event or directly relevant pre-event setup, displayed publication date, timing window and source-origin restriction.</x:v>
      </x:c>
    </x:row>
    <x:row r="10">
      <x:c r="A10" s="12" t="str">
        <x:v>2017-01-26</x:v>
      </x:c>
      <x:c r="B10" s="12" t="str">
        <x:v>SBUX</x:v>
      </x:c>
      <x:c r="C10" s="12" t="str">
        <x:v>prior</x:v>
      </x:c>
      <x:c r="D10" s="12" t="str">
        <x:v>2016-11-03</x:v>
      </x:c>
      <x:c r="E10" s="12" t="n">
        <x:v>-84</x:v>
      </x:c>
      <x:c r="F10" s="12" t="str">
        <x:v>Starbucks</x:v>
      </x:c>
      <x:c r="G10" s="12" t="str">
        <x:v>Starbucks Reports Record Q4 and Record FY16 Results</x:v>
      </x:c>
      <x:c r="H10" s="12" t="str">
        <x:v>https://investor.starbucks.com/news/financial-releases/news-details/2016/Starbucks-Reports-Record-Q4-and-Record-FY16-Results/default.aspx</x:v>
      </x:c>
      <x:c r="I10" s="12" t="str">
        <x:v>OPENED/VERIFIED</x:v>
      </x:c>
      <x:c r="J10" s="12" t="str">
        <x:v>PASS</x:v>
      </x:c>
      <x:c r="K10" s="12" t="str">
        <x:v>PASS</x:v>
      </x:c>
      <x:c r="L10" s="12" t="str">
        <x:v>PASS</x:v>
      </x:c>
      <x:c r="M10" s="12" t="str">
        <x:v>NO</x:v>
      </x:c>
      <x:c r="N10" s="12" t="str">
        <x:v>PASS</x:v>
      </x:c>
      <x:c r="O10" s="12" t="str">
        <x:v>FACTUAL</x:v>
      </x:c>
      <x:c r="P10" s="12" t="str">
        <x:v>PASS</x:v>
      </x:c>
      <x:c r="Q10" s="12" t="str">
        <x:v>Source was checked for Starbucks/SBUX identity, the exact event or directly relevant pre-event setup, displayed publication date, timing window and source-origin restriction.</x:v>
      </x:c>
    </x:row>
    <x:row r="11">
      <x:c r="A11" s="12" t="str">
        <x:v>2017-01-26</x:v>
      </x:c>
      <x:c r="B11" s="12" t="str">
        <x:v>SBUX</x:v>
      </x:c>
      <x:c r="C11" s="12" t="str">
        <x:v>release</x:v>
      </x:c>
      <x:c r="D11" s="12" t="str">
        <x:v>2017-01-26</x:v>
      </x:c>
      <x:c r="E11" s="12" t="n">
        <x:v>0</x:v>
      </x:c>
      <x:c r="F11" s="12" t="str">
        <x:v>Starbucks</x:v>
      </x:c>
      <x:c r="G11" s="12" t="str">
        <x:v>Starbucks Reports Record Holiday and Record Q1 FY17 Results</x:v>
      </x:c>
      <x:c r="H11" s="12" t="str">
        <x:v>https://investor.starbucks.com/news/financial-releases/news-details/2017/Starbucks-Reports-Record-Holiday-and-Record-Q1-FY17-Results/default.aspx</x:v>
      </x:c>
      <x:c r="I11" s="12" t="str">
        <x:v>OPENED/VERIFIED</x:v>
      </x:c>
      <x:c r="J11" s="12" t="str">
        <x:v>PASS</x:v>
      </x:c>
      <x:c r="K11" s="12" t="str">
        <x:v>PASS</x:v>
      </x:c>
      <x:c r="L11" s="12" t="str">
        <x:v>PASS</x:v>
      </x:c>
      <x:c r="M11" s="12" t="str">
        <x:v>NO</x:v>
      </x:c>
      <x:c r="N11" s="12" t="str">
        <x:v>PASS</x:v>
      </x:c>
      <x:c r="O11" s="12" t="str">
        <x:v>FACTUAL</x:v>
      </x:c>
      <x:c r="P11" s="12" t="str">
        <x:v>PASS</x:v>
      </x:c>
      <x:c r="Q11" s="12" t="str">
        <x:v>Source was checked for Starbucks/SBUX identity, the exact event or directly relevant pre-event setup, displayed publication date, timing window and source-origin restriction.</x:v>
      </x:c>
    </x:row>
    <x:row r="12">
      <x:c r="A12" s="12" t="str">
        <x:v>2017-01-26</x:v>
      </x:c>
      <x:c r="B12" s="12" t="str">
        <x:v>SBUX</x:v>
      </x:c>
      <x:c r="C12" s="12" t="str">
        <x:v>reaction</x:v>
      </x:c>
      <x:c r="D12" s="12" t="str">
        <x:v>2017-01-27</x:v>
      </x:c>
      <x:c r="E12" s="12" t="n">
        <x:v>1</x:v>
      </x:c>
      <x:c r="F12" s="12" t="str">
        <x:v>The Motley Fool</x:v>
      </x:c>
      <x:c r="G12" s="12" t="str">
        <x:v>7 Telling Metrics From Starbucks Corporation's First Quarter</x:v>
      </x:c>
      <x:c r="H12" s="12" t="str">
        <x:v>https://www.fool.com/investing/2017/01/27/7-telling-metrics-from-starbucks-corporations-firs.aspx</x:v>
      </x:c>
      <x:c r="I12" s="12" t="str">
        <x:v>OPENED/VERIFIED</x:v>
      </x:c>
      <x:c r="J12" s="12" t="str">
        <x:v>PASS</x:v>
      </x:c>
      <x:c r="K12" s="12" t="str">
        <x:v>PASS</x:v>
      </x:c>
      <x:c r="L12" s="12" t="str">
        <x:v>PASS</x:v>
      </x:c>
      <x:c r="M12" s="12" t="str">
        <x:v>NO</x:v>
      </x:c>
      <x:c r="N12" s="12" t="str">
        <x:v>PASS</x:v>
      </x:c>
      <x:c r="O12" s="12" t="str">
        <x:v>CONTEMPORANEOUS_ATTRIBUTION</x:v>
      </x:c>
      <x:c r="P12" s="12" t="str">
        <x:v>PASS</x:v>
      </x:c>
      <x:c r="Q12" s="12" t="str">
        <x:v>Source was checked for Starbucks/SBUX identity, the exact event or directly relevant pre-event setup, displayed publication date, timing window and source-origin restriction.</x:v>
      </x:c>
    </x:row>
    <x:row r="13">
      <x:c r="A13" s="12" t="str">
        <x:v>2017-04-27</x:v>
      </x:c>
      <x:c r="B13" s="12" t="str">
        <x:v>SBUX</x:v>
      </x:c>
      <x:c r="C13" s="12" t="str">
        <x:v>prior</x:v>
      </x:c>
      <x:c r="D13" s="12" t="str">
        <x:v>2017-01-26</x:v>
      </x:c>
      <x:c r="E13" s="12" t="n">
        <x:v>-91</x:v>
      </x:c>
      <x:c r="F13" s="12" t="str">
        <x:v>Starbucks</x:v>
      </x:c>
      <x:c r="G13" s="12" t="str">
        <x:v>Starbucks Reports Record Holiday and Record Q1 FY17 Results</x:v>
      </x:c>
      <x:c r="H13" s="12" t="str">
        <x:v>https://investor.starbucks.com/news/financial-releases/news-details/2017/Starbucks-Reports-Record-Holiday-and-Record-Q1-FY17-Results/default.aspx</x:v>
      </x:c>
      <x:c r="I13" s="12" t="str">
        <x:v>OPENED/VERIFIED</x:v>
      </x:c>
      <x:c r="J13" s="12" t="str">
        <x:v>PASS</x:v>
      </x:c>
      <x:c r="K13" s="12" t="str">
        <x:v>PASS</x:v>
      </x:c>
      <x:c r="L13" s="12" t="str">
        <x:v>PASS</x:v>
      </x:c>
      <x:c r="M13" s="12" t="str">
        <x:v>NO</x:v>
      </x:c>
      <x:c r="N13" s="12" t="str">
        <x:v>PASS</x:v>
      </x:c>
      <x:c r="O13" s="12" t="str">
        <x:v>FACTUAL</x:v>
      </x:c>
      <x:c r="P13" s="12" t="str">
        <x:v>PASS</x:v>
      </x:c>
      <x:c r="Q13" s="12" t="str">
        <x:v>Source was checked for Starbucks/SBUX identity, the exact event or directly relevant pre-event setup, displayed publication date, timing window and source-origin restriction.</x:v>
      </x:c>
    </x:row>
    <x:row r="14">
      <x:c r="A14" s="12" t="str">
        <x:v>2017-04-27</x:v>
      </x:c>
      <x:c r="B14" s="12" t="str">
        <x:v>SBUX</x:v>
      </x:c>
      <x:c r="C14" s="12" t="str">
        <x:v>release</x:v>
      </x:c>
      <x:c r="D14" s="12" t="str">
        <x:v>2017-04-27</x:v>
      </x:c>
      <x:c r="E14" s="12" t="n">
        <x:v>0</x:v>
      </x:c>
      <x:c r="F14" s="12" t="str">
        <x:v>Starbucks</x:v>
      </x:c>
      <x:c r="G14" s="12" t="str">
        <x:v>Starbucks Reports Record Q2 FY17 Revenues and EPS</x:v>
      </x:c>
      <x:c r="H14" s="12" t="str">
        <x:v>https://investor.starbucks.com/news/financial-releases/news-details/2017/Starbucks-Reports-Record-Q2-FY17-Revenues-and-EPS/default.aspx</x:v>
      </x:c>
      <x:c r="I14" s="12" t="str">
        <x:v>OPENED/VERIFIED</x:v>
      </x:c>
      <x:c r="J14" s="12" t="str">
        <x:v>PASS</x:v>
      </x:c>
      <x:c r="K14" s="12" t="str">
        <x:v>PASS</x:v>
      </x:c>
      <x:c r="L14" s="12" t="str">
        <x:v>PASS</x:v>
      </x:c>
      <x:c r="M14" s="12" t="str">
        <x:v>NO</x:v>
      </x:c>
      <x:c r="N14" s="12" t="str">
        <x:v>PASS</x:v>
      </x:c>
      <x:c r="O14" s="12" t="str">
        <x:v>FACTUAL</x:v>
      </x:c>
      <x:c r="P14" s="12" t="str">
        <x:v>PASS</x:v>
      </x:c>
      <x:c r="Q14" s="12" t="str">
        <x:v>Source was checked for Starbucks/SBUX identity, the exact event or directly relevant pre-event setup, displayed publication date, timing window and source-origin restriction.</x:v>
      </x:c>
    </x:row>
    <x:row r="15">
      <x:c r="A15" s="12" t="str">
        <x:v>2017-04-27</x:v>
      </x:c>
      <x:c r="B15" s="12" t="str">
        <x:v>SBUX</x:v>
      </x:c>
      <x:c r="C15" s="12" t="str">
        <x:v>reaction</x:v>
      </x:c>
      <x:c r="D15" s="12" t="str">
        <x:v>2017-04-28</x:v>
      </x:c>
      <x:c r="E15" s="12" t="n">
        <x:v>1</x:v>
      </x:c>
      <x:c r="F15" s="12" t="str">
        <x:v>The Motley Fool</x:v>
      </x:c>
      <x:c r="G15" s="12" t="str">
        <x:v>Starbucks Corporation Delivers Record Earnings, but 1 Important Metric Is Getting All the Attention</x:v>
      </x:c>
      <x:c r="H15" s="12" t="str">
        <x:v>https://www.fool.com/investing/2017/04/28/starbucks-corporation-delivers-record-earnings-but.aspx</x:v>
      </x:c>
      <x:c r="I15" s="12" t="str">
        <x:v>OPENED/VERIFIED</x:v>
      </x:c>
      <x:c r="J15" s="12" t="str">
        <x:v>PASS</x:v>
      </x:c>
      <x:c r="K15" s="12" t="str">
        <x:v>PASS</x:v>
      </x:c>
      <x:c r="L15" s="12" t="str">
        <x:v>PASS</x:v>
      </x:c>
      <x:c r="M15" s="12" t="str">
        <x:v>NO</x:v>
      </x:c>
      <x:c r="N15" s="12" t="str">
        <x:v>PASS</x:v>
      </x:c>
      <x:c r="O15" s="12" t="str">
        <x:v>CONTEMPORANEOUS_ATTRIBUTION</x:v>
      </x:c>
      <x:c r="P15" s="12" t="str">
        <x:v>PASS</x:v>
      </x:c>
      <x:c r="Q15" s="12" t="str">
        <x:v>Source was checked for Starbucks/SBUX identity, the exact event or directly relevant pre-event setup, displayed publication date, timing window and source-origin restriction.</x:v>
      </x:c>
    </x:row>
    <x:row r="16">
      <x:c r="A16" s="12" t="str">
        <x:v>2017-07-27</x:v>
      </x:c>
      <x:c r="B16" s="12" t="str">
        <x:v>SBUX</x:v>
      </x:c>
      <x:c r="C16" s="12" t="str">
        <x:v>prior</x:v>
      </x:c>
      <x:c r="D16" s="12" t="str">
        <x:v>2017-04-27</x:v>
      </x:c>
      <x:c r="E16" s="12" t="n">
        <x:v>-91</x:v>
      </x:c>
      <x:c r="F16" s="12" t="str">
        <x:v>Starbucks</x:v>
      </x:c>
      <x:c r="G16" s="12" t="str">
        <x:v>Starbucks Reports Record Q2 FY17 Revenues and EPS</x:v>
      </x:c>
      <x:c r="H16" s="12" t="str">
        <x:v>https://investor.starbucks.com/news/financial-releases/news-details/2017/Starbucks-Reports-Record-Q2-FY17-Revenues-and-EPS/default.aspx</x:v>
      </x:c>
      <x:c r="I16" s="12" t="str">
        <x:v>OPENED/VERIFIED</x:v>
      </x:c>
      <x:c r="J16" s="12" t="str">
        <x:v>PASS</x:v>
      </x:c>
      <x:c r="K16" s="12" t="str">
        <x:v>PASS</x:v>
      </x:c>
      <x:c r="L16" s="12" t="str">
        <x:v>PASS</x:v>
      </x:c>
      <x:c r="M16" s="12" t="str">
        <x:v>NO</x:v>
      </x:c>
      <x:c r="N16" s="12" t="str">
        <x:v>PASS</x:v>
      </x:c>
      <x:c r="O16" s="12" t="str">
        <x:v>FACTUAL</x:v>
      </x:c>
      <x:c r="P16" s="12" t="str">
        <x:v>PASS</x:v>
      </x:c>
      <x:c r="Q16" s="12" t="str">
        <x:v>Source was checked for Starbucks/SBUX identity, the exact event or directly relevant pre-event setup, displayed publication date, timing window and source-origin restriction.</x:v>
      </x:c>
    </x:row>
    <x:row r="17">
      <x:c r="A17" s="12" t="str">
        <x:v>2017-07-27</x:v>
      </x:c>
      <x:c r="B17" s="12" t="str">
        <x:v>SBUX</x:v>
      </x:c>
      <x:c r="C17" s="12" t="str">
        <x:v>release</x:v>
      </x:c>
      <x:c r="D17" s="12" t="str">
        <x:v>2017-07-27</x:v>
      </x:c>
      <x:c r="E17" s="12" t="n">
        <x:v>0</x:v>
      </x:c>
      <x:c r="F17" s="12" t="str">
        <x:v>Starbucks</x:v>
      </x:c>
      <x:c r="G17" s="12" t="str">
        <x:v>Starbucks Reports Record Q3 Financial and Operating Results; Company Announces Strategic Actions to Advance Growth Agenda and Increase Returns</x:v>
      </x:c>
      <x:c r="H17" s="12" t="str">
        <x:v>https://investor.starbucks.com/news/financial-releases/news-details/2017/Starbucks-Reports-Record-Q3-Financial-and-Operating-Results-Company-Announces-Strategic-Actions-to-Advance-Growth-Agenda-and-Increase-Returns/default.aspx</x:v>
      </x:c>
      <x:c r="I17" s="12" t="str">
        <x:v>OPENED/VERIFIED</x:v>
      </x:c>
      <x:c r="J17" s="12" t="str">
        <x:v>PASS</x:v>
      </x:c>
      <x:c r="K17" s="12" t="str">
        <x:v>PASS</x:v>
      </x:c>
      <x:c r="L17" s="12" t="str">
        <x:v>PASS</x:v>
      </x:c>
      <x:c r="M17" s="12" t="str">
        <x:v>NO</x:v>
      </x:c>
      <x:c r="N17" s="12" t="str">
        <x:v>PASS</x:v>
      </x:c>
      <x:c r="O17" s="12" t="str">
        <x:v>FACTUAL</x:v>
      </x:c>
      <x:c r="P17" s="12" t="str">
        <x:v>PASS</x:v>
      </x:c>
      <x:c r="Q17" s="12" t="str">
        <x:v>Source was checked for Starbucks/SBUX identity, the exact event or directly relevant pre-event setup, displayed publication date, timing window and source-origin restriction.</x:v>
      </x:c>
    </x:row>
    <x:row r="18">
      <x:c r="A18" s="12" t="str">
        <x:v>2017-07-27</x:v>
      </x:c>
      <x:c r="B18" s="12" t="str">
        <x:v>SBUX</x:v>
      </x:c>
      <x:c r="C18" s="12" t="str">
        <x:v>reaction</x:v>
      </x:c>
      <x:c r="D18" s="12" t="str">
        <x:v>2017-07-28</x:v>
      </x:c>
      <x:c r="E18" s="12" t="n">
        <x:v>1</x:v>
      </x:c>
      <x:c r="F18" s="12" t="str">
        <x:v>TheStreet</x:v>
      </x:c>
      <x:c r="G18" s="12" t="str">
        <x:v>Amazon and Starbucks Have More Than 20% Upside Despite Earnings Whiff: Analyst</x:v>
      </x:c>
      <x:c r="H18" s="12" t="str">
        <x:v>https://www.thestreet.com/investing/stocks/amazon-and-starbucks-have-more-than-20-upside-despite-earnings-whiff-analyst-14247406</x:v>
      </x:c>
      <x:c r="I18" s="12" t="str">
        <x:v>OPENED/VERIFIED</x:v>
      </x:c>
      <x:c r="J18" s="12" t="str">
        <x:v>PASS</x:v>
      </x:c>
      <x:c r="K18" s="12" t="str">
        <x:v>PASS</x:v>
      </x:c>
      <x:c r="L18" s="12" t="str">
        <x:v>PASS</x:v>
      </x:c>
      <x:c r="M18" s="12" t="str">
        <x:v>NO</x:v>
      </x:c>
      <x:c r="N18" s="12" t="str">
        <x:v>PASS</x:v>
      </x:c>
      <x:c r="O18" s="12" t="str">
        <x:v>CONTEMPORANEOUS_ATTRIBUTION</x:v>
      </x:c>
      <x:c r="P18" s="12" t="str">
        <x:v>PASS</x:v>
      </x:c>
      <x:c r="Q18" s="12" t="str">
        <x:v>Source was checked for Starbucks/SBUX identity, the exact event or directly relevant pre-event setup, displayed publication date, timing window and source-origin restriction.</x:v>
      </x:c>
    </x:row>
    <x:row r="19">
      <x:c r="A19" s="12" t="str">
        <x:v>2017-11-02</x:v>
      </x:c>
      <x:c r="B19" s="12" t="str">
        <x:v>SBUX</x:v>
      </x:c>
      <x:c r="C19" s="12" t="str">
        <x:v>prior</x:v>
      </x:c>
      <x:c r="D19" s="12" t="str">
        <x:v>2017-07-27</x:v>
      </x:c>
      <x:c r="E19" s="12" t="n">
        <x:v>-98</x:v>
      </x:c>
      <x:c r="F19" s="12" t="str">
        <x:v>Starbucks</x:v>
      </x:c>
      <x:c r="G19" s="12" t="str">
        <x:v>Starbucks Reports Record Q3 Financial and Operating Results; Company Announces Strategic Actions to Advance Growth Agenda and Increase Returns</x:v>
      </x:c>
      <x:c r="H19" s="12" t="str">
        <x:v>https://investor.starbucks.com/news/financial-releases/news-details/2017/Starbucks-Reports-Record-Q3-Financial-and-Operating-Results-Company-Announces-Strategic-Actions-to-Advance-Growth-Agenda-and-Increase-Returns/default.aspx</x:v>
      </x:c>
      <x:c r="I19" s="12" t="str">
        <x:v>OPENED/VERIFIED</x:v>
      </x:c>
      <x:c r="J19" s="12" t="str">
        <x:v>PASS</x:v>
      </x:c>
      <x:c r="K19" s="12" t="str">
        <x:v>PASS</x:v>
      </x:c>
      <x:c r="L19" s="12" t="str">
        <x:v>PASS</x:v>
      </x:c>
      <x:c r="M19" s="12" t="str">
        <x:v>NO</x:v>
      </x:c>
      <x:c r="N19" s="12" t="str">
        <x:v>PASS</x:v>
      </x:c>
      <x:c r="O19" s="12" t="str">
        <x:v>FACTUAL</x:v>
      </x:c>
      <x:c r="P19" s="12" t="str">
        <x:v>PASS</x:v>
      </x:c>
      <x:c r="Q19" s="12" t="str">
        <x:v>Source was checked for Starbucks/SBUX identity, the exact event or directly relevant pre-event setup, displayed publication date, timing window and source-origin restriction.</x:v>
      </x:c>
    </x:row>
    <x:row r="20">
      <x:c r="A20" s="12" t="str">
        <x:v>2017-11-02</x:v>
      </x:c>
      <x:c r="B20" s="12" t="str">
        <x:v>SBUX</x:v>
      </x:c>
      <x:c r="C20" s="12" t="str">
        <x:v>release</x:v>
      </x:c>
      <x:c r="D20" s="12" t="str">
        <x:v>2017-11-02</x:v>
      </x:c>
      <x:c r="E20" s="12" t="n">
        <x:v>0</x:v>
      </x:c>
      <x:c r="F20" s="12" t="str">
        <x:v>Starbucks</x:v>
      </x:c>
      <x:c r="G20" s="12" t="str">
        <x:v>Starbucks Reports Q4 and Full Year Fiscal 2017 Results</x:v>
      </x:c>
      <x:c r="H20" s="12" t="str">
        <x:v>https://investor.starbucks.com/news/financial-releases/news-details/2017/Starbucks-Reports-Q4-and-Full-Year-Fiscal-2017-Results/default.aspx</x:v>
      </x:c>
      <x:c r="I20" s="12" t="str">
        <x:v>OPENED/VERIFIED</x:v>
      </x:c>
      <x:c r="J20" s="12" t="str">
        <x:v>PASS</x:v>
      </x:c>
      <x:c r="K20" s="12" t="str">
        <x:v>PASS</x:v>
      </x:c>
      <x:c r="L20" s="12" t="str">
        <x:v>PASS</x:v>
      </x:c>
      <x:c r="M20" s="12" t="str">
        <x:v>NO</x:v>
      </x:c>
      <x:c r="N20" s="12" t="str">
        <x:v>PASS</x:v>
      </x:c>
      <x:c r="O20" s="12" t="str">
        <x:v>FACTUAL</x:v>
      </x:c>
      <x:c r="P20" s="12" t="str">
        <x:v>PASS</x:v>
      </x:c>
      <x:c r="Q20" s="12" t="str">
        <x:v>Source was checked for Starbucks/SBUX identity, the exact event or directly relevant pre-event setup, displayed publication date, timing window and source-origin restriction.</x:v>
      </x:c>
    </x:row>
    <x:row r="21">
      <x:c r="A21" s="12" t="str">
        <x:v>2017-11-02</x:v>
      </x:c>
      <x:c r="B21" s="12" t="str">
        <x:v>SBUX</x:v>
      </x:c>
      <x:c r="C21" s="12" t="str">
        <x:v>reaction</x:v>
      </x:c>
      <x:c r="D21" s="12" t="str">
        <x:v>2017-11-03</x:v>
      </x:c>
      <x:c r="E21" s="12" t="n">
        <x:v>1</x:v>
      </x:c>
      <x:c r="F21" s="12" t="str">
        <x:v>TheStreet</x:v>
      </x:c>
      <x:c r="G21" s="12" t="str">
        <x:v>Buy Starbucks' (SBUX) Friday Earnings Breakout</x:v>
      </x:c>
      <x:c r="H21" s="12" t="str">
        <x:v>https://www.thestreet.com/investing/stocks/buy-starbucks-earnings-breakout-14375080</x:v>
      </x:c>
      <x:c r="I21" s="12" t="str">
        <x:v>OPENED/VERIFIED</x:v>
      </x:c>
      <x:c r="J21" s="12" t="str">
        <x:v>PASS</x:v>
      </x:c>
      <x:c r="K21" s="12" t="str">
        <x:v>PASS</x:v>
      </x:c>
      <x:c r="L21" s="12" t="str">
        <x:v>PASS</x:v>
      </x:c>
      <x:c r="M21" s="12" t="str">
        <x:v>NO</x:v>
      </x:c>
      <x:c r="N21" s="12" t="str">
        <x:v>PASS</x:v>
      </x:c>
      <x:c r="O21" s="12" t="str">
        <x:v>CONTEMPORANEOUS_ATTRIBUTION</x:v>
      </x:c>
      <x:c r="P21" s="12" t="str">
        <x:v>PASS</x:v>
      </x:c>
      <x:c r="Q21" s="12" t="str">
        <x:v>Source was checked for Starbucks/SBUX identity, the exact event or directly relevant pre-event setup, displayed publication date, timing window and source-origin restriction.</x:v>
      </x:c>
    </x:row>
    <x:row r="22">
      <x:c r="A22" s="12" t="str">
        <x:v>2018-01-25</x:v>
      </x:c>
      <x:c r="B22" s="12" t="str">
        <x:v>SBUX</x:v>
      </x:c>
      <x:c r="C22" s="12" t="str">
        <x:v>prior</x:v>
      </x:c>
      <x:c r="D22" s="12" t="str">
        <x:v>2017-11-02</x:v>
      </x:c>
      <x:c r="E22" s="12" t="n">
        <x:v>-84</x:v>
      </x:c>
      <x:c r="F22" s="12" t="str">
        <x:v>Starbucks</x:v>
      </x:c>
      <x:c r="G22" s="12" t="str">
        <x:v>Starbucks Reports Q4 and Full Year Fiscal 2017 Results</x:v>
      </x:c>
      <x:c r="H22" s="12" t="str">
        <x:v>https://investor.starbucks.com/news/financial-releases/news-details/2017/Starbucks-Reports-Q4-and-Full-Year-Fiscal-2017-Results/default.aspx</x:v>
      </x:c>
      <x:c r="I22" s="12" t="str">
        <x:v>OPENED/VERIFIED</x:v>
      </x:c>
      <x:c r="J22" s="12" t="str">
        <x:v>PASS</x:v>
      </x:c>
      <x:c r="K22" s="12" t="str">
        <x:v>PASS</x:v>
      </x:c>
      <x:c r="L22" s="12" t="str">
        <x:v>PASS</x:v>
      </x:c>
      <x:c r="M22" s="12" t="str">
        <x:v>NO</x:v>
      </x:c>
      <x:c r="N22" s="12" t="str">
        <x:v>PASS</x:v>
      </x:c>
      <x:c r="O22" s="12" t="str">
        <x:v>FACTUAL</x:v>
      </x:c>
      <x:c r="P22" s="12" t="str">
        <x:v>PASS</x:v>
      </x:c>
      <x:c r="Q22" s="12" t="str">
        <x:v>Source was checked for Starbucks/SBUX identity, the exact event or directly relevant pre-event setup, displayed publication date, timing window and source-origin restriction.</x:v>
      </x:c>
    </x:row>
    <x:row r="23">
      <x:c r="A23" s="12" t="str">
        <x:v>2018-01-25</x:v>
      </x:c>
      <x:c r="B23" s="12" t="str">
        <x:v>SBUX</x:v>
      </x:c>
      <x:c r="C23" s="12" t="str">
        <x:v>release</x:v>
      </x:c>
      <x:c r="D23" s="12" t="str">
        <x:v>2018-01-25</x:v>
      </x:c>
      <x:c r="E23" s="12" t="n">
        <x:v>0</x:v>
      </x:c>
      <x:c r="F23" s="12" t="str">
        <x:v>Starbucks</x:v>
      </x:c>
      <x:c r="G23" s="12" t="str">
        <x:v>Starbucks Reports Record Q1 Fiscal 2018 Results</x:v>
      </x:c>
      <x:c r="H23" s="12" t="str">
        <x:v>https://investor.starbucks.com/news/financial-releases/news-details/2018/Starbucks-Reports-Record-Q1-Fiscal-2018-Results/default.aspx</x:v>
      </x:c>
      <x:c r="I23" s="12" t="str">
        <x:v>OPENED/VERIFIED</x:v>
      </x:c>
      <x:c r="J23" s="12" t="str">
        <x:v>PASS</x:v>
      </x:c>
      <x:c r="K23" s="12" t="str">
        <x:v>PASS</x:v>
      </x:c>
      <x:c r="L23" s="12" t="str">
        <x:v>PASS</x:v>
      </x:c>
      <x:c r="M23" s="12" t="str">
        <x:v>NO</x:v>
      </x:c>
      <x:c r="N23" s="12" t="str">
        <x:v>PASS</x:v>
      </x:c>
      <x:c r="O23" s="12" t="str">
        <x:v>FACTUAL</x:v>
      </x:c>
      <x:c r="P23" s="12" t="str">
        <x:v>PASS</x:v>
      </x:c>
      <x:c r="Q23" s="12" t="str">
        <x:v>Source was checked for Starbucks/SBUX identity, the exact event or directly relevant pre-event setup, displayed publication date, timing window and source-origin restriction.</x:v>
      </x:c>
    </x:row>
    <x:row r="24">
      <x:c r="A24" s="12" t="str">
        <x:v>2018-01-25</x:v>
      </x:c>
      <x:c r="B24" s="12" t="str">
        <x:v>SBUX</x:v>
      </x:c>
      <x:c r="C24" s="12" t="str">
        <x:v>reaction</x:v>
      </x:c>
      <x:c r="D24" s="12" t="str">
        <x:v>2018-01-26</x:v>
      </x:c>
      <x:c r="E24" s="12" t="n">
        <x:v>1</x:v>
      </x:c>
      <x:c r="F24" s="12" t="str">
        <x:v>The Motley Fool</x:v>
      </x:c>
      <x:c r="G24" s="12" t="str">
        <x:v>Starbucks Corporation Stock Down 6% Today: Here's Why</x:v>
      </x:c>
      <x:c r="H24" s="12" t="str">
        <x:v>https://www.fool.com/investing/2018/01/26/starbucks-corporation-stock-down-6-today-heres-why.aspx</x:v>
      </x:c>
      <x:c r="I24" s="12" t="str">
        <x:v>OPENED/VERIFIED</x:v>
      </x:c>
      <x:c r="J24" s="12" t="str">
        <x:v>PASS</x:v>
      </x:c>
      <x:c r="K24" s="12" t="str">
        <x:v>PASS</x:v>
      </x:c>
      <x:c r="L24" s="12" t="str">
        <x:v>PASS</x:v>
      </x:c>
      <x:c r="M24" s="12" t="str">
        <x:v>NO</x:v>
      </x:c>
      <x:c r="N24" s="12" t="str">
        <x:v>PASS</x:v>
      </x:c>
      <x:c r="O24" s="12" t="str">
        <x:v>CONTEMPORANEOUS_ATTRIBUTION</x:v>
      </x:c>
      <x:c r="P24" s="12" t="str">
        <x:v>PASS</x:v>
      </x:c>
      <x:c r="Q24" s="12" t="str">
        <x:v>Source was checked for Starbucks/SBUX identity, the exact event or directly relevant pre-event setup, displayed publication date, timing window and source-origin restriction.</x:v>
      </x:c>
    </x:row>
    <x:row r="25">
      <x:c r="A25" s="12" t="str">
        <x:v>2018-04-26</x:v>
      </x:c>
      <x:c r="B25" s="12" t="str">
        <x:v>SBUX</x:v>
      </x:c>
      <x:c r="C25" s="12" t="str">
        <x:v>prior</x:v>
      </x:c>
      <x:c r="D25" s="12" t="str">
        <x:v>2018-01-25</x:v>
      </x:c>
      <x:c r="E25" s="12" t="n">
        <x:v>-91</x:v>
      </x:c>
      <x:c r="F25" s="12" t="str">
        <x:v>Starbucks</x:v>
      </x:c>
      <x:c r="G25" s="12" t="str">
        <x:v>Starbucks Reports Record Q1 Fiscal 2018 Results</x:v>
      </x:c>
      <x:c r="H25" s="12" t="str">
        <x:v>https://investor.starbucks.com/news/financial-releases/news-details/2018/Starbucks-Reports-Record-Q1-Fiscal-2018-Results/default.aspx</x:v>
      </x:c>
      <x:c r="I25" s="12" t="str">
        <x:v>OPENED/VERIFIED</x:v>
      </x:c>
      <x:c r="J25" s="12" t="str">
        <x:v>PASS</x:v>
      </x:c>
      <x:c r="K25" s="12" t="str">
        <x:v>PASS</x:v>
      </x:c>
      <x:c r="L25" s="12" t="str">
        <x:v>PASS</x:v>
      </x:c>
      <x:c r="M25" s="12" t="str">
        <x:v>NO</x:v>
      </x:c>
      <x:c r="N25" s="12" t="str">
        <x:v>PASS</x:v>
      </x:c>
      <x:c r="O25" s="12" t="str">
        <x:v>FACTUAL</x:v>
      </x:c>
      <x:c r="P25" s="12" t="str">
        <x:v>PASS</x:v>
      </x:c>
      <x:c r="Q25" s="12" t="str">
        <x:v>Source was checked for Starbucks/SBUX identity, the exact event or directly relevant pre-event setup, displayed publication date, timing window and source-origin restriction.</x:v>
      </x:c>
    </x:row>
    <x:row r="26">
      <x:c r="A26" s="12" t="str">
        <x:v>2018-04-26</x:v>
      </x:c>
      <x:c r="B26" s="12" t="str">
        <x:v>SBUX</x:v>
      </x:c>
      <x:c r="C26" s="12" t="str">
        <x:v>release</x:v>
      </x:c>
      <x:c r="D26" s="12" t="str">
        <x:v>2018-04-26</x:v>
      </x:c>
      <x:c r="E26" s="12" t="n">
        <x:v>0</x:v>
      </x:c>
      <x:c r="F26" s="12" t="str">
        <x:v>Starbucks</x:v>
      </x:c>
      <x:c r="G26" s="12" t="str">
        <x:v>Starbucks Reports Record Q2 Fiscal 2018 Results</x:v>
      </x:c>
      <x:c r="H26" s="12" t="str">
        <x:v>https://investor.starbucks.com/news/financial-releases/news-details/2018/Starbucks-Reports-Record-Q2-Fiscal-2018-Results/default.aspx</x:v>
      </x:c>
      <x:c r="I26" s="12" t="str">
        <x:v>OPENED/VERIFIED</x:v>
      </x:c>
      <x:c r="J26" s="12" t="str">
        <x:v>PASS</x:v>
      </x:c>
      <x:c r="K26" s="12" t="str">
        <x:v>PASS</x:v>
      </x:c>
      <x:c r="L26" s="12" t="str">
        <x:v>PASS</x:v>
      </x:c>
      <x:c r="M26" s="12" t="str">
        <x:v>NO</x:v>
      </x:c>
      <x:c r="N26" s="12" t="str">
        <x:v>PASS</x:v>
      </x:c>
      <x:c r="O26" s="12" t="str">
        <x:v>FACTUAL</x:v>
      </x:c>
      <x:c r="P26" s="12" t="str">
        <x:v>PASS</x:v>
      </x:c>
      <x:c r="Q26" s="12" t="str">
        <x:v>Source was checked for Starbucks/SBUX identity, the exact event or directly relevant pre-event setup, displayed publication date, timing window and source-origin restriction.</x:v>
      </x:c>
    </x:row>
    <x:row r="27">
      <x:c r="A27" s="12" t="str">
        <x:v>2018-04-26</x:v>
      </x:c>
      <x:c r="B27" s="12" t="str">
        <x:v>SBUX</x:v>
      </x:c>
      <x:c r="C27" s="12" t="str">
        <x:v>reaction</x:v>
      </x:c>
      <x:c r="D27" s="12" t="str">
        <x:v>2018-04-27</x:v>
      </x:c>
      <x:c r="E27" s="12" t="n">
        <x:v>1</x:v>
      </x:c>
      <x:c r="F27" s="12" t="str">
        <x:v>The Motley Fool</x:v>
      </x:c>
      <x:c r="G27" s="12" t="str">
        <x:v>The Details Matter in Starbucks Corporation's Earnings Report</x:v>
      </x:c>
      <x:c r="H27" s="12" t="str">
        <x:v>https://www.fool.com/investing/2018/04/27/the-details-matter-in-starbucks-corporations-earni.aspx</x:v>
      </x:c>
      <x:c r="I27" s="12" t="str">
        <x:v>OPENED/VERIFIED</x:v>
      </x:c>
      <x:c r="J27" s="12" t="str">
        <x:v>PASS</x:v>
      </x:c>
      <x:c r="K27" s="12" t="str">
        <x:v>PASS</x:v>
      </x:c>
      <x:c r="L27" s="12" t="str">
        <x:v>PASS</x:v>
      </x:c>
      <x:c r="M27" s="12" t="str">
        <x:v>NO</x:v>
      </x:c>
      <x:c r="N27" s="12" t="str">
        <x:v>PASS</x:v>
      </x:c>
      <x:c r="O27" s="12" t="str">
        <x:v>CONTEMPORANEOUS_ATTRIBUTION</x:v>
      </x:c>
      <x:c r="P27" s="12" t="str">
        <x:v>PASS</x:v>
      </x:c>
      <x:c r="Q27" s="12" t="str">
        <x:v>Source was checked for Starbucks/SBUX identity, the exact event or directly relevant pre-event setup, displayed publication date, timing window and source-origin restriction.</x:v>
      </x:c>
    </x:row>
    <x:row r="28">
      <x:c r="A28" s="12" t="str">
        <x:v>2018-07-26</x:v>
      </x:c>
      <x:c r="B28" s="12" t="str">
        <x:v>SBUX</x:v>
      </x:c>
      <x:c r="C28" s="12" t="str">
        <x:v>prior</x:v>
      </x:c>
      <x:c r="D28" s="12" t="str">
        <x:v>2018-06-19</x:v>
      </x:c>
      <x:c r="E28" s="12" t="n">
        <x:v>-37</x:v>
      </x:c>
      <x:c r="F28" s="12" t="str">
        <x:v>Starbucks</x:v>
      </x:c>
      <x:c r="G28" s="12" t="str">
        <x:v>Starbucks Announces Strategic Priorities and Operational Initiatives to Accelerate Growth and Create Long-Term Shareholder Value</x:v>
      </x:c>
      <x:c r="H28" s="12" t="str">
        <x:v>https://investor.starbucks.com/news/financial-releases/news-details/2018/Starbucks-Announces-Strategic-Priorities-and-Operational-Initiatives-to-Accelerate-Growth-and-Create-Long-Term-Shareholder-Value/default.aspx</x:v>
      </x:c>
      <x:c r="I28" s="12" t="str">
        <x:v>OPENED/VERIFIED</x:v>
      </x:c>
      <x:c r="J28" s="12" t="str">
        <x:v>PASS</x:v>
      </x:c>
      <x:c r="K28" s="12" t="str">
        <x:v>PASS</x:v>
      </x:c>
      <x:c r="L28" s="12" t="str">
        <x:v>PASS</x:v>
      </x:c>
      <x:c r="M28" s="12" t="str">
        <x:v>NO</x:v>
      </x:c>
      <x:c r="N28" s="12" t="str">
        <x:v>PASS</x:v>
      </x:c>
      <x:c r="O28" s="12" t="str">
        <x:v>FACTUAL</x:v>
      </x:c>
      <x:c r="P28" s="12" t="str">
        <x:v>PASS</x:v>
      </x:c>
      <x:c r="Q28" s="12" t="str">
        <x:v>Source was checked for Starbucks/SBUX identity, the exact event or directly relevant pre-event setup, displayed publication date, timing window and source-origin restriction.</x:v>
      </x:c>
    </x:row>
    <x:row r="29">
      <x:c r="A29" s="12" t="str">
        <x:v>2018-07-26</x:v>
      </x:c>
      <x:c r="B29" s="12" t="str">
        <x:v>SBUX</x:v>
      </x:c>
      <x:c r="C29" s="12" t="str">
        <x:v>release</x:v>
      </x:c>
      <x:c r="D29" s="12" t="str">
        <x:v>2018-07-26</x:v>
      </x:c>
      <x:c r="E29" s="12" t="n">
        <x:v>0</x:v>
      </x:c>
      <x:c r="F29" s="12" t="str">
        <x:v>Starbucks</x:v>
      </x:c>
      <x:c r="G29" s="12" t="str">
        <x:v>Starbucks Reports Record Q3 Fiscal 2018 Revenues and EPS</x:v>
      </x:c>
      <x:c r="H29" s="12" t="str">
        <x:v>https://investor.starbucks.com/news/financial-releases/news-release-details/2018/Starbucks-Reports-Record-Q3-Fiscal-2018-Revenues-and-EPS/default.aspx</x:v>
      </x:c>
      <x:c r="I29" s="12" t="str">
        <x:v>OPENED/VERIFIED</x:v>
      </x:c>
      <x:c r="J29" s="12" t="str">
        <x:v>PASS</x:v>
      </x:c>
      <x:c r="K29" s="12" t="str">
        <x:v>PASS</x:v>
      </x:c>
      <x:c r="L29" s="12" t="str">
        <x:v>PASS</x:v>
      </x:c>
      <x:c r="M29" s="12" t="str">
        <x:v>NO</x:v>
      </x:c>
      <x:c r="N29" s="12" t="str">
        <x:v>PASS</x:v>
      </x:c>
      <x:c r="O29" s="12" t="str">
        <x:v>FACTUAL</x:v>
      </x:c>
      <x:c r="P29" s="12" t="str">
        <x:v>PASS</x:v>
      </x:c>
      <x:c r="Q29" s="12" t="str">
        <x:v>Source was checked for Starbucks/SBUX identity, the exact event or directly relevant pre-event setup, displayed publication date, timing window and source-origin restriction.</x:v>
      </x:c>
    </x:row>
    <x:row r="30">
      <x:c r="A30" s="12" t="str">
        <x:v>2018-07-26</x:v>
      </x:c>
      <x:c r="B30" s="12" t="str">
        <x:v>SBUX</x:v>
      </x:c>
      <x:c r="C30" s="12" t="str">
        <x:v>reaction</x:v>
      </x:c>
      <x:c r="D30" s="12" t="str">
        <x:v>2018-07-26</x:v>
      </x:c>
      <x:c r="E30" s="12" t="n">
        <x:v>0</x:v>
      </x:c>
      <x:c r="F30" s="12" t="str">
        <x:v>TheStreet</x:v>
      </x:c>
      <x:c r="G30" s="12" t="str">
        <x:v>Starbucks Earnings Reveal a Company in Transition</x:v>
      </x:c>
      <x:c r="H30" s="12" t="str">
        <x:v>https://www.thestreet.com/investing/starbucks-earnings-reveal-a-company-in-transition-14662481</x:v>
      </x:c>
      <x:c r="I30" s="12" t="str">
        <x:v>OPENED/VERIFIED</x:v>
      </x:c>
      <x:c r="J30" s="12" t="str">
        <x:v>PASS</x:v>
      </x:c>
      <x:c r="K30" s="12" t="str">
        <x:v>PASS</x:v>
      </x:c>
      <x:c r="L30" s="12" t="str">
        <x:v>PASS</x:v>
      </x:c>
      <x:c r="M30" s="12" t="str">
        <x:v>NO</x:v>
      </x:c>
      <x:c r="N30" s="12" t="str">
        <x:v>PASS</x:v>
      </x:c>
      <x:c r="O30" s="12" t="str">
        <x:v>CONTEMPORANEOUS_ATTRIBUTION</x:v>
      </x:c>
      <x:c r="P30" s="12" t="str">
        <x:v>PASS</x:v>
      </x:c>
      <x:c r="Q30" s="12" t="str">
        <x:v>Source was checked for Starbucks/SBUX identity, the exact event or directly relevant pre-event setup, displayed publication date, timing window and source-origin restriction.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2016-04-21</x:v>
      </x:c>
      <x:c r="B2" t="str">
        <x:v>SBUX</x:v>
      </x:c>
      <x:c r="C2" s="20" t="n">
        <x:v>0.1</x:v>
      </x:c>
      <x:c r="D2" s="20" t="n">
        <x:v>-5.06</x:v>
      </x:c>
      <x:c r="E2" t="str">
        <x:v>ret_1daypost_pct</x:v>
      </x:c>
      <x:c r="F2" t="str">
        <x:f>IF(D2&gt;0.1,"UP",IF(D2&lt;-0.1,"DOWN","FLAT"))</x:f>
        <x:v>DOWN</x:v>
      </x:c>
      <x:c r="G2" t="str">
        <x:v>DOWN</x:v>
      </x:c>
      <x:c r="H2" t="str">
        <x:f>IF(F2=G2,"PASS","FAIL")</x:f>
        <x:v>PASS</x:v>
      </x:c>
      <x:c r="I2" t="n">
        <x:v>2</x:v>
      </x:c>
      <x:c r="J2" t="n">
        <x:f>COUNTIFS('Source Audit'!$A:$A,A2,'Source Audit'!$P:$P,"PASS")</x:f>
        <x:v>2</x:v>
      </x:c>
      <x:c r="K2" t="str">
        <x:f>IF(AND(H2="PASS",J2=I2),"PASS","FAIL")</x:f>
        <x:v>PASS</x:v>
      </x:c>
    </x:row>
    <x:row r="3">
      <x:c r="A3" t="str">
        <x:v>2016-07-21</x:v>
      </x:c>
      <x:c r="B3" t="str">
        <x:v>SBUX</x:v>
      </x:c>
      <x:c r="C3" s="20" t="n">
        <x:v>0.44</x:v>
      </x:c>
      <x:c r="D3" s="20" t="n">
        <x:v>0.07</x:v>
      </x:c>
      <x:c r="E3" t="str">
        <x:v>ret_1daypost_pct</x:v>
      </x:c>
      <x:c r="F3" t="str">
        <x:f>IF(D3&gt;0.1,"UP",IF(D3&lt;-0.1,"DOWN","FLAT"))</x:f>
        <x:v>FLAT</x:v>
      </x:c>
      <x:c r="G3" t="str">
        <x:v>FLAT</x:v>
      </x:c>
      <x:c r="H3" t="str">
        <x:f>IF(F3=G3,"PASS","FAIL")</x:f>
        <x:v>PASS</x:v>
      </x:c>
      <x:c r="I3" t="n">
        <x:v>3</x:v>
      </x:c>
      <x:c r="J3" t="n">
        <x:f>COUNTIFS('Source Audit'!$A:$A,A3,'Source Audit'!$P:$P,"PASS")</x:f>
        <x:v>3</x:v>
      </x:c>
      <x:c r="K3" t="str">
        <x:f>IF(AND(H3="PASS",J3=I3),"PASS","FAIL")</x:f>
        <x:v>PASS</x:v>
      </x:c>
    </x:row>
    <x:row r="4">
      <x:c r="A4" t="str">
        <x:v>2016-11-03</x:v>
      </x:c>
      <x:c r="B4" t="str">
        <x:v>SBUX</x:v>
      </x:c>
      <x:c r="C4" s="20" t="n">
        <x:v>-1.89</x:v>
      </x:c>
      <x:c r="D4" s="20" t="n">
        <x:v>2.02</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2017-01-26</x:v>
      </x:c>
      <x:c r="B5" t="str">
        <x:v>SBUX</x:v>
      </x:c>
      <x:c r="C5" s="20" t="n">
        <x:v>-0.29</x:v>
      </x:c>
      <x:c r="D5" s="20" t="n">
        <x:v>-3.84</x:v>
      </x:c>
      <x:c r="E5" t="str">
        <x:v>ret_1daypost_pct</x:v>
      </x:c>
      <x:c r="F5" t="str">
        <x:f>IF(D5&gt;0.1,"UP",IF(D5&lt;-0.1,"DOWN","FLAT"))</x:f>
        <x:v>DOWN</x:v>
      </x:c>
      <x:c r="G5" t="str">
        <x:v>DOWN</x:v>
      </x:c>
      <x:c r="H5" t="str">
        <x:f>IF(F5=G5,"PASS","FAIL")</x:f>
        <x:v>PASS</x:v>
      </x:c>
      <x:c r="I5" t="n">
        <x:v>3</x:v>
      </x:c>
      <x:c r="J5" t="n">
        <x:f>COUNTIFS('Source Audit'!$A:$A,A5,'Source Audit'!$P:$P,"PASS")</x:f>
        <x:v>3</x:v>
      </x:c>
      <x:c r="K5" t="str">
        <x:f>IF(AND(H5="PASS",J5=I5),"PASS","FAIL")</x:f>
        <x:v>PASS</x:v>
      </x:c>
    </x:row>
    <x:row r="6">
      <x:c r="A6" t="str">
        <x:v>2017-04-27</x:v>
      </x:c>
      <x:c r="B6" t="str">
        <x:v>SBUX</x:v>
      </x:c>
      <x:c r="C6" s="20" t="n">
        <x:v>-0.42</x:v>
      </x:c>
      <x:c r="D6" s="20" t="n">
        <x:v>-1.76</x:v>
      </x:c>
      <x:c r="E6" t="str">
        <x:v>ret_1daypost_pct</x:v>
      </x:c>
      <x:c r="F6" t="str">
        <x:f>IF(D6&gt;0.1,"UP",IF(D6&lt;-0.1,"DOWN","FLAT"))</x:f>
        <x:v>DOWN</x:v>
      </x:c>
      <x:c r="G6" t="str">
        <x:v>DOWN</x:v>
      </x:c>
      <x:c r="H6" t="str">
        <x:f>IF(F6=G6,"PASS","FAIL")</x:f>
        <x:v>PASS</x:v>
      </x:c>
      <x:c r="I6" t="n">
        <x:v>3</x:v>
      </x:c>
      <x:c r="J6" t="n">
        <x:f>COUNTIFS('Source Audit'!$A:$A,A6,'Source Audit'!$P:$P,"PASS")</x:f>
        <x:v>3</x:v>
      </x:c>
      <x:c r="K6" t="str">
        <x:f>IF(AND(H6="PASS",J6=I6),"PASS","FAIL")</x:f>
        <x:v>PASS</x:v>
      </x:c>
    </x:row>
    <x:row r="7">
      <x:c r="A7" t="str">
        <x:v>2017-07-27</x:v>
      </x:c>
      <x:c r="B7" t="str">
        <x:v>SBUX</x:v>
      </x:c>
      <x:c r="C7" s="20" t="n">
        <x:v>2.9</x:v>
      </x:c>
      <x:c r="D7" s="20" t="n">
        <x:v>-9.14</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2017-11-02</x:v>
      </x:c>
      <x:c r="B8" t="str">
        <x:v>SBUX</x:v>
      </x:c>
      <x:c r="C8" s="20" t="n">
        <x:v>-0.51</x:v>
      </x:c>
      <x:c r="D8" s="20" t="n">
        <x:v>1.83</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2018-01-25</x:v>
      </x:c>
      <x:c r="B9" t="str">
        <x:v>SBUX</x:v>
      </x:c>
      <x:c r="C9" s="20" t="n">
        <x:v>-0.47</x:v>
      </x:c>
      <x:c r="D9" s="20" t="n">
        <x:v>-5.22</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2018-04-26</x:v>
      </x:c>
      <x:c r="B10" t="str">
        <x:v>SBUX</x:v>
      </x:c>
      <x:c r="C10" s="20" t="n">
        <x:v>1.99</x:v>
      </x:c>
      <x:c r="D10" s="20" t="n">
        <x:v>-1.79</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2018-07-26</x:v>
      </x:c>
      <x:c r="B11" t="str">
        <x:v>SBUX</x:v>
      </x:c>
      <x:c r="C11" s="20" t="n">
        <x:v>-0.17</x:v>
      </x:c>
      <x:c r="D11" s="20" t="n">
        <x:v>2.13</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SBUX rebuilt from scratch under the corrected verification protocol.</x:v>
      </x:c>
    </x:row>
    <x:row r="3">
      <x:c r="A3" s="12" t="str">
        <x:v>Identity source</x:v>
      </x:c>
      <x:c r="B3" s="12" t="str">
        <x:v>Ticker/company, exact earnings dates and all returns come from group_observations.csv.</x:v>
      </x:c>
    </x:row>
    <x:row r="4">
      <x:c r="A4" s="12" t="str">
        <x:v>Reaction basis</x:v>
      </x:c>
      <x:c r="B4" s="12" t="str">
        <x:v>Starbucks released the sampled earnings after the U.S. market close; ret_1daypost_pct is the primary earnings-reaction field.</x:v>
      </x:c>
    </x:row>
    <x:row r="5">
      <x:c r="A5" s="12" t="str">
        <x:v>Narrative</x:v>
      </x:c>
      <x:c r="B5" s="12" t="str">
        <x:v>Short Prior Context, detailed Current Earnings Release, and three concise event-specific Possible Drivers.</x:v>
      </x:c>
    </x:row>
    <x:row r="6">
      <x:c r="A6" s="12" t="str">
        <x:v>Sources</x:v>
      </x:c>
      <x:c r="B6" s="12" t="str">
        <x:v>Starbucks Investor Relations anchors factual results. A contemporaneous reaction article is included for every event. Prior sources are included only when within the -100 to -1 day window.</x:v>
      </x:c>
    </x:row>
    <x:row r="7">
      <x:c r="A7" s="12" t="str">
        <x:v>Preannouncement rule</x:v>
      </x:c>
      <x:c r="B7" s="12" t="str">
        <x:v>For 2018-07-26, the June 19 strategic release is treated as critical prior information because Starbucks had already warned Q3 global comps would be about 1% and announced a U.S. store-portfolio reset.</x:v>
      </x:c>
    </x:row>
    <x:row r="8">
      <x:c r="A8" s="12" t="str">
        <x:v>Timing</x:v>
      </x:c>
      <x:c r="B8" s="12" t="str">
        <x:v>Prior = -100..-1 days; release = day 0; reaction = day 0..+3.</x:v>
      </x:c>
    </x:row>
    <x:row r="9">
      <x:c r="A9" s="12" t="str">
        <x:v>Restrictions</x:v>
      </x:c>
      <x:c r="B9" s="12" t="str">
        <x:v>No WSJ, Reuters, Dow Jones or MarketWatch-syndicated article is included.</x:v>
      </x:c>
    </x:row>
    <x:row r="10">
      <x:c r="A10" s="12" t="str">
        <x:v>QA</x:v>
      </x:c>
      <x:c r="B10" s="12" t="str">
        <x:v>Event QA mechanically recomputes direction from ret_1daypost_pct and checks each event's exact PASS source count.</x:v>
      </x:c>
    </x:row>
  </x:sheetData>
  <x:pageMargins left="0.7" right="0.7" top="0.75" bottom="0.75" header="0.3" footer="0.3"/>
</x:worksheet>
</file>