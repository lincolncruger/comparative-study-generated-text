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77f8d12f1c49cd" /></Relationships>
</file>

<file path=xl/workbook.xml><?xml version="1.0" encoding="utf-8"?>
<x:workbook xmlns:x="http://schemas.openxmlformats.org/spreadsheetml/2006/main">
  <x:sheets>
    <x:sheet xmlns:r="http://schemas.openxmlformats.org/officeDocument/2006/relationships" name="LMT" sheetId="1" r:id="R8d6bfe649e9e4247"/>
    <x:sheet xmlns:r="http://schemas.openxmlformats.org/officeDocument/2006/relationships" name="Source Audit" sheetId="2" r:id="R1102f7e9004f424c"/>
    <x:sheet xmlns:r="http://schemas.openxmlformats.org/officeDocument/2006/relationships" name="Event QA" sheetId="3" r:id="Rbec5ccc1661947a2"/>
    <x:sheet xmlns:r="http://schemas.openxmlformats.org/officeDocument/2006/relationships" name="Methodology" sheetId="4" r:id="R4e32232037c4423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1b70c73dfa34c37" /><Relationship Type="http://schemas.openxmlformats.org/officeDocument/2006/relationships/theme" Target="/xl/theme/theme1.xml" Id="Ref8000330b6e419a" /><Relationship Type="http://schemas.openxmlformats.org/officeDocument/2006/relationships/sharedStrings" Target="/xl/sharedStrings.xml" Id="R3936afe186fa40e6" /><Relationship Type="http://schemas.openxmlformats.org/officeDocument/2006/relationships/worksheet" Target="/xl/worksheets/sheet1.xml" Id="R8d6bfe649e9e4247" /><Relationship Type="http://schemas.openxmlformats.org/officeDocument/2006/relationships/worksheet" Target="/xl/worksheets/sheet2.xml" Id="R1102f7e9004f424c" /><Relationship Type="http://schemas.openxmlformats.org/officeDocument/2006/relationships/worksheet" Target="/xl/worksheets/sheet3.xml" Id="Rbec5ccc1661947a2" /><Relationship Type="http://schemas.openxmlformats.org/officeDocument/2006/relationships/worksheet" Target="/xl/worksheets/sheet4.xml" Id="R4e32232037c4423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18" hidden="0" customWidth="1"/>
    <x:col min="12" max="12" width="18" hidden="0" customWidth="1"/>
    <x:col min="13" max="13" width="96" hidden="0" customWidth="1"/>
    <x:col min="14" max="14" width="64" hidden="0" customWidth="1"/>
    <x:col min="15" max="15" width="64" hidden="0" customWidth="1"/>
    <x:col min="16" max="16" width="64" hidden="0" customWidth="1"/>
    <x:col min="17" max="17" width="80"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40" customHeight="1">
      <x:c r="A2" s="15" t="n">
        <x:v>0</x:v>
      </x:c>
      <x:c r="B2" s="15" t="str">
        <x:v>LMT</x:v>
      </x:c>
      <x:c r="C2" s="15" t="str">
        <x:v>Lockheed Martin</x:v>
      </x:c>
      <x:c r="D2" s="15" t="str">
        <x:v>2016q2</x:v>
      </x:c>
      <x:c r="E2" s="15" t="str">
        <x:v>2016-04-26</x:v>
      </x:c>
      <x:c r="F2" s="18" t="n">
        <x:v>2.25</x:v>
      </x:c>
      <x:c r="G2" s="18" t="n">
        <x:v>0.38</x:v>
      </x:c>
      <x:c r="H2" s="18" t="n">
        <x:v>2.64</x:v>
      </x:c>
      <x:c r="I2" s="18" t="n">
        <x:v>2.69</x:v>
      </x:c>
      <x:c r="J2" s="18" t="n">
        <x:v>3.47</x:v>
      </x:c>
      <x:c r="K2" s="15" t="str">
        <x:v>ret_1day_pct</x:v>
      </x:c>
      <x:c r="L2" s="15" t="str">
        <x:v>UP</x:v>
      </x:c>
      <x:c r="M2" s="15" t="str">
        <x:v>## Prior Context
Lockheed entered 2016 after acquiring Sikorsky and agreeing to separate its lower-margin IS&amp;GS business into Leidos. Investors were watching whether the portfolio reshaping could accelerate sales without permanently diluting margins.
### Verified prior source
2016-01-26 | TheStreet | Lockheed Martin (LMT) Stock Tumbles on Guidance, Leidos Deal | https://www.thestreet.com/markets/lockheed-martin-lmt-stock-tumbles-on-guidance-leidos-deal-jim-cramer-s-view-13436104
## Current Earnings Release
Q1 sales increased **16% to $11.7 billion**, comfortably above expectations around $11.4 billion, while EPS of **$2.58** was only a penny below consensus. The acquisition of Sikorsky added a large new revenue stream but also lowered consolidated operating margin because helicopter margins were below Lockheed’s legacy portfolio.
The strongest quality signal was cash generation: operating cash flow rose sharply and free cash flow improved materially. The quarter therefore showed that the Sikorsky acquisition was immediately accretive to scale and cash even though reported margins were temporarily diluted.
### Verified release source
2016-04-26 | Lockheed Martin | Lockheed Martin Reports First Quarter 2016 Results | https://news.lockheedmartin.com/2016-04-26-Lockheed-Martin-Reports-First-Quarter-2016-Results
## Possible Drivers
**First-order driver.** Shares rose because the large revenue beat and strong cash flow outweighed the tiny EPS miss.
**Second-order driver.** Sikorsky increased sales but diluted consolidated margins, as expected.
**Third-order driver.** Strong free cash flow supported confidence in the portfolio restructuring.
### Verified reaction source
2016-04-26 | The Motley Fool | Lockheed Martin Stock Surprises to the Upside | https://www.fool.com/investing/general/2016/04/26/lockheed-martin-stock-surprises-to-the-upside.aspx
## Verification Status
Included sources were checked for Lockheed Martin/LMT identity, the correct earnings event, publication date, timing window and source origin. Lockheed Martin’s own release is the factual anchor. No WSJ, Reuters, Dow Jones or MarketWatch-syndicated article is included. Where contemporaneous coverage did not explicitly explain the final full-day move, the driver is labeled as a supported inference rather than stated as fact.
</x:v>
      </x:c>
      <x:c r="N2" s="15" t="str">
        <x:v>2016-01-26 | TheStreet | Lockheed Martin (LMT) Stock Tumbles on Guidance, Leidos Deal | https://www.thestreet.com/markets/lockheed-martin-lmt-stock-tumbles-on-guidance-leidos-deal-jim-cramer-s-view-13436104</x:v>
      </x:c>
      <x:c r="O2" s="15" t="str">
        <x:v>2016-04-26 | Lockheed Martin | Lockheed Martin Reports First Quarter 2016 Results | https://news.lockheedmartin.com/2016-04-26-Lockheed-Martin-Reports-First-Quarter-2016-Results</x:v>
      </x:c>
      <x:c r="P2" s="15" t="str">
        <x:v>2016-04-26 | The Motley Fool | Lockheed Martin Stock Surprises to the Upside | https://www.fool.com/investing/general/2016/04/26/lockheed-martin-stock-surprises-to-the-upside.aspx</x:v>
      </x:c>
      <x:c r="Q2" s="15" t="str">
        <x:v>2016-01-26 | TheStreet | Lockheed Martin (LMT) Stock Tumbles on Guidance, Leidos Deal | https://www.thestreet.com/markets/lockheed-martin-lmt-stock-tumbles-on-guidance-leidos-deal-jim-cramer-s-view-13436104
2016-04-26 | Lockheed Martin | Lockheed Martin Reports First Quarter 2016 Results | https://news.lockheedmartin.com/2016-04-26-Lockheed-Martin-Reports-First-Quarter-2016-Results
2016-04-26 | The Motley Fool | Lockheed Martin Stock Surprises to the Upside | https://www.fool.com/investing/general/2016/04/26/lockheed-martin-stock-surprises-to-the-upside.aspx</x:v>
      </x:c>
      <x:c r="R2" s="15" t="n">
        <x:v>3</x:v>
      </x:c>
      <x:c r="S2" s="15" t="str">
        <x:v>PASS</x:v>
      </x:c>
    </x:row>
    <x:row r="3" ht="340" customHeight="1">
      <x:c r="A3" s="15" t="n">
        <x:v>1</x:v>
      </x:c>
      <x:c r="B3" s="15" t="str">
        <x:v>LMT</x:v>
      </x:c>
      <x:c r="C3" s="15" t="str">
        <x:v>Lockheed Martin</x:v>
      </x:c>
      <x:c r="D3" s="15" t="str">
        <x:v>2016q3</x:v>
      </x:c>
      <x:c r="E3" s="15" t="str">
        <x:v>2016-07-19</x:v>
      </x:c>
      <x:c r="F3" s="18" t="n">
        <x:v>1.28</x:v>
      </x:c>
      <x:c r="G3" s="18" t="n">
        <x:v>-1.35</x:v>
      </x:c>
      <x:c r="H3" s="18" t="n">
        <x:v>-0.09</x:v>
      </x:c>
      <x:c r="I3" s="18" t="n">
        <x:v>-0.61</x:v>
      </x:c>
      <x:c r="J3" s="18" t="n">
        <x:v>-0.48</x:v>
      </x:c>
      <x:c r="K3" s="15" t="str">
        <x:v>ret_1day_pct</x:v>
      </x:c>
      <x:c r="L3" s="15" t="str">
        <x:v>UP</x:v>
      </x:c>
      <x:c r="M3" s="15" t="str">
        <x:v>## Prior Context
By Q2, Lockheed needed to prove that Sikorsky integration and the F-35 production ramp could generate both growth and higher full-year guidance.
### Verified prior source
2016-04-26 | Lockheed Martin | Lockheed Martin Reports First Quarter 2016 Results | https://news.lockheedmartin.com/2016-04-26-Lockheed-Martin-Reports-First-Quarter-2016-Results
## Current Earnings Release
Q2 sales reached **$12.9 billion** and EPS **$3.32**, beating expectations of roughly $12.55 billion and $2.93. Aeronautics was the main driver, with higher F-35 volume contributing materially to growth. Sikorsky also added scale.
Lockheed raised its full-year outlook across **sales, operating profit, EPS and cash from operations**. This was important because it showed the first-quarter strength was translating into a better annual earnings profile rather than being a temporary acquisition effect.
### Verified release source
2016-07-19 | Lockheed Martin | Lockheed Martin Reports Second Quarter 2016 Results | https://news.lockheedmartin.com/2016-07-19-Lockheed-Martin-Reports-Second-Quarter-2016-Results
## Possible Drivers
**First-order driver.** The stock rose on a broad earnings/revenue beat and higher full-year guidance.
**Second-order driver.** F-35 production was becoming a larger growth engine.
**Third-order driver.** Higher cash-flow guidance improved the quality of the raised outlook.
### Verified reaction source
2016-07-19 | TheStreet | Lockheed Martin (LMT) Stock Rising on Q2 Earnings Beat, Positive Guidance | https://www.thestreet.com/markets/lockheed-martin-lmt-stock-rising-on-q2-earnings-beat-positive-guidance-13644326
## Verification Status
Included sources were checked for Lockheed Martin/LMT identity, the correct earnings event, publication date, timing window and source origin. Lockheed Martin’s own release is the factual anchor. No WSJ, Reuters, Dow Jones or MarketWatch-syndicated article is included. Where contemporaneous coverage did not explicitly explain the final full-day move, the driver is labeled as a supported inference rather than stated as fact.
</x:v>
      </x:c>
      <x:c r="N3" s="15" t="str">
        <x:v>2016-04-26 | Lockheed Martin | Lockheed Martin Reports First Quarter 2016 Results | https://news.lockheedmartin.com/2016-04-26-Lockheed-Martin-Reports-First-Quarter-2016-Results</x:v>
      </x:c>
      <x:c r="O3" s="15" t="str">
        <x:v>2016-07-19 | Lockheed Martin | Lockheed Martin Reports Second Quarter 2016 Results | https://news.lockheedmartin.com/2016-07-19-Lockheed-Martin-Reports-Second-Quarter-2016-Results</x:v>
      </x:c>
      <x:c r="P3" s="15" t="str">
        <x:v>2016-07-19 | TheStreet | Lockheed Martin (LMT) Stock Rising on Q2 Earnings Beat, Positive Guidance | https://www.thestreet.com/markets/lockheed-martin-lmt-stock-rising-on-q2-earnings-beat-positive-guidance-13644326</x:v>
      </x:c>
      <x:c r="Q3" s="15" t="str">
        <x:v>2016-04-26 | Lockheed Martin | Lockheed Martin Reports First Quarter 2016 Results | https://news.lockheedmartin.com/2016-04-26-Lockheed-Martin-Reports-First-Quarter-2016-Results
2016-07-19 | Lockheed Martin | Lockheed Martin Reports Second Quarter 2016 Results | https://news.lockheedmartin.com/2016-07-19-Lockheed-Martin-Reports-Second-Quarter-2016-Results
2016-07-19 | TheStreet | Lockheed Martin (LMT) Stock Rising on Q2 Earnings Beat, Positive Guidance | https://www.thestreet.com/markets/lockheed-martin-lmt-stock-rising-on-q2-earnings-beat-positive-guidance-13644326</x:v>
      </x:c>
      <x:c r="R3" s="15" t="n">
        <x:v>3</x:v>
      </x:c>
      <x:c r="S3" s="15" t="str">
        <x:v>PASS</x:v>
      </x:c>
    </x:row>
    <x:row r="4" ht="340" customHeight="1">
      <x:c r="A4" s="15" t="n">
        <x:v>2</x:v>
      </x:c>
      <x:c r="B4" s="15" t="str">
        <x:v>LMT</x:v>
      </x:c>
      <x:c r="C4" s="15" t="str">
        <x:v>Lockheed Martin</x:v>
      </x:c>
      <x:c r="D4" s="15" t="str">
        <x:v>2016q4</x:v>
      </x:c>
      <x:c r="E4" s="15" t="str">
        <x:v>2016-10-25</x:v>
      </x:c>
      <x:c r="F4" s="18" t="n">
        <x:v>7.8</x:v>
      </x:c>
      <x:c r="G4" s="18" t="n">
        <x:v>0.61</x:v>
      </x:c>
      <x:c r="H4" s="18" t="n">
        <x:v>8.46</x:v>
      </x:c>
      <x:c r="I4" s="18" t="n">
        <x:v>8.75</x:v>
      </x:c>
      <x:c r="J4" s="18" t="n">
        <x:v>8.55</x:v>
      </x:c>
      <x:c r="K4" s="15" t="str">
        <x:v>ret_1day_pct</x:v>
      </x:c>
      <x:c r="L4" s="15" t="str">
        <x:v>UP</x:v>
      </x:c>
      <x:c r="M4" s="15" t="str">
        <x:v>## Prior Context
After two strong quarters, investors expected the F-35 ramp and portfolio reshaping to keep lifting earnings. The IS&amp;GS divestiture had just been completed, leaving Lockheed more concentrated in defense hardware.
### Verified prior source
2016-07-19 | Lockheed Martin | Lockheed Martin Reports Second Quarter 2016 Results | https://news.lockheedmartin.com/2016-07-19-Lockheed-Martin-Reports-Second-Quarter-2016-Results
## Current Earnings Release
Q3 continuing-operations sales rose **15% to $11.6 billion**, while EPS reached **$3.61**, far above consensus near $2.90. Lockheed also increased its 2016 earnings outlook and provided a constructive initial 2017 view.
Capital returns reinforced the message: the quarterly dividend increased **10% to $1.82**, and the board added **$2 billion** to the share-repurchase authorization. The quarter combined strong operations, better guidance and a clearer post-divestiture portfolio.
### Verified release source
2016-10-25 | Lockheed Martin | Lockheed Martin Reports Third Quarter 2016 Results | https://news.lockheedmartin.com/2016-10-25-Lockheed-Martin-Reports-Third-Quarter-2016-Results
## Possible Drivers
**First-order driver.** Shares surged because EPS, sales and guidance all beat expectations.
**Second-order driver.** The completed IS&amp;GS divestiture made the remaining portfolio more defense-focused.
**Third-order driver.** Higher dividends and buyback authorization amplified the positive earnings signal.
### Verified reaction source
2016-10-25 | The Motley Fool | Why Lockheed Martin, Clayton Williams Energy, and Valero Energy Jumped Today | https://www.fool.com/investing/2016/10/25/why-lockheed-martin-clayton-williams-energy-and-va.aspx
## Verification Status
Included sources were checked for Lockheed Martin/LMT identity, the correct earnings event, publication date, timing window and source origin. Lockheed Martin’s own release is the factual anchor. No WSJ, Reuters, Dow Jones or MarketWatch-syndicated article is included. Where contemporaneous coverage did not explicitly explain the final full-day move, the driver is labeled as a supported inference rather than stated as fact.
</x:v>
      </x:c>
      <x:c r="N4" s="15" t="str">
        <x:v>2016-07-19 | Lockheed Martin | Lockheed Martin Reports Second Quarter 2016 Results | https://news.lockheedmartin.com/2016-07-19-Lockheed-Martin-Reports-Second-Quarter-2016-Results</x:v>
      </x:c>
      <x:c r="O4" s="15" t="str">
        <x:v>2016-10-25 | Lockheed Martin | Lockheed Martin Reports Third Quarter 2016 Results | https://news.lockheedmartin.com/2016-10-25-Lockheed-Martin-Reports-Third-Quarter-2016-Results</x:v>
      </x:c>
      <x:c r="P4" s="15" t="str">
        <x:v>2016-10-25 | The Motley Fool | Why Lockheed Martin, Clayton Williams Energy, and Valero Energy Jumped Today | https://www.fool.com/investing/2016/10/25/why-lockheed-martin-clayton-williams-energy-and-va.aspx</x:v>
      </x:c>
      <x:c r="Q4" s="15" t="str">
        <x:v>2016-07-19 | Lockheed Martin | Lockheed Martin Reports Second Quarter 2016 Results | https://news.lockheedmartin.com/2016-07-19-Lockheed-Martin-Reports-Second-Quarter-2016-Results
2016-10-25 | Lockheed Martin | Lockheed Martin Reports Third Quarter 2016 Results | https://news.lockheedmartin.com/2016-10-25-Lockheed-Martin-Reports-Third-Quarter-2016-Results
2016-10-25 | The Motley Fool | Why Lockheed Martin, Clayton Williams Energy, and Valero Energy Jumped Today | https://www.fool.com/investing/2016/10/25/why-lockheed-martin-clayton-williams-energy-and-va.aspx</x:v>
      </x:c>
      <x:c r="R4" s="15" t="n">
        <x:v>3</x:v>
      </x:c>
      <x:c r="S4" s="15" t="str">
        <x:v>PASS</x:v>
      </x:c>
    </x:row>
    <x:row r="5" ht="340" customHeight="1">
      <x:c r="A5" s="15" t="n">
        <x:v>3</x:v>
      </x:c>
      <x:c r="B5" s="15" t="str">
        <x:v>LMT</x:v>
      </x:c>
      <x:c r="C5" s="15" t="str">
        <x:v>Lockheed Martin</x:v>
      </x:c>
      <x:c r="D5" s="15" t="str">
        <x:v>2017q1</x:v>
      </x:c>
      <x:c r="E5" s="15" t="str">
        <x:v>2017-01-24</x:v>
      </x:c>
      <x:c r="F5" s="18" t="n">
        <x:v>-2.61</x:v>
      </x:c>
      <x:c r="G5" s="18" t="n">
        <x:v>-1.56</x:v>
      </x:c>
      <x:c r="H5" s="18" t="n">
        <x:v>-4.13</x:v>
      </x:c>
      <x:c r="I5" s="18" t="n">
        <x:v>-4.04</x:v>
      </x:c>
      <x:c r="J5" s="18" t="n">
        <x:v>-2.82</x:v>
      </x:c>
      <x:c r="K5" s="15" t="str">
        <x:v>ret_1day_pct</x:v>
      </x:c>
      <x:c r="L5" s="15" t="str">
        <x:v>DOWN</x:v>
      </x:c>
      <x:c r="M5" s="15" t="str">
        <x:v>## Prior Context
Lockheed entered 2017 under unusual political pressure after President Trump publicly criticized the cost of the F-35. Investors therefore cared as much about 2017 guidance and F-35 economics as the reported quarter.
### Verified prior source
2016-10-25 | Lockheed Martin | Lockheed Martin Reports Third Quarter 2016 Results | https://news.lockheedmartin.com/2016-10-25-Lockheed-Martin-Reports-Third-Quarter-2016-Results
## Current Earnings Release
Q4 sales were **$13.8 billion** and EPS **$3.25**, both above consensus. Full-year 2016 sales reached $47.2 billion and cash from operations $5.2 billion, while backlog ended the year at $96.2 billion.
The problem was the **2017 earnings outlook**. Lockheed guided EPS to roughly **$12.25–$12.55**, below the Street’s expectation near $12.88. The company also disclosed internal-control problems at Sikorsky and faced continuing pressure to reduce F-35 costs. The market therefore treated the current-quarter beat as less important than a weaker forward profit profile.
### Verified release source
2017-01-24 | Lockheed Martin | Lockheed Martin Reports Fourth Quarter and Full Year 2016 Results | https://news.lockheedmartin.com/2017-01-24-Lockheed-Martin-Reports-Fourth-Quarter-and-Full-Year-2016-Results
## Possible Drivers
**First-order driver.** Shares fell because 2017 EPS guidance was below expectations despite a Q4 beat.
**Second-order driver.** F-35 pricing pressure increased uncertainty around future program margins.
**Third-order driver.** Sikorsky control issues added execution risk.
### Verified reaction source
2017-01-24 | TheStreet | Lockheed Martin Hints Its Big F-35 Combat Aircraft Program Is Now Riskier, But… | https://www.thestreet.com/investing/stocks/lockheed-martin-tops-earnings-estimates-notes-f-35-program-risk-13963301
## Verification Status
Included sources were checked for Lockheed Martin/LMT identity, the correct earnings event, publication date, timing window and source origin. Lockheed Martin’s own release is the factual anchor. No WSJ, Reuters, Dow Jones or MarketWatch-syndicated article is included. Where contemporaneous coverage did not explicitly explain the final full-day move, the driver is labeled as a supported inference rather than stated as fact.
</x:v>
      </x:c>
      <x:c r="N5" s="15" t="str">
        <x:v>2016-10-25 | Lockheed Martin | Lockheed Martin Reports Third Quarter 2016 Results | https://news.lockheedmartin.com/2016-10-25-Lockheed-Martin-Reports-Third-Quarter-2016-Results</x:v>
      </x:c>
      <x:c r="O5" s="15" t="str">
        <x:v>2017-01-24 | Lockheed Martin | Lockheed Martin Reports Fourth Quarter and Full Year 2016 Results | https://news.lockheedmartin.com/2017-01-24-Lockheed-Martin-Reports-Fourth-Quarter-and-Full-Year-2016-Results</x:v>
      </x:c>
      <x:c r="P5" s="15" t="str">
        <x:v>2017-01-24 | TheStreet | Lockheed Martin Hints Its Big F-35 Combat Aircraft Program Is Now Riskier, But… | https://www.thestreet.com/investing/stocks/lockheed-martin-tops-earnings-estimates-notes-f-35-program-risk-13963301</x:v>
      </x:c>
      <x:c r="Q5" s="15" t="str">
        <x:v>2016-10-25 | Lockheed Martin | Lockheed Martin Reports Third Quarter 2016 Results | https://news.lockheedmartin.com/2016-10-25-Lockheed-Martin-Reports-Third-Quarter-2016-Results
2017-01-24 | Lockheed Martin | Lockheed Martin Reports Fourth Quarter and Full Year 2016 Results | https://news.lockheedmartin.com/2017-01-24-Lockheed-Martin-Reports-Fourth-Quarter-and-Full-Year-2016-Results
2017-01-24 | TheStreet | Lockheed Martin Hints Its Big F-35 Combat Aircraft Program Is Now Riskier, But… | https://www.thestreet.com/investing/stocks/lockheed-martin-tops-earnings-estimates-notes-f-35-program-risk-13963301</x:v>
      </x:c>
      <x:c r="R5" s="15" t="n">
        <x:v>3</x:v>
      </x:c>
      <x:c r="S5" s="15" t="str">
        <x:v>PASS</x:v>
      </x:c>
    </x:row>
    <x:row r="6" ht="340" customHeight="1">
      <x:c r="A6" s="15" t="n">
        <x:v>4</x:v>
      </x:c>
      <x:c r="B6" s="15" t="str">
        <x:v>LMT</x:v>
      </x:c>
      <x:c r="C6" s="15" t="str">
        <x:v>Lockheed Martin</x:v>
      </x:c>
      <x:c r="D6" s="15" t="str">
        <x:v>2017q2</x:v>
      </x:c>
      <x:c r="E6" s="15" t="str">
        <x:v>2017-04-25</x:v>
      </x:c>
      <x:c r="F6" s="18" t="n">
        <x:v>-2.84</x:v>
      </x:c>
      <x:c r="G6" s="18" t="n">
        <x:v>0.13</x:v>
      </x:c>
      <x:c r="H6" s="18" t="n">
        <x:v>-2.71</x:v>
      </x:c>
      <x:c r="I6" s="18" t="n">
        <x:v>-2.64</x:v>
      </x:c>
      <x:c r="J6" s="18" t="n">
        <x:v>-2.71</x:v>
      </x:c>
      <x:c r="K6" s="15" t="str">
        <x:v>ret_1day_pct</x:v>
      </x:c>
      <x:c r="L6" s="15" t="str">
        <x:v>DOWN</x:v>
      </x:c>
      <x:c r="M6" s="15" t="str">
        <x:v>## Prior Context
After January’s weak profit guide, the market wanted evidence that F-35 volume and Sikorsky integration could improve margins enough to support the year.
### Verified prior source
2017-01-24 | Lockheed Martin | Lockheed Martin Reports Fourth Quarter and Full Year 2016 Results | https://news.lockheedmartin.com/2017-01-24-Lockheed-Martin-Reports-Fourth-Quarter-and-Full-Year-2016-Results
## Current Earnings Release
Q1 sales increased about **7% to $11.1 billion**, while EPS from continuing operations was **$2.61**. Revenue was slightly below some expectations and earnings growth was limited. Aeronautics sales rose strongly on F-35 volume, but overall business-segment margins weakened.
The issue was mix. F-35 production was expanding rapidly, but higher-volume early-production contracts carried lower margins than mature programs. Sikorsky profitability also remained below the rest of Lockheed. Management raised the lower end of full-year guidance, but not enough to offset concern about declining margins.
### Verified release source
2017-04-25 | Lockheed Martin | Lockheed Martin Reports First Quarter 2017 Results | https://news.lockheedmartin.com/2017-04-25-Lockheed-Martin-Reports-First-Quarter-2017-Results
## Possible Drivers
**First-order driver.** The stock fell because margin pressure outweighed the benefit of higher F-35 sales.
**Second-order driver.** Rapid F-35 volume growth was initially lower-margin growth.
**Third-order driver.** Sikorsky remained a drag on consolidated profitability.
### Verified reaction source
2017-04-26 | The Motley Fool | Lockheed Martin Earnings: Beware of Falling Margins | https://www.fool.com/investing/2017/04/26/lockheed-martin-earnings-beware-of-falling-margins.aspx
## Verification Status
Included sources were checked for Lockheed Martin/LMT identity, the correct earnings event, publication date, timing window and source origin. Lockheed Martin’s own release is the factual anchor. No WSJ, Reuters, Dow Jones or MarketWatch-syndicated article is included. Where contemporaneous coverage did not explicitly explain the final full-day move, the driver is labeled as a supported inference rather than stated as fact.
</x:v>
      </x:c>
      <x:c r="N6" s="15" t="str">
        <x:v>2017-01-24 | Lockheed Martin | Lockheed Martin Reports Fourth Quarter and Full Year 2016 Results | https://news.lockheedmartin.com/2017-01-24-Lockheed-Martin-Reports-Fourth-Quarter-and-Full-Year-2016-Results</x:v>
      </x:c>
      <x:c r="O6" s="15" t="str">
        <x:v>2017-04-25 | Lockheed Martin | Lockheed Martin Reports First Quarter 2017 Results | https://news.lockheedmartin.com/2017-04-25-Lockheed-Martin-Reports-First-Quarter-2017-Results</x:v>
      </x:c>
      <x:c r="P6" s="15" t="str">
        <x:v>2017-04-26 | The Motley Fool | Lockheed Martin Earnings: Beware of Falling Margins | https://www.fool.com/investing/2017/04/26/lockheed-martin-earnings-beware-of-falling-margins.aspx</x:v>
      </x:c>
      <x:c r="Q6" s="15" t="str">
        <x:v>2017-01-24 | Lockheed Martin | Lockheed Martin Reports Fourth Quarter and Full Year 2016 Results | https://news.lockheedmartin.com/2017-01-24-Lockheed-Martin-Reports-Fourth-Quarter-and-Full-Year-2016-Results
2017-04-25 | Lockheed Martin | Lockheed Martin Reports First Quarter 2017 Results | https://news.lockheedmartin.com/2017-04-25-Lockheed-Martin-Reports-First-Quarter-2017-Results
2017-04-26 | The Motley Fool | Lockheed Martin Earnings: Beware of Falling Margins | https://www.fool.com/investing/2017/04/26/lockheed-martin-earnings-beware-of-falling-margins.aspx</x:v>
      </x:c>
      <x:c r="R6" s="15" t="n">
        <x:v>3</x:v>
      </x:c>
      <x:c r="S6" s="15" t="str">
        <x:v>PASS</x:v>
      </x:c>
    </x:row>
    <x:row r="7" ht="340" customHeight="1">
      <x:c r="A7" s="15" t="n">
        <x:v>5</x:v>
      </x:c>
      <x:c r="B7" s="15" t="str">
        <x:v>LMT</x:v>
      </x:c>
      <x:c r="C7" s="15" t="str">
        <x:v>Lockheed Martin</x:v>
      </x:c>
      <x:c r="D7" s="15" t="str">
        <x:v>2017q3</x:v>
      </x:c>
      <x:c r="E7" s="15" t="str">
        <x:v>2017-07-18</x:v>
      </x:c>
      <x:c r="F7" s="18" t="n">
        <x:v>-0.64</x:v>
      </x:c>
      <x:c r="G7" s="18" t="n">
        <x:v>0.76</x:v>
      </x:c>
      <x:c r="H7" s="18" t="n">
        <x:v>0.12</x:v>
      </x:c>
      <x:c r="I7" s="18" t="n">
        <x:v>0.24</x:v>
      </x:c>
      <x:c r="J7" s="18" t="n">
        <x:v>-0.21</x:v>
      </x:c>
      <x:c r="K7" s="15" t="str">
        <x:v>ret_1day_pct</x:v>
      </x:c>
      <x:c r="L7" s="15" t="str">
        <x:v>DOWN</x:v>
      </x:c>
      <x:c r="M7" s="15" t="str">
        <x:v>## Prior Context
Lockheed had sold off after Q1 on margin concerns. Q2 needed to show that higher F-35 volume could translate into better earnings and a stronger annual outlook.
### Verified prior source
2017-04-25 | Lockheed Martin | Lockheed Martin Reports First Quarter 2017 Results | https://news.lockheedmartin.com/2017-04-25-Lockheed-Martin-Reports-First-Quarter-2017-Results
## Current Earnings Release
Q2 sales reached **$12.7 billion** and EPS **$3.23**, both above consensus. Aeronautics sales increased almost **20%**, driven largely by the F-35 program. Lockheed raised full-year sales and EPS guidance for the second time in 2017.
The operating report was strong. However, the stock’s intraday reaction was unusually volatile: it gapped to a record high, reversed sharply, recovered, and ultimately finished the session slightly negative in the supplied data. No verified contemporaneous source identified a fundamental deterioration that explains that small closing decline.
### Verified release source
2017-07-18 | Lockheed Martin | Lockheed Martin Reports Second Quarter 2017 Results | https://news.lockheedmartin.com/2017-07-18-Lockheed-Martin-Reports-Second-Quarter-2017-Results
## Possible Drivers
**First-order driver.** The quarter itself was a beat-and-raise; the slight negative close is best treated as a low-confidence positioning/valuation reversal, not an operating disappointment.
**Second-order driver.** F-35 volume drove nearly 20% Aeronautics growth.
**Third-order driver.** Higher annual guidance confirmed strong fundamentals despite the muted close.
### Verified reaction source
2017-07-18 | TheStreet | Lockheed Martin Chart Causes Pause as Stock Price Takes Off | https://www.thestreet.com/investing/stocks/lockheed-martin-chart-causes-pause-as-stock-price-takes-off-14232964
## Verification Status
Included sources were checked for Lockheed Martin/LMT identity, the correct earnings event, publication date, timing window and source origin. Lockheed Martin’s own release is the factual anchor. No WSJ, Reuters, Dow Jones or MarketWatch-syndicated article is included. Where contemporaneous coverage did not explicitly explain the final full-day move, the driver is labeled as a supported inference rather than stated as fact.
</x:v>
      </x:c>
      <x:c r="N7" s="15" t="str">
        <x:v>2017-04-25 | Lockheed Martin | Lockheed Martin Reports First Quarter 2017 Results | https://news.lockheedmartin.com/2017-04-25-Lockheed-Martin-Reports-First-Quarter-2017-Results</x:v>
      </x:c>
      <x:c r="O7" s="15" t="str">
        <x:v>2017-07-18 | Lockheed Martin | Lockheed Martin Reports Second Quarter 2017 Results | https://news.lockheedmartin.com/2017-07-18-Lockheed-Martin-Reports-Second-Quarter-2017-Results</x:v>
      </x:c>
      <x:c r="P7" s="15" t="str">
        <x:v>2017-07-18 | TheStreet | Lockheed Martin Chart Causes Pause as Stock Price Takes Off | https://www.thestreet.com/investing/stocks/lockheed-martin-chart-causes-pause-as-stock-price-takes-off-14232964</x:v>
      </x:c>
      <x:c r="Q7" s="15" t="str">
        <x:v>2017-04-25 | Lockheed Martin | Lockheed Martin Reports First Quarter 2017 Results | https://news.lockheedmartin.com/2017-04-25-Lockheed-Martin-Reports-First-Quarter-2017-Results
2017-07-18 | Lockheed Martin | Lockheed Martin Reports Second Quarter 2017 Results | https://news.lockheedmartin.com/2017-07-18-Lockheed-Martin-Reports-Second-Quarter-2017-Results
2017-07-18 | TheStreet | Lockheed Martin Chart Causes Pause as Stock Price Takes Off | https://www.thestreet.com/investing/stocks/lockheed-martin-chart-causes-pause-as-stock-price-takes-off-14232964</x:v>
      </x:c>
      <x:c r="R7" s="15" t="n">
        <x:v>3</x:v>
      </x:c>
      <x:c r="S7" s="15" t="str">
        <x:v>PASS</x:v>
      </x:c>
    </x:row>
    <x:row r="8" ht="340" customHeight="1">
      <x:c r="A8" s="15" t="n">
        <x:v>6</x:v>
      </x:c>
      <x:c r="B8" s="15" t="str">
        <x:v>LMT</x:v>
      </x:c>
      <x:c r="C8" s="15" t="str">
        <x:v>Lockheed Martin</x:v>
      </x:c>
      <x:c r="D8" s="15" t="str">
        <x:v>2017q4</x:v>
      </x:c>
      <x:c r="E8" s="15" t="str">
        <x:v>2017-10-24</x:v>
      </x:c>
      <x:c r="F8" s="18" t="n">
        <x:v>-2.53</x:v>
      </x:c>
      <x:c r="G8" s="18" t="n">
        <x:v>0.31</x:v>
      </x:c>
      <x:c r="H8" s="18" t="n">
        <x:v>-2.23</x:v>
      </x:c>
      <x:c r="I8" s="18" t="n">
        <x:v>-1.59</x:v>
      </x:c>
      <x:c r="J8" s="18" t="n">
        <x:v>-3.86</x:v>
      </x:c>
      <x:c r="K8" s="15" t="str">
        <x:v>ret_1day_pct</x:v>
      </x:c>
      <x:c r="L8" s="15" t="str">
        <x:v>DOWN</x:v>
      </x:c>
      <x:c r="M8" s="15" t="str">
        <x:v>## Prior Context
By Q3 the stock traded near records, supported by expectations for higher U.S. defense spending and continued F-35 growth. That made the quarterly expectations bar relatively high.
### Verified prior source
2017-07-18 | Lockheed Martin | Lockheed Martin Reports Second Quarter 2017 Results | https://news.lockheedmartin.com/2017-07-18-Lockheed-Martin-Reports-Second-Quarter-2017-Results
## Current Earnings Release
Q3 sales were **$12.2 billion** and EPS **$3.24**. Both missed consensus modestly; contemporaneous coverage cited expectations around $12.8 billion of sales and $3.26 EPS. Lockheed nevertheless raised its full-year 2017 outlook and reported a record **$103.6 billion backlog**.
The forward outlook also contained a cash-flow caveat: 2018 would require higher F-35 material purchases and increased capital investment. Thus, a modest current-quarter miss arrived alongside good backlog and guidance but a less attractive near-term cash conversion profile.
### Verified release source
2017-10-24 | Lockheed Martin | Lockheed Martin Reports Third Quarter 2017 Results | https://news.lockheedmartin.com/2017-10-24-Lockheed-Martin-Reports-Third-Quarter-2017-Results
## Possible Drivers
**First-order driver.** Shares fell because sales and EPS missed expectations despite higher full-year guidance.
**Second-order driver.** 2018 cash requirements for F-35 materials and capital spending tempered the outlook.
**Third-order driver.** Record backlog limited the long-term concern but did not offset the near-term miss.
### Verified reaction source
2017-10-24 | TheStreet | Solid Quarters From Caterpillar, 3M Drive Dow to Intraday Records | https://www.thestreet.com/investing/futures/quarter-earnings-sales-revenue-caterpillar-3m-mcdonalds-dow-solid-gains-14356376
## Verification Status
Included sources were checked for Lockheed Martin/LMT identity, the correct earnings event, publication date, timing window and source origin. Lockheed Martin’s own release is the factual anchor. No WSJ, Reuters, Dow Jones or MarketWatch-syndicated article is included. Where contemporaneous coverage did not explicitly explain the final full-day move, the driver is labeled as a supported inference rather than stated as fact.
</x:v>
      </x:c>
      <x:c r="N8" s="15" t="str">
        <x:v>2017-07-18 | Lockheed Martin | Lockheed Martin Reports Second Quarter 2017 Results | https://news.lockheedmartin.com/2017-07-18-Lockheed-Martin-Reports-Second-Quarter-2017-Results</x:v>
      </x:c>
      <x:c r="O8" s="15" t="str">
        <x:v>2017-10-24 | Lockheed Martin | Lockheed Martin Reports Third Quarter 2017 Results | https://news.lockheedmartin.com/2017-10-24-Lockheed-Martin-Reports-Third-Quarter-2017-Results</x:v>
      </x:c>
      <x:c r="P8" s="15" t="str">
        <x:v>2017-10-24 | TheStreet | Solid Quarters From Caterpillar, 3M Drive Dow to Intraday Records | https://www.thestreet.com/investing/futures/quarter-earnings-sales-revenue-caterpillar-3m-mcdonalds-dow-solid-gains-14356376</x:v>
      </x:c>
      <x:c r="Q8" s="15" t="str">
        <x:v>2017-07-18 | Lockheed Martin | Lockheed Martin Reports Second Quarter 2017 Results | https://news.lockheedmartin.com/2017-07-18-Lockheed-Martin-Reports-Second-Quarter-2017-Results
2017-10-24 | Lockheed Martin | Lockheed Martin Reports Third Quarter 2017 Results | https://news.lockheedmartin.com/2017-10-24-Lockheed-Martin-Reports-Third-Quarter-2017-Results
2017-10-24 | TheStreet | Solid Quarters From Caterpillar, 3M Drive Dow to Intraday Records | https://www.thestreet.com/investing/futures/quarter-earnings-sales-revenue-caterpillar-3m-mcdonalds-dow-solid-gains-14356376</x:v>
      </x:c>
      <x:c r="R8" s="15" t="n">
        <x:v>3</x:v>
      </x:c>
      <x:c r="S8" s="15" t="str">
        <x:v>PASS</x:v>
      </x:c>
    </x:row>
    <x:row r="9" ht="340" customHeight="1">
      <x:c r="A9" s="15" t="n">
        <x:v>7</x:v>
      </x:c>
      <x:c r="B9" s="15" t="str">
        <x:v>LMT</x:v>
      </x:c>
      <x:c r="C9" s="15" t="str">
        <x:v>Lockheed Martin</x:v>
      </x:c>
      <x:c r="D9" s="15" t="str">
        <x:v>2018q1</x:v>
      </x:c>
      <x:c r="E9" s="15" t="str">
        <x:v>2018-01-29</x:v>
      </x:c>
      <x:c r="F9" s="18" t="n">
        <x:v>2.58</x:v>
      </x:c>
      <x:c r="G9" s="18" t="n">
        <x:v>0.73</x:v>
      </x:c>
      <x:c r="H9" s="18" t="n">
        <x:v>3.33</x:v>
      </x:c>
      <x:c r="I9" s="18" t="n">
        <x:v>5.44</x:v>
      </x:c>
      <x:c r="J9" s="18" t="n">
        <x:v>7.56</x:v>
      </x:c>
      <x:c r="K9" s="15" t="str">
        <x:v>ret_1day_pct</x:v>
      </x:c>
      <x:c r="L9" s="15" t="str">
        <x:v>UP</x:v>
      </x:c>
      <x:c r="M9" s="15" t="str">
        <x:v>## Prior Context
Lockheed entered 2018 with a record defense-spending backdrop, roughly $100 billion of backlog and an accelerating F-35 delivery schedule. Tax reform also materially changed reported earnings and pension funding.
### Verified prior source
2017-10-24 | Lockheed Martin | Lockheed Martin Reports Third Quarter 2017 Results | https://news.lockheedmartin.com/2017-10-24-Lockheed-Martin-Reports-Third-Quarter-2017-Results
## Current Earnings Release
Q4 sales increased to **$15.1 billion** and adjusted EPS, excluding the one-time tax-reform charge, was **$4.30**. Full-year sales reached a record **$51.0 billion**, cash from operations a record **$6.5 billion**, and backlog remained near **$100 billion**.
For 2018, Lockheed projected a major increase in EPS from the lower tax rate and higher operating profit. Management also expected F-35 deliveries to rise from 66 aircraft in 2017 to roughly **90 in 2018**. Although the company planned a large accelerated pension contribution, the underlying operational outlook remained constructive.
### Verified release source
2018-01-29 | Lockheed Martin | Lockheed Martin Reports Fourth Quarter and Full Year 2017 Results | https://news.lockheedmartin.com/2018-01-29-Lockheed-Martin-Reports-Fourth-Quarter-and-Full-Year-2017-Results
## Possible Drivers
**First-order driver.** The positive reaction is supported by record 2017 results and a strong 2018 earnings outlook.
**Second-order driver.** Accelerating F-35 deliveries supported continued Aeronautics growth.
**Third-order driver.** Tax reform raised EPS while accelerated pension funding changed the timing of cash flow.
### Verified reaction source
2018-01-29 | The Motley Fool | Lockheed Martin Corporation (LMT) Q4 2017 Earnings Conference Call Transcript | https://www.fool.com/earnings/call-transcripts/2018/01/29/lockheed-martin-corporation-lmt-q4-2017-earnings-c.aspx
## Verification Status
Included sources were checked for Lockheed Martin/LMT identity, the correct earnings event, publication date, timing window and source origin. Lockheed Martin’s own release is the factual anchor. No WSJ, Reuters, Dow Jones or MarketWatch-syndicated article is included. Where contemporaneous coverage did not explicitly explain the final full-day move, the driver is labeled as a supported inference rather than stated as fact.
</x:v>
      </x:c>
      <x:c r="N9" s="15" t="str">
        <x:v>2017-10-24 | Lockheed Martin | Lockheed Martin Reports Third Quarter 2017 Results | https://news.lockheedmartin.com/2017-10-24-Lockheed-Martin-Reports-Third-Quarter-2017-Results</x:v>
      </x:c>
      <x:c r="O9" s="15" t="str">
        <x:v>2018-01-29 | Lockheed Martin | Lockheed Martin Reports Fourth Quarter and Full Year 2017 Results | https://news.lockheedmartin.com/2018-01-29-Lockheed-Martin-Reports-Fourth-Quarter-and-Full-Year-2017-Results</x:v>
      </x:c>
      <x:c r="P9" s="15" t="str">
        <x:v>2018-01-29 | The Motley Fool | Lockheed Martin Corporation (LMT) Q4 2017 Earnings Conference Call Transcript | https://www.fool.com/earnings/call-transcripts/2018/01/29/lockheed-martin-corporation-lmt-q4-2017-earnings-c.aspx</x:v>
      </x:c>
      <x:c r="Q9" s="15" t="str">
        <x:v>2017-10-24 | Lockheed Martin | Lockheed Martin Reports Third Quarter 2017 Results | https://news.lockheedmartin.com/2017-10-24-Lockheed-Martin-Reports-Third-Quarter-2017-Results
2018-01-29 | Lockheed Martin | Lockheed Martin Reports Fourth Quarter and Full Year 2017 Results | https://news.lockheedmartin.com/2018-01-29-Lockheed-Martin-Reports-Fourth-Quarter-and-Full-Year-2017-Results
2018-01-29 | The Motley Fool | Lockheed Martin Corporation (LMT) Q4 2017 Earnings Conference Call Transcript | https://www.fool.com/earnings/call-transcripts/2018/01/29/lockheed-martin-corporation-lmt-q4-2017-earnings-c.aspx</x:v>
      </x:c>
      <x:c r="R9" s="15" t="n">
        <x:v>3</x:v>
      </x:c>
      <x:c r="S9" s="15" t="str">
        <x:v>PASS</x:v>
      </x:c>
    </x:row>
    <x:row r="10" ht="340" customHeight="1">
      <x:c r="A10" s="15" t="n">
        <x:v>8</x:v>
      </x:c>
      <x:c r="B10" s="15" t="str">
        <x:v>LMT</x:v>
      </x:c>
      <x:c r="C10" s="15" t="str">
        <x:v>Lockheed Martin</x:v>
      </x:c>
      <x:c r="D10" s="15" t="str">
        <x:v>2018q2</x:v>
      </x:c>
      <x:c r="E10" s="15" t="str">
        <x:v>2018-04-24</x:v>
      </x:c>
      <x:c r="F10" s="18" t="n">
        <x:v>-5.03</x:v>
      </x:c>
      <x:c r="G10" s="18" t="n">
        <x:v>-2.15</x:v>
      </x:c>
      <x:c r="H10" s="18" t="n">
        <x:v>-7.07</x:v>
      </x:c>
      <x:c r="I10" s="18" t="n">
        <x:v>-5.29</x:v>
      </x:c>
      <x:c r="J10" s="18" t="n">
        <x:v>-8.33</x:v>
      </x:c>
      <x:c r="K10" s="15" t="str">
        <x:v>ret_1day_pct</x:v>
      </x:c>
      <x:c r="L10" s="15" t="str">
        <x:v>DOWN</x:v>
      </x:c>
      <x:c r="M10" s="15" t="str">
        <x:v>## Prior Context
After January, investors expected a strong defense-spending cycle and substantial tax-driven EPS growth. The key question was whether reported earnings would also convert into cash.
### Verified prior source
2018-01-29 | Lockheed Martin | Lockheed Martin Reports Fourth Quarter and Full Year 2017 Results | https://news.lockheedmartin.com/2018-01-29-Lockheed-Martin-Reports-Fourth-Quarter-and-Full-Year-2017-Results
## Current Earnings Release
Q1 sales rose **4% to $11.6 billion**, while EPS surged **49% to $4.02**, far above consensus near $3.40. Lockheed raised full-year sales, operating-profit and EPS guidance.
The weak point was cash. Cash from operations was only **$632 million** after a $1.5 billion pension contribution, and free cash flow was roughly $416 million. Crucially, management **did not raise annual cash-flow guidance**, even while increasing nearly every other financial metric. That disconnect between accounting earnings and cash generation dominated the reaction.
### Verified release source
2018-04-24 | Lockheed Martin | Lockheed Martin Reports First Quarter 2018 Results | https://news.lockheedmartin.com/2018-04-24-Lockheed-Martin-Reports-First-Quarter-2018-Results
## Possible Drivers
**First-order driver.** Shares dropped about 5% because cash flow disappointed despite a large EPS beat.
**Second-order driver.** Pension funding consumed much of first-quarter operating cash.
**Third-order driver.** Unchanged annual cash-flow guidance made the raised EPS outlook less valuable to investors.
### Verified reaction source
2018-04-24 | The Motley Fool | Why Lockheed Martin Stock Just Dropped 5% | https://www.fool.com/investing/2018/04/24/why-lockheed-martin-stock-just-dropped-5.aspx
## Verification Status
Included sources were checked for Lockheed Martin/LMT identity, the correct earnings event, publication date, timing window and source origin. Lockheed Martin’s own release is the factual anchor. No WSJ, Reuters, Dow Jones or MarketWatch-syndicated article is included. Where contemporaneous coverage did not explicitly explain the final full-day move, the driver is labeled as a supported inference rather than stated as fact.
</x:v>
      </x:c>
      <x:c r="N10" s="15" t="str">
        <x:v>2018-01-29 | Lockheed Martin | Lockheed Martin Reports Fourth Quarter and Full Year 2017 Results | https://news.lockheedmartin.com/2018-01-29-Lockheed-Martin-Reports-Fourth-Quarter-and-Full-Year-2017-Results</x:v>
      </x:c>
      <x:c r="O10" s="15" t="str">
        <x:v>2018-04-24 | Lockheed Martin | Lockheed Martin Reports First Quarter 2018 Results | https://news.lockheedmartin.com/2018-04-24-Lockheed-Martin-Reports-First-Quarter-2018-Results</x:v>
      </x:c>
      <x:c r="P10" s="15" t="str">
        <x:v>2018-04-24 | The Motley Fool | Why Lockheed Martin Stock Just Dropped 5% | https://www.fool.com/investing/2018/04/24/why-lockheed-martin-stock-just-dropped-5.aspx</x:v>
      </x:c>
      <x:c r="Q10" s="15" t="str">
        <x:v>2018-01-29 | Lockheed Martin | Lockheed Martin Reports Fourth Quarter and Full Year 2017 Results | https://news.lockheedmartin.com/2018-01-29-Lockheed-Martin-Reports-Fourth-Quarter-and-Full-Year-2017-Results
2018-04-24 | Lockheed Martin | Lockheed Martin Reports First Quarter 2018 Results | https://news.lockheedmartin.com/2018-04-24-Lockheed-Martin-Reports-First-Quarter-2018-Results
2018-04-24 | The Motley Fool | Why Lockheed Martin Stock Just Dropped 5% | https://www.fool.com/investing/2018/04/24/why-lockheed-martin-stock-just-dropped-5.aspx</x:v>
      </x:c>
      <x:c r="R10" s="15" t="n">
        <x:v>3</x:v>
      </x:c>
      <x:c r="S10" s="15" t="str">
        <x:v>PASS</x:v>
      </x:c>
    </x:row>
    <x:row r="11" ht="340" customHeight="1">
      <x:c r="A11" s="15" t="n">
        <x:v>9</x:v>
      </x:c>
      <x:c r="B11" s="15" t="str">
        <x:v>LMT</x:v>
      </x:c>
      <x:c r="C11" s="15" t="str">
        <x:v>Lockheed Martin</x:v>
      </x:c>
      <x:c r="D11" s="15" t="str">
        <x:v>2018q3</x:v>
      </x:c>
      <x:c r="E11" s="15" t="str">
        <x:v>2018-07-24</x:v>
      </x:c>
      <x:c r="F11" s="18" t="n">
        <x:v>1.13</x:v>
      </x:c>
      <x:c r="G11" s="18" t="n">
        <x:v>-0.27</x:v>
      </x:c>
      <x:c r="H11" s="18" t="n">
        <x:v>0.86</x:v>
      </x:c>
      <x:c r="I11" s="18" t="n">
        <x:v>-0.56</x:v>
      </x:c>
      <x:c r="J11" s="18" t="n">
        <x:v>0.27</x:v>
      </x:c>
      <x:c r="K11" s="15" t="str">
        <x:v>ret_1day_pct</x:v>
      </x:c>
      <x:c r="L11" s="15" t="str">
        <x:v>UP</x:v>
      </x:c>
      <x:c r="M11" s="15" t="str">
        <x:v>## Prior Context
Following April’s cash-flow-driven selloff, Lockheed needed to show that the defense up-cycle was still producing stronger operating earnings and that the cash weakness was largely pension timing.
### Verified prior source
2018-04-24 | Lockheed Martin | Lockheed Martin Reports First Quarter 2018 Results | https://news.lockheedmartin.com/2018-04-24-Lockheed-Martin-Reports-First-Quarter-2018-Results
## Current Earnings Release
Q2 sales increased **6% to $13.4 billion**, while EPS rose to **$4.05** despite a **$0.26 restructuring charge**. Lockheed raised its 2018 outlook for **all major financial metrics**, including EPS and sales.
F-35 production volume continued to drive Aeronautics growth, while Missiles and Fire Control and Rotary &amp; Mission Systems also improved. Cash from operations was negative because Lockheed made a **$2.0 billion pension contribution**, making the underlying operating performance much stronger than headline cash flow suggested.
### Verified release source
2018-07-24 | Lockheed Martin | Lockheed Martin Reports Second Quarter 2018 Results | https://news.lockheedmartin.com/2018-07-24-Lockheed-Martin-Reports-Second-Quarter-2018-Results
## Possible Drivers
**First-order driver.** Shares rose because earnings beat expectations and management raised the full-year outlook.
**Second-order driver.** F-35 volume and improving defense demand supported broad-based growth.
**Third-order driver.** Investors treated weak cash flow as pension timing rather than a deterioration in operations.
### Verified reaction source
2018-07-25 | The Motley Fool | Lockheed Martin Beats Earnings, Wins Upgrade | https://www.fool.com/investing/2018/07/25/lockheed-martin-beats-earnings-wins-upgrade.aspx
## Verification Status
Included sources were checked for Lockheed Martin/LMT identity, the correct earnings event, publication date, timing window and source origin. Lockheed Martin’s own release is the factual anchor. No WSJ, Reuters, Dow Jones or MarketWatch-syndicated article is included. Where contemporaneous coverage did not explicitly explain the final full-day move, the driver is labeled as a supported inference rather than stated as fact.
</x:v>
      </x:c>
      <x:c r="N11" s="15" t="str">
        <x:v>2018-04-24 | Lockheed Martin | Lockheed Martin Reports First Quarter 2018 Results | https://news.lockheedmartin.com/2018-04-24-Lockheed-Martin-Reports-First-Quarter-2018-Results</x:v>
      </x:c>
      <x:c r="O11" s="15" t="str">
        <x:v>2018-07-24 | Lockheed Martin | Lockheed Martin Reports Second Quarter 2018 Results | https://news.lockheedmartin.com/2018-07-24-Lockheed-Martin-Reports-Second-Quarter-2018-Results</x:v>
      </x:c>
      <x:c r="P11" s="15" t="str">
        <x:v>2018-07-25 | The Motley Fool | Lockheed Martin Beats Earnings, Wins Upgrade | https://www.fool.com/investing/2018/07/25/lockheed-martin-beats-earnings-wins-upgrade.aspx</x:v>
      </x:c>
      <x:c r="Q11" s="15" t="str">
        <x:v>2018-04-24 | Lockheed Martin | Lockheed Martin Reports First Quarter 2018 Results | https://news.lockheedmartin.com/2018-04-24-Lockheed-Martin-Reports-First-Quarter-2018-Results
2018-07-24 | Lockheed Martin | Lockheed Martin Reports Second Quarter 2018 Results | https://news.lockheedmartin.com/2018-07-24-Lockheed-Martin-Reports-Second-Quarter-2018-Results
2018-07-25 | The Motley Fool | Lockheed Martin Beats Earnings, Wins Upgrade | https://www.fool.com/investing/2018/07/25/lockheed-martin-beats-earnings-wins-upgrade.aspx</x:v>
      </x:c>
      <x:c r="R11" s="15" t="n">
        <x:v>3</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4" hidden="0" customWidth="1"/>
    <x:col min="7" max="7" width="62" hidden="0" customWidth="1"/>
    <x:col min="8" max="8" width="92" hidden="0" customWidth="1"/>
    <x:col min="9" max="9" width="16" hidden="0" customWidth="1"/>
    <x:col min="10" max="10" width="14" hidden="0" customWidth="1"/>
    <x:col min="11" max="11" width="14" hidden="0" customWidth="1"/>
    <x:col min="12" max="12" width="14" hidden="0" customWidth="1"/>
    <x:col min="13" max="13" width="18" hidden="0" customWidth="1"/>
    <x:col min="14" max="14" width="18" hidden="0" customWidth="1"/>
    <x:col min="15" max="15" width="28" hidden="0" customWidth="1"/>
    <x:col min="16" max="16" width="14" hidden="0" customWidth="1"/>
    <x:col min="17" max="17" width="76"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2016-04-26</x:v>
      </x:c>
      <x:c r="B2" s="12" t="str">
        <x:v>LMT</x:v>
      </x:c>
      <x:c r="C2" s="12" t="str">
        <x:v>prior</x:v>
      </x:c>
      <x:c r="D2" s="12" t="str">
        <x:v>2016-01-26</x:v>
      </x:c>
      <x:c r="E2" s="12" t="n">
        <x:v>-91</x:v>
      </x:c>
      <x:c r="F2" s="12" t="str">
        <x:v>TheStreet</x:v>
      </x:c>
      <x:c r="G2" s="12" t="str">
        <x:v>Lockheed Martin (LMT) Stock Tumbles on Guidance, Leidos Deal</x:v>
      </x:c>
      <x:c r="H2" s="12" t="str">
        <x:v>https://www.thestreet.com/markets/lockheed-martin-lmt-stock-tumbles-on-guidance-leidos-deal-jim-cramer-s-view-13436104</x:v>
      </x:c>
      <x:c r="I2" s="12" t="str">
        <x:v>VERIFIED</x:v>
      </x:c>
      <x:c r="J2" s="12" t="str">
        <x:v>PASS</x:v>
      </x:c>
      <x:c r="K2" s="12" t="str">
        <x:v>PASS</x:v>
      </x:c>
      <x:c r="L2" s="12" t="str">
        <x:v>PASS</x:v>
      </x:c>
      <x:c r="M2" s="12" t="str">
        <x:v>NO</x:v>
      </x:c>
      <x:c r="N2" s="12" t="str">
        <x:v>PASS</x:v>
      </x:c>
      <x:c r="O2" s="12" t="str">
        <x:v>FACTUAL</x:v>
      </x:c>
      <x:c r="P2" s="12" t="str">
        <x:v>PASS</x:v>
      </x:c>
      <x:c r="Q2" s="12" t="str">
        <x:v>Checked for Lockheed Martin/LMT identity, exact event, date, timing window, and prohibited-source origin.</x:v>
      </x:c>
    </x:row>
    <x:row r="3">
      <x:c r="A3" s="12" t="str">
        <x:v>2016-04-26</x:v>
      </x:c>
      <x:c r="B3" s="12" t="str">
        <x:v>LMT</x:v>
      </x:c>
      <x:c r="C3" s="12" t="str">
        <x:v>release</x:v>
      </x:c>
      <x:c r="D3" s="12" t="str">
        <x:v>2016-04-26</x:v>
      </x:c>
      <x:c r="E3" s="12" t="n">
        <x:v>0</x:v>
      </x:c>
      <x:c r="F3" s="12" t="str">
        <x:v>Lockheed Martin</x:v>
      </x:c>
      <x:c r="G3" s="12" t="str">
        <x:v>Lockheed Martin Reports First Quarter 2016 Results</x:v>
      </x:c>
      <x:c r="H3" s="12" t="str">
        <x:v>https://news.lockheedmartin.com/2016-04-26-Lockheed-Martin-Reports-First-Quarter-2016-Results</x:v>
      </x:c>
      <x:c r="I3" s="12" t="str">
        <x:v>VERIFIED</x:v>
      </x:c>
      <x:c r="J3" s="12" t="str">
        <x:v>PASS</x:v>
      </x:c>
      <x:c r="K3" s="12" t="str">
        <x:v>PASS</x:v>
      </x:c>
      <x:c r="L3" s="12" t="str">
        <x:v>PASS</x:v>
      </x:c>
      <x:c r="M3" s="12" t="str">
        <x:v>NO</x:v>
      </x:c>
      <x:c r="N3" s="12" t="str">
        <x:v>PASS</x:v>
      </x:c>
      <x:c r="O3" s="12" t="str">
        <x:v>FACTUAL</x:v>
      </x:c>
      <x:c r="P3" s="12" t="str">
        <x:v>PASS</x:v>
      </x:c>
      <x:c r="Q3" s="12" t="str">
        <x:v>Checked for Lockheed Martin/LMT identity, exact event, date, timing window, and prohibited-source origin.</x:v>
      </x:c>
    </x:row>
    <x:row r="4">
      <x:c r="A4" s="12" t="str">
        <x:v>2016-04-26</x:v>
      </x:c>
      <x:c r="B4" s="12" t="str">
        <x:v>LMT</x:v>
      </x:c>
      <x:c r="C4" s="12" t="str">
        <x:v>reaction</x:v>
      </x:c>
      <x:c r="D4" s="12" t="str">
        <x:v>2016-04-26</x:v>
      </x:c>
      <x:c r="E4" s="12" t="n">
        <x:v>0</x:v>
      </x:c>
      <x:c r="F4" s="12" t="str">
        <x:v>The Motley Fool</x:v>
      </x:c>
      <x:c r="G4" s="12" t="str">
        <x:v>Lockheed Martin Stock Surprises to the Upside</x:v>
      </x:c>
      <x:c r="H4" s="12" t="str">
        <x:v>https://www.fool.com/investing/general/2016/04/26/lockheed-martin-stock-surprises-to-the-upside.aspx</x:v>
      </x:c>
      <x:c r="I4" s="12" t="str">
        <x:v>VERIFIED</x:v>
      </x:c>
      <x:c r="J4" s="12" t="str">
        <x:v>PASS</x:v>
      </x:c>
      <x:c r="K4" s="12" t="str">
        <x:v>PASS</x:v>
      </x:c>
      <x:c r="L4" s="12" t="str">
        <x:v>PASS</x:v>
      </x:c>
      <x:c r="M4" s="12" t="str">
        <x:v>NO</x:v>
      </x:c>
      <x:c r="N4" s="12" t="str">
        <x:v>PASS</x:v>
      </x:c>
      <x:c r="O4" s="12" t="str">
        <x:v>CONTEMPORANEOUS_ATTRIBUTION</x:v>
      </x:c>
      <x:c r="P4" s="12" t="str">
        <x:v>PASS</x:v>
      </x:c>
      <x:c r="Q4" s="12" t="str">
        <x:v>Checked for Lockheed Martin/LMT identity, exact event, date, timing window, and prohibited-source origin.</x:v>
      </x:c>
    </x:row>
    <x:row r="5">
      <x:c r="A5" s="12" t="str">
        <x:v>2016-07-19</x:v>
      </x:c>
      <x:c r="B5" s="12" t="str">
        <x:v>LMT</x:v>
      </x:c>
      <x:c r="C5" s="12" t="str">
        <x:v>prior</x:v>
      </x:c>
      <x:c r="D5" s="12" t="str">
        <x:v>2016-04-26</x:v>
      </x:c>
      <x:c r="E5" s="12" t="n">
        <x:v>-84</x:v>
      </x:c>
      <x:c r="F5" s="12" t="str">
        <x:v>Lockheed Martin</x:v>
      </x:c>
      <x:c r="G5" s="12" t="str">
        <x:v>Lockheed Martin Reports First Quarter 2016 Results</x:v>
      </x:c>
      <x:c r="H5" s="12" t="str">
        <x:v>https://news.lockheedmartin.com/2016-04-26-Lockheed-Martin-Reports-First-Quarter-2016-Results</x:v>
      </x:c>
      <x:c r="I5" s="12" t="str">
        <x:v>VERIFIED</x:v>
      </x:c>
      <x:c r="J5" s="12" t="str">
        <x:v>PASS</x:v>
      </x:c>
      <x:c r="K5" s="12" t="str">
        <x:v>PASS</x:v>
      </x:c>
      <x:c r="L5" s="12" t="str">
        <x:v>PASS</x:v>
      </x:c>
      <x:c r="M5" s="12" t="str">
        <x:v>NO</x:v>
      </x:c>
      <x:c r="N5" s="12" t="str">
        <x:v>PASS</x:v>
      </x:c>
      <x:c r="O5" s="12" t="str">
        <x:v>FACTUAL</x:v>
      </x:c>
      <x:c r="P5" s="12" t="str">
        <x:v>PASS</x:v>
      </x:c>
      <x:c r="Q5" s="12" t="str">
        <x:v>Checked for Lockheed Martin/LMT identity, exact event, date, timing window, and prohibited-source origin.</x:v>
      </x:c>
    </x:row>
    <x:row r="6">
      <x:c r="A6" s="12" t="str">
        <x:v>2016-07-19</x:v>
      </x:c>
      <x:c r="B6" s="12" t="str">
        <x:v>LMT</x:v>
      </x:c>
      <x:c r="C6" s="12" t="str">
        <x:v>release</x:v>
      </x:c>
      <x:c r="D6" s="12" t="str">
        <x:v>2016-07-19</x:v>
      </x:c>
      <x:c r="E6" s="12" t="n">
        <x:v>0</x:v>
      </x:c>
      <x:c r="F6" s="12" t="str">
        <x:v>Lockheed Martin</x:v>
      </x:c>
      <x:c r="G6" s="12" t="str">
        <x:v>Lockheed Martin Reports Second Quarter 2016 Results</x:v>
      </x:c>
      <x:c r="H6" s="12" t="str">
        <x:v>https://news.lockheedmartin.com/2016-07-19-Lockheed-Martin-Reports-Second-Quarter-2016-Results</x:v>
      </x:c>
      <x:c r="I6" s="12" t="str">
        <x:v>VERIFIED</x:v>
      </x:c>
      <x:c r="J6" s="12" t="str">
        <x:v>PASS</x:v>
      </x:c>
      <x:c r="K6" s="12" t="str">
        <x:v>PASS</x:v>
      </x:c>
      <x:c r="L6" s="12" t="str">
        <x:v>PASS</x:v>
      </x:c>
      <x:c r="M6" s="12" t="str">
        <x:v>NO</x:v>
      </x:c>
      <x:c r="N6" s="12" t="str">
        <x:v>PASS</x:v>
      </x:c>
      <x:c r="O6" s="12" t="str">
        <x:v>FACTUAL</x:v>
      </x:c>
      <x:c r="P6" s="12" t="str">
        <x:v>PASS</x:v>
      </x:c>
      <x:c r="Q6" s="12" t="str">
        <x:v>Checked for Lockheed Martin/LMT identity, exact event, date, timing window, and prohibited-source origin.</x:v>
      </x:c>
    </x:row>
    <x:row r="7">
      <x:c r="A7" s="12" t="str">
        <x:v>2016-07-19</x:v>
      </x:c>
      <x:c r="B7" s="12" t="str">
        <x:v>LMT</x:v>
      </x:c>
      <x:c r="C7" s="12" t="str">
        <x:v>reaction</x:v>
      </x:c>
      <x:c r="D7" s="12" t="str">
        <x:v>2016-07-19</x:v>
      </x:c>
      <x:c r="E7" s="12" t="n">
        <x:v>0</x:v>
      </x:c>
      <x:c r="F7" s="12" t="str">
        <x:v>TheStreet</x:v>
      </x:c>
      <x:c r="G7" s="12" t="str">
        <x:v>Lockheed Martin (LMT) Stock Rising on Q2 Earnings Beat, Positive Guidance</x:v>
      </x:c>
      <x:c r="H7" s="12" t="str">
        <x:v>https://www.thestreet.com/markets/lockheed-martin-lmt-stock-rising-on-q2-earnings-beat-positive-guidance-13644326</x:v>
      </x:c>
      <x:c r="I7" s="12" t="str">
        <x:v>VERIFIED</x:v>
      </x:c>
      <x:c r="J7" s="12" t="str">
        <x:v>PASS</x:v>
      </x:c>
      <x:c r="K7" s="12" t="str">
        <x:v>PASS</x:v>
      </x:c>
      <x:c r="L7" s="12" t="str">
        <x:v>PASS</x:v>
      </x:c>
      <x:c r="M7" s="12" t="str">
        <x:v>NO</x:v>
      </x:c>
      <x:c r="N7" s="12" t="str">
        <x:v>PASS</x:v>
      </x:c>
      <x:c r="O7" s="12" t="str">
        <x:v>CONTEMPORANEOUS_ATTRIBUTION</x:v>
      </x:c>
      <x:c r="P7" s="12" t="str">
        <x:v>PASS</x:v>
      </x:c>
      <x:c r="Q7" s="12" t="str">
        <x:v>Checked for Lockheed Martin/LMT identity, exact event, date, timing window, and prohibited-source origin.</x:v>
      </x:c>
    </x:row>
    <x:row r="8">
      <x:c r="A8" s="12" t="str">
        <x:v>2016-10-25</x:v>
      </x:c>
      <x:c r="B8" s="12" t="str">
        <x:v>LMT</x:v>
      </x:c>
      <x:c r="C8" s="12" t="str">
        <x:v>prior</x:v>
      </x:c>
      <x:c r="D8" s="12" t="str">
        <x:v>2016-07-19</x:v>
      </x:c>
      <x:c r="E8" s="12" t="n">
        <x:v>-98</x:v>
      </x:c>
      <x:c r="F8" s="12" t="str">
        <x:v>Lockheed Martin</x:v>
      </x:c>
      <x:c r="G8" s="12" t="str">
        <x:v>Lockheed Martin Reports Second Quarter 2016 Results</x:v>
      </x:c>
      <x:c r="H8" s="12" t="str">
        <x:v>https://news.lockheedmartin.com/2016-07-19-Lockheed-Martin-Reports-Second-Quarter-2016-Results</x:v>
      </x:c>
      <x:c r="I8" s="12" t="str">
        <x:v>VERIFIED</x:v>
      </x:c>
      <x:c r="J8" s="12" t="str">
        <x:v>PASS</x:v>
      </x:c>
      <x:c r="K8" s="12" t="str">
        <x:v>PASS</x:v>
      </x:c>
      <x:c r="L8" s="12" t="str">
        <x:v>PASS</x:v>
      </x:c>
      <x:c r="M8" s="12" t="str">
        <x:v>NO</x:v>
      </x:c>
      <x:c r="N8" s="12" t="str">
        <x:v>PASS</x:v>
      </x:c>
      <x:c r="O8" s="12" t="str">
        <x:v>FACTUAL</x:v>
      </x:c>
      <x:c r="P8" s="12" t="str">
        <x:v>PASS</x:v>
      </x:c>
      <x:c r="Q8" s="12" t="str">
        <x:v>Checked for Lockheed Martin/LMT identity, exact event, date, timing window, and prohibited-source origin.</x:v>
      </x:c>
    </x:row>
    <x:row r="9">
      <x:c r="A9" s="12" t="str">
        <x:v>2016-10-25</x:v>
      </x:c>
      <x:c r="B9" s="12" t="str">
        <x:v>LMT</x:v>
      </x:c>
      <x:c r="C9" s="12" t="str">
        <x:v>release</x:v>
      </x:c>
      <x:c r="D9" s="12" t="str">
        <x:v>2016-10-25</x:v>
      </x:c>
      <x:c r="E9" s="12" t="n">
        <x:v>0</x:v>
      </x:c>
      <x:c r="F9" s="12" t="str">
        <x:v>Lockheed Martin</x:v>
      </x:c>
      <x:c r="G9" s="12" t="str">
        <x:v>Lockheed Martin Reports Third Quarter 2016 Results</x:v>
      </x:c>
      <x:c r="H9" s="12" t="str">
        <x:v>https://news.lockheedmartin.com/2016-10-25-Lockheed-Martin-Reports-Third-Quarter-2016-Results</x:v>
      </x:c>
      <x:c r="I9" s="12" t="str">
        <x:v>VERIFIED</x:v>
      </x:c>
      <x:c r="J9" s="12" t="str">
        <x:v>PASS</x:v>
      </x:c>
      <x:c r="K9" s="12" t="str">
        <x:v>PASS</x:v>
      </x:c>
      <x:c r="L9" s="12" t="str">
        <x:v>PASS</x:v>
      </x:c>
      <x:c r="M9" s="12" t="str">
        <x:v>NO</x:v>
      </x:c>
      <x:c r="N9" s="12" t="str">
        <x:v>PASS</x:v>
      </x:c>
      <x:c r="O9" s="12" t="str">
        <x:v>FACTUAL</x:v>
      </x:c>
      <x:c r="P9" s="12" t="str">
        <x:v>PASS</x:v>
      </x:c>
      <x:c r="Q9" s="12" t="str">
        <x:v>Checked for Lockheed Martin/LMT identity, exact event, date, timing window, and prohibited-source origin.</x:v>
      </x:c>
    </x:row>
    <x:row r="10">
      <x:c r="A10" s="12" t="str">
        <x:v>2016-10-25</x:v>
      </x:c>
      <x:c r="B10" s="12" t="str">
        <x:v>LMT</x:v>
      </x:c>
      <x:c r="C10" s="12" t="str">
        <x:v>reaction</x:v>
      </x:c>
      <x:c r="D10" s="12" t="str">
        <x:v>2016-10-25</x:v>
      </x:c>
      <x:c r="E10" s="12" t="n">
        <x:v>0</x:v>
      </x:c>
      <x:c r="F10" s="12" t="str">
        <x:v>The Motley Fool</x:v>
      </x:c>
      <x:c r="G10" s="12" t="str">
        <x:v>Why Lockheed Martin, Clayton Williams Energy, and Valero Energy Jumped Today</x:v>
      </x:c>
      <x:c r="H10" s="12" t="str">
        <x:v>https://www.fool.com/investing/2016/10/25/why-lockheed-martin-clayton-williams-energy-and-va.aspx</x:v>
      </x:c>
      <x:c r="I10" s="12" t="str">
        <x:v>VERIFIED</x:v>
      </x:c>
      <x:c r="J10" s="12" t="str">
        <x:v>PASS</x:v>
      </x:c>
      <x:c r="K10" s="12" t="str">
        <x:v>PASS</x:v>
      </x:c>
      <x:c r="L10" s="12" t="str">
        <x:v>PASS</x:v>
      </x:c>
      <x:c r="M10" s="12" t="str">
        <x:v>NO</x:v>
      </x:c>
      <x:c r="N10" s="12" t="str">
        <x:v>PASS</x:v>
      </x:c>
      <x:c r="O10" s="12" t="str">
        <x:v>CONTEMPORANEOUS_ATTRIBUTION</x:v>
      </x:c>
      <x:c r="P10" s="12" t="str">
        <x:v>PASS</x:v>
      </x:c>
      <x:c r="Q10" s="12" t="str">
        <x:v>Checked for Lockheed Martin/LMT identity, exact event, date, timing window, and prohibited-source origin.</x:v>
      </x:c>
    </x:row>
    <x:row r="11">
      <x:c r="A11" s="12" t="str">
        <x:v>2017-01-24</x:v>
      </x:c>
      <x:c r="B11" s="12" t="str">
        <x:v>LMT</x:v>
      </x:c>
      <x:c r="C11" s="12" t="str">
        <x:v>prior</x:v>
      </x:c>
      <x:c r="D11" s="12" t="str">
        <x:v>2016-10-25</x:v>
      </x:c>
      <x:c r="E11" s="12" t="n">
        <x:v>-91</x:v>
      </x:c>
      <x:c r="F11" s="12" t="str">
        <x:v>Lockheed Martin</x:v>
      </x:c>
      <x:c r="G11" s="12" t="str">
        <x:v>Lockheed Martin Reports Third Quarter 2016 Results</x:v>
      </x:c>
      <x:c r="H11" s="12" t="str">
        <x:v>https://news.lockheedmartin.com/2016-10-25-Lockheed-Martin-Reports-Third-Quarter-2016-Results</x:v>
      </x:c>
      <x:c r="I11" s="12" t="str">
        <x:v>VERIFIED</x:v>
      </x:c>
      <x:c r="J11" s="12" t="str">
        <x:v>PASS</x:v>
      </x:c>
      <x:c r="K11" s="12" t="str">
        <x:v>PASS</x:v>
      </x:c>
      <x:c r="L11" s="12" t="str">
        <x:v>PASS</x:v>
      </x:c>
      <x:c r="M11" s="12" t="str">
        <x:v>NO</x:v>
      </x:c>
      <x:c r="N11" s="12" t="str">
        <x:v>PASS</x:v>
      </x:c>
      <x:c r="O11" s="12" t="str">
        <x:v>FACTUAL</x:v>
      </x:c>
      <x:c r="P11" s="12" t="str">
        <x:v>PASS</x:v>
      </x:c>
      <x:c r="Q11" s="12" t="str">
        <x:v>Checked for Lockheed Martin/LMT identity, exact event, date, timing window, and prohibited-source origin.</x:v>
      </x:c>
    </x:row>
    <x:row r="12">
      <x:c r="A12" s="12" t="str">
        <x:v>2017-01-24</x:v>
      </x:c>
      <x:c r="B12" s="12" t="str">
        <x:v>LMT</x:v>
      </x:c>
      <x:c r="C12" s="12" t="str">
        <x:v>release</x:v>
      </x:c>
      <x:c r="D12" s="12" t="str">
        <x:v>2017-01-24</x:v>
      </x:c>
      <x:c r="E12" s="12" t="n">
        <x:v>0</x:v>
      </x:c>
      <x:c r="F12" s="12" t="str">
        <x:v>Lockheed Martin</x:v>
      </x:c>
      <x:c r="G12" s="12" t="str">
        <x:v>Lockheed Martin Reports Fourth Quarter and Full Year 2016 Results</x:v>
      </x:c>
      <x:c r="H12" s="12" t="str">
        <x:v>https://news.lockheedmartin.com/2017-01-24-Lockheed-Martin-Reports-Fourth-Quarter-and-Full-Year-2016-Results</x:v>
      </x:c>
      <x:c r="I12" s="12" t="str">
        <x:v>VERIFIED</x:v>
      </x:c>
      <x:c r="J12" s="12" t="str">
        <x:v>PASS</x:v>
      </x:c>
      <x:c r="K12" s="12" t="str">
        <x:v>PASS</x:v>
      </x:c>
      <x:c r="L12" s="12" t="str">
        <x:v>PASS</x:v>
      </x:c>
      <x:c r="M12" s="12" t="str">
        <x:v>NO</x:v>
      </x:c>
      <x:c r="N12" s="12" t="str">
        <x:v>PASS</x:v>
      </x:c>
      <x:c r="O12" s="12" t="str">
        <x:v>FACTUAL</x:v>
      </x:c>
      <x:c r="P12" s="12" t="str">
        <x:v>PASS</x:v>
      </x:c>
      <x:c r="Q12" s="12" t="str">
        <x:v>Checked for Lockheed Martin/LMT identity, exact event, date, timing window, and prohibited-source origin.</x:v>
      </x:c>
    </x:row>
    <x:row r="13">
      <x:c r="A13" s="12" t="str">
        <x:v>2017-01-24</x:v>
      </x:c>
      <x:c r="B13" s="12" t="str">
        <x:v>LMT</x:v>
      </x:c>
      <x:c r="C13" s="12" t="str">
        <x:v>reaction</x:v>
      </x:c>
      <x:c r="D13" s="12" t="str">
        <x:v>2017-01-24</x:v>
      </x:c>
      <x:c r="E13" s="12" t="n">
        <x:v>0</x:v>
      </x:c>
      <x:c r="F13" s="12" t="str">
        <x:v>TheStreet</x:v>
      </x:c>
      <x:c r="G13" s="12" t="str">
        <x:v>Lockheed Martin Hints Its Big F-35 Combat Aircraft Program Is Now Riskier, But…</x:v>
      </x:c>
      <x:c r="H13" s="12" t="str">
        <x:v>https://www.thestreet.com/investing/stocks/lockheed-martin-tops-earnings-estimates-notes-f-35-program-risk-13963301</x:v>
      </x:c>
      <x:c r="I13" s="12" t="str">
        <x:v>VERIFIED</x:v>
      </x:c>
      <x:c r="J13" s="12" t="str">
        <x:v>PASS</x:v>
      </x:c>
      <x:c r="K13" s="12" t="str">
        <x:v>PASS</x:v>
      </x:c>
      <x:c r="L13" s="12" t="str">
        <x:v>PASS</x:v>
      </x:c>
      <x:c r="M13" s="12" t="str">
        <x:v>NO</x:v>
      </x:c>
      <x:c r="N13" s="12" t="str">
        <x:v>PASS</x:v>
      </x:c>
      <x:c r="O13" s="12" t="str">
        <x:v>CONTEMPORANEOUS_ATTRIBUTION</x:v>
      </x:c>
      <x:c r="P13" s="12" t="str">
        <x:v>PASS</x:v>
      </x:c>
      <x:c r="Q13" s="12" t="str">
        <x:v>Checked for Lockheed Martin/LMT identity, exact event, date, timing window, and prohibited-source origin.</x:v>
      </x:c>
    </x:row>
    <x:row r="14">
      <x:c r="A14" s="12" t="str">
        <x:v>2017-04-25</x:v>
      </x:c>
      <x:c r="B14" s="12" t="str">
        <x:v>LMT</x:v>
      </x:c>
      <x:c r="C14" s="12" t="str">
        <x:v>prior</x:v>
      </x:c>
      <x:c r="D14" s="12" t="str">
        <x:v>2017-01-24</x:v>
      </x:c>
      <x:c r="E14" s="12" t="n">
        <x:v>-91</x:v>
      </x:c>
      <x:c r="F14" s="12" t="str">
        <x:v>Lockheed Martin</x:v>
      </x:c>
      <x:c r="G14" s="12" t="str">
        <x:v>Lockheed Martin Reports Fourth Quarter and Full Year 2016 Results</x:v>
      </x:c>
      <x:c r="H14" s="12" t="str">
        <x:v>https://news.lockheedmartin.com/2017-01-24-Lockheed-Martin-Reports-Fourth-Quarter-and-Full-Year-2016-Results</x:v>
      </x:c>
      <x:c r="I14" s="12" t="str">
        <x:v>VERIFIED</x:v>
      </x:c>
      <x:c r="J14" s="12" t="str">
        <x:v>PASS</x:v>
      </x:c>
      <x:c r="K14" s="12" t="str">
        <x:v>PASS</x:v>
      </x:c>
      <x:c r="L14" s="12" t="str">
        <x:v>PASS</x:v>
      </x:c>
      <x:c r="M14" s="12" t="str">
        <x:v>NO</x:v>
      </x:c>
      <x:c r="N14" s="12" t="str">
        <x:v>PASS</x:v>
      </x:c>
      <x:c r="O14" s="12" t="str">
        <x:v>FACTUAL</x:v>
      </x:c>
      <x:c r="P14" s="12" t="str">
        <x:v>PASS</x:v>
      </x:c>
      <x:c r="Q14" s="12" t="str">
        <x:v>Checked for Lockheed Martin/LMT identity, exact event, date, timing window, and prohibited-source origin.</x:v>
      </x:c>
    </x:row>
    <x:row r="15">
      <x:c r="A15" s="12" t="str">
        <x:v>2017-04-25</x:v>
      </x:c>
      <x:c r="B15" s="12" t="str">
        <x:v>LMT</x:v>
      </x:c>
      <x:c r="C15" s="12" t="str">
        <x:v>release</x:v>
      </x:c>
      <x:c r="D15" s="12" t="str">
        <x:v>2017-04-25</x:v>
      </x:c>
      <x:c r="E15" s="12" t="n">
        <x:v>0</x:v>
      </x:c>
      <x:c r="F15" s="12" t="str">
        <x:v>Lockheed Martin</x:v>
      </x:c>
      <x:c r="G15" s="12" t="str">
        <x:v>Lockheed Martin Reports First Quarter 2017 Results</x:v>
      </x:c>
      <x:c r="H15" s="12" t="str">
        <x:v>https://news.lockheedmartin.com/2017-04-25-Lockheed-Martin-Reports-First-Quarter-2017-Results</x:v>
      </x:c>
      <x:c r="I15" s="12" t="str">
        <x:v>VERIFIED</x:v>
      </x:c>
      <x:c r="J15" s="12" t="str">
        <x:v>PASS</x:v>
      </x:c>
      <x:c r="K15" s="12" t="str">
        <x:v>PASS</x:v>
      </x:c>
      <x:c r="L15" s="12" t="str">
        <x:v>PASS</x:v>
      </x:c>
      <x:c r="M15" s="12" t="str">
        <x:v>NO</x:v>
      </x:c>
      <x:c r="N15" s="12" t="str">
        <x:v>PASS</x:v>
      </x:c>
      <x:c r="O15" s="12" t="str">
        <x:v>FACTUAL</x:v>
      </x:c>
      <x:c r="P15" s="12" t="str">
        <x:v>PASS</x:v>
      </x:c>
      <x:c r="Q15" s="12" t="str">
        <x:v>Checked for Lockheed Martin/LMT identity, exact event, date, timing window, and prohibited-source origin.</x:v>
      </x:c>
    </x:row>
    <x:row r="16">
      <x:c r="A16" s="12" t="str">
        <x:v>2017-04-25</x:v>
      </x:c>
      <x:c r="B16" s="12" t="str">
        <x:v>LMT</x:v>
      </x:c>
      <x:c r="C16" s="12" t="str">
        <x:v>reaction</x:v>
      </x:c>
      <x:c r="D16" s="12" t="str">
        <x:v>2017-04-26</x:v>
      </x:c>
      <x:c r="E16" s="12" t="n">
        <x:v>1</x:v>
      </x:c>
      <x:c r="F16" s="12" t="str">
        <x:v>The Motley Fool</x:v>
      </x:c>
      <x:c r="G16" s="12" t="str">
        <x:v>Lockheed Martin Earnings: Beware of Falling Margins</x:v>
      </x:c>
      <x:c r="H16" s="12" t="str">
        <x:v>https://www.fool.com/investing/2017/04/26/lockheed-martin-earnings-beware-of-falling-margins.aspx</x:v>
      </x:c>
      <x:c r="I16" s="12" t="str">
        <x:v>VERIFIED</x:v>
      </x:c>
      <x:c r="J16" s="12" t="str">
        <x:v>PASS</x:v>
      </x:c>
      <x:c r="K16" s="12" t="str">
        <x:v>PASS</x:v>
      </x:c>
      <x:c r="L16" s="12" t="str">
        <x:v>PASS</x:v>
      </x:c>
      <x:c r="M16" s="12" t="str">
        <x:v>NO</x:v>
      </x:c>
      <x:c r="N16" s="12" t="str">
        <x:v>PASS</x:v>
      </x:c>
      <x:c r="O16" s="12" t="str">
        <x:v>CONTEMPORANEOUS_ATTRIBUTION</x:v>
      </x:c>
      <x:c r="P16" s="12" t="str">
        <x:v>PASS</x:v>
      </x:c>
      <x:c r="Q16" s="12" t="str">
        <x:v>Checked for Lockheed Martin/LMT identity, exact event, date, timing window, and prohibited-source origin.</x:v>
      </x:c>
    </x:row>
    <x:row r="17">
      <x:c r="A17" s="12" t="str">
        <x:v>2017-07-18</x:v>
      </x:c>
      <x:c r="B17" s="12" t="str">
        <x:v>LMT</x:v>
      </x:c>
      <x:c r="C17" s="12" t="str">
        <x:v>prior</x:v>
      </x:c>
      <x:c r="D17" s="12" t="str">
        <x:v>2017-04-25</x:v>
      </x:c>
      <x:c r="E17" s="12" t="n">
        <x:v>-84</x:v>
      </x:c>
      <x:c r="F17" s="12" t="str">
        <x:v>Lockheed Martin</x:v>
      </x:c>
      <x:c r="G17" s="12" t="str">
        <x:v>Lockheed Martin Reports First Quarter 2017 Results</x:v>
      </x:c>
      <x:c r="H17" s="12" t="str">
        <x:v>https://news.lockheedmartin.com/2017-04-25-Lockheed-Martin-Reports-First-Quarter-2017-Results</x:v>
      </x:c>
      <x:c r="I17" s="12" t="str">
        <x:v>VERIFIED</x:v>
      </x:c>
      <x:c r="J17" s="12" t="str">
        <x:v>PASS</x:v>
      </x:c>
      <x:c r="K17" s="12" t="str">
        <x:v>PASS</x:v>
      </x:c>
      <x:c r="L17" s="12" t="str">
        <x:v>PASS</x:v>
      </x:c>
      <x:c r="M17" s="12" t="str">
        <x:v>NO</x:v>
      </x:c>
      <x:c r="N17" s="12" t="str">
        <x:v>PASS</x:v>
      </x:c>
      <x:c r="O17" s="12" t="str">
        <x:v>FACTUAL</x:v>
      </x:c>
      <x:c r="P17" s="12" t="str">
        <x:v>PASS</x:v>
      </x:c>
      <x:c r="Q17" s="12" t="str">
        <x:v>Checked for Lockheed Martin/LMT identity, exact event, date, timing window, and prohibited-source origin.</x:v>
      </x:c>
    </x:row>
    <x:row r="18">
      <x:c r="A18" s="12" t="str">
        <x:v>2017-07-18</x:v>
      </x:c>
      <x:c r="B18" s="12" t="str">
        <x:v>LMT</x:v>
      </x:c>
      <x:c r="C18" s="12" t="str">
        <x:v>release</x:v>
      </x:c>
      <x:c r="D18" s="12" t="str">
        <x:v>2017-07-18</x:v>
      </x:c>
      <x:c r="E18" s="12" t="n">
        <x:v>0</x:v>
      </x:c>
      <x:c r="F18" s="12" t="str">
        <x:v>Lockheed Martin</x:v>
      </x:c>
      <x:c r="G18" s="12" t="str">
        <x:v>Lockheed Martin Reports Second Quarter 2017 Results</x:v>
      </x:c>
      <x:c r="H18" s="12" t="str">
        <x:v>https://news.lockheedmartin.com/2017-07-18-Lockheed-Martin-Reports-Second-Quarter-2017-Results</x:v>
      </x:c>
      <x:c r="I18" s="12" t="str">
        <x:v>VERIFIED</x:v>
      </x:c>
      <x:c r="J18" s="12" t="str">
        <x:v>PASS</x:v>
      </x:c>
      <x:c r="K18" s="12" t="str">
        <x:v>PASS</x:v>
      </x:c>
      <x:c r="L18" s="12" t="str">
        <x:v>PASS</x:v>
      </x:c>
      <x:c r="M18" s="12" t="str">
        <x:v>NO</x:v>
      </x:c>
      <x:c r="N18" s="12" t="str">
        <x:v>PASS</x:v>
      </x:c>
      <x:c r="O18" s="12" t="str">
        <x:v>FACTUAL</x:v>
      </x:c>
      <x:c r="P18" s="12" t="str">
        <x:v>PASS</x:v>
      </x:c>
      <x:c r="Q18" s="12" t="str">
        <x:v>Checked for Lockheed Martin/LMT identity, exact event, date, timing window, and prohibited-source origin.</x:v>
      </x:c>
    </x:row>
    <x:row r="19">
      <x:c r="A19" s="12" t="str">
        <x:v>2017-07-18</x:v>
      </x:c>
      <x:c r="B19" s="12" t="str">
        <x:v>LMT</x:v>
      </x:c>
      <x:c r="C19" s="12" t="str">
        <x:v>reaction</x:v>
      </x:c>
      <x:c r="D19" s="12" t="str">
        <x:v>2017-07-18</x:v>
      </x:c>
      <x:c r="E19" s="12" t="n">
        <x:v>0</x:v>
      </x:c>
      <x:c r="F19" s="12" t="str">
        <x:v>TheStreet</x:v>
      </x:c>
      <x:c r="G19" s="12" t="str">
        <x:v>Lockheed Martin Chart Causes Pause as Stock Price Takes Off</x:v>
      </x:c>
      <x:c r="H19" s="12" t="str">
        <x:v>https://www.thestreet.com/investing/stocks/lockheed-martin-chart-causes-pause-as-stock-price-takes-off-14232964</x:v>
      </x:c>
      <x:c r="I19" s="12" t="str">
        <x:v>VERIFIED</x:v>
      </x:c>
      <x:c r="J19" s="12" t="str">
        <x:v>PASS</x:v>
      </x:c>
      <x:c r="K19" s="12" t="str">
        <x:v>PASS</x:v>
      </x:c>
      <x:c r="L19" s="12" t="str">
        <x:v>PASS</x:v>
      </x:c>
      <x:c r="M19" s="12" t="str">
        <x:v>NO</x:v>
      </x:c>
      <x:c r="N19" s="12" t="str">
        <x:v>PASS</x:v>
      </x:c>
      <x:c r="O19" s="12" t="str">
        <x:v>SUPPORTED_INFERENCE</x:v>
      </x:c>
      <x:c r="P19" s="12" t="str">
        <x:v>PASS</x:v>
      </x:c>
      <x:c r="Q19" s="12" t="str">
        <x:v>Checked for Lockheed Martin/LMT identity, exact event, date, timing window, and prohibited-source origin.</x:v>
      </x:c>
    </x:row>
    <x:row r="20">
      <x:c r="A20" s="12" t="str">
        <x:v>2017-10-24</x:v>
      </x:c>
      <x:c r="B20" s="12" t="str">
        <x:v>LMT</x:v>
      </x:c>
      <x:c r="C20" s="12" t="str">
        <x:v>prior</x:v>
      </x:c>
      <x:c r="D20" s="12" t="str">
        <x:v>2017-07-18</x:v>
      </x:c>
      <x:c r="E20" s="12" t="n">
        <x:v>-98</x:v>
      </x:c>
      <x:c r="F20" s="12" t="str">
        <x:v>Lockheed Martin</x:v>
      </x:c>
      <x:c r="G20" s="12" t="str">
        <x:v>Lockheed Martin Reports Second Quarter 2017 Results</x:v>
      </x:c>
      <x:c r="H20" s="12" t="str">
        <x:v>https://news.lockheedmartin.com/2017-07-18-Lockheed-Martin-Reports-Second-Quarter-2017-Results</x:v>
      </x:c>
      <x:c r="I20" s="12" t="str">
        <x:v>VERIFIED</x:v>
      </x:c>
      <x:c r="J20" s="12" t="str">
        <x:v>PASS</x:v>
      </x:c>
      <x:c r="K20" s="12" t="str">
        <x:v>PASS</x:v>
      </x:c>
      <x:c r="L20" s="12" t="str">
        <x:v>PASS</x:v>
      </x:c>
      <x:c r="M20" s="12" t="str">
        <x:v>NO</x:v>
      </x:c>
      <x:c r="N20" s="12" t="str">
        <x:v>PASS</x:v>
      </x:c>
      <x:c r="O20" s="12" t="str">
        <x:v>FACTUAL</x:v>
      </x:c>
      <x:c r="P20" s="12" t="str">
        <x:v>PASS</x:v>
      </x:c>
      <x:c r="Q20" s="12" t="str">
        <x:v>Checked for Lockheed Martin/LMT identity, exact event, date, timing window, and prohibited-source origin.</x:v>
      </x:c>
    </x:row>
    <x:row r="21">
      <x:c r="A21" s="12" t="str">
        <x:v>2017-10-24</x:v>
      </x:c>
      <x:c r="B21" s="12" t="str">
        <x:v>LMT</x:v>
      </x:c>
      <x:c r="C21" s="12" t="str">
        <x:v>release</x:v>
      </x:c>
      <x:c r="D21" s="12" t="str">
        <x:v>2017-10-24</x:v>
      </x:c>
      <x:c r="E21" s="12" t="n">
        <x:v>0</x:v>
      </x:c>
      <x:c r="F21" s="12" t="str">
        <x:v>Lockheed Martin</x:v>
      </x:c>
      <x:c r="G21" s="12" t="str">
        <x:v>Lockheed Martin Reports Third Quarter 2017 Results</x:v>
      </x:c>
      <x:c r="H21" s="12" t="str">
        <x:v>https://news.lockheedmartin.com/2017-10-24-Lockheed-Martin-Reports-Third-Quarter-2017-Results</x:v>
      </x:c>
      <x:c r="I21" s="12" t="str">
        <x:v>VERIFIED</x:v>
      </x:c>
      <x:c r="J21" s="12" t="str">
        <x:v>PASS</x:v>
      </x:c>
      <x:c r="K21" s="12" t="str">
        <x:v>PASS</x:v>
      </x:c>
      <x:c r="L21" s="12" t="str">
        <x:v>PASS</x:v>
      </x:c>
      <x:c r="M21" s="12" t="str">
        <x:v>NO</x:v>
      </x:c>
      <x:c r="N21" s="12" t="str">
        <x:v>PASS</x:v>
      </x:c>
      <x:c r="O21" s="12" t="str">
        <x:v>FACTUAL</x:v>
      </x:c>
      <x:c r="P21" s="12" t="str">
        <x:v>PASS</x:v>
      </x:c>
      <x:c r="Q21" s="12" t="str">
        <x:v>Checked for Lockheed Martin/LMT identity, exact event, date, timing window, and prohibited-source origin.</x:v>
      </x:c>
    </x:row>
    <x:row r="22">
      <x:c r="A22" s="12" t="str">
        <x:v>2017-10-24</x:v>
      </x:c>
      <x:c r="B22" s="12" t="str">
        <x:v>LMT</x:v>
      </x:c>
      <x:c r="C22" s="12" t="str">
        <x:v>reaction</x:v>
      </x:c>
      <x:c r="D22" s="12" t="str">
        <x:v>2017-10-24</x:v>
      </x:c>
      <x:c r="E22" s="12" t="n">
        <x:v>0</x:v>
      </x:c>
      <x:c r="F22" s="12" t="str">
        <x:v>TheStreet</x:v>
      </x:c>
      <x:c r="G22" s="12" t="str">
        <x:v>Solid Quarters From Caterpillar, 3M Drive Dow to Intraday Records</x:v>
      </x:c>
      <x:c r="H22" s="12" t="str">
        <x:v>https://www.thestreet.com/investing/futures/quarter-earnings-sales-revenue-caterpillar-3m-mcdonalds-dow-solid-gains-14356376</x:v>
      </x:c>
      <x:c r="I22" s="12" t="str">
        <x:v>VERIFIED</x:v>
      </x:c>
      <x:c r="J22" s="12" t="str">
        <x:v>PASS</x:v>
      </x:c>
      <x:c r="K22" s="12" t="str">
        <x:v>PASS</x:v>
      </x:c>
      <x:c r="L22" s="12" t="str">
        <x:v>PASS</x:v>
      </x:c>
      <x:c r="M22" s="12" t="str">
        <x:v>NO</x:v>
      </x:c>
      <x:c r="N22" s="12" t="str">
        <x:v>PASS</x:v>
      </x:c>
      <x:c r="O22" s="12" t="str">
        <x:v>CONTEMPORANEOUS_ATTRIBUTION</x:v>
      </x:c>
      <x:c r="P22" s="12" t="str">
        <x:v>PASS</x:v>
      </x:c>
      <x:c r="Q22" s="12" t="str">
        <x:v>Checked for Lockheed Martin/LMT identity, exact event, date, timing window, and prohibited-source origin.</x:v>
      </x:c>
    </x:row>
    <x:row r="23">
      <x:c r="A23" s="12" t="str">
        <x:v>2018-01-29</x:v>
      </x:c>
      <x:c r="B23" s="12" t="str">
        <x:v>LMT</x:v>
      </x:c>
      <x:c r="C23" s="12" t="str">
        <x:v>prior</x:v>
      </x:c>
      <x:c r="D23" s="12" t="str">
        <x:v>2017-10-24</x:v>
      </x:c>
      <x:c r="E23" s="12" t="n">
        <x:v>-97</x:v>
      </x:c>
      <x:c r="F23" s="12" t="str">
        <x:v>Lockheed Martin</x:v>
      </x:c>
      <x:c r="G23" s="12" t="str">
        <x:v>Lockheed Martin Reports Third Quarter 2017 Results</x:v>
      </x:c>
      <x:c r="H23" s="12" t="str">
        <x:v>https://news.lockheedmartin.com/2017-10-24-Lockheed-Martin-Reports-Third-Quarter-2017-Results</x:v>
      </x:c>
      <x:c r="I23" s="12" t="str">
        <x:v>VERIFIED</x:v>
      </x:c>
      <x:c r="J23" s="12" t="str">
        <x:v>PASS</x:v>
      </x:c>
      <x:c r="K23" s="12" t="str">
        <x:v>PASS</x:v>
      </x:c>
      <x:c r="L23" s="12" t="str">
        <x:v>PASS</x:v>
      </x:c>
      <x:c r="M23" s="12" t="str">
        <x:v>NO</x:v>
      </x:c>
      <x:c r="N23" s="12" t="str">
        <x:v>PASS</x:v>
      </x:c>
      <x:c r="O23" s="12" t="str">
        <x:v>FACTUAL</x:v>
      </x:c>
      <x:c r="P23" s="12" t="str">
        <x:v>PASS</x:v>
      </x:c>
      <x:c r="Q23" s="12" t="str">
        <x:v>Checked for Lockheed Martin/LMT identity, exact event, date, timing window, and prohibited-source origin.</x:v>
      </x:c>
    </x:row>
    <x:row r="24">
      <x:c r="A24" s="12" t="str">
        <x:v>2018-01-29</x:v>
      </x:c>
      <x:c r="B24" s="12" t="str">
        <x:v>LMT</x:v>
      </x:c>
      <x:c r="C24" s="12" t="str">
        <x:v>release</x:v>
      </x:c>
      <x:c r="D24" s="12" t="str">
        <x:v>2018-01-29</x:v>
      </x:c>
      <x:c r="E24" s="12" t="n">
        <x:v>0</x:v>
      </x:c>
      <x:c r="F24" s="12" t="str">
        <x:v>Lockheed Martin</x:v>
      </x:c>
      <x:c r="G24" s="12" t="str">
        <x:v>Lockheed Martin Reports Fourth Quarter and Full Year 2017 Results</x:v>
      </x:c>
      <x:c r="H24" s="12" t="str">
        <x:v>https://news.lockheedmartin.com/2018-01-29-Lockheed-Martin-Reports-Fourth-Quarter-and-Full-Year-2017-Results</x:v>
      </x:c>
      <x:c r="I24" s="12" t="str">
        <x:v>VERIFIED</x:v>
      </x:c>
      <x:c r="J24" s="12" t="str">
        <x:v>PASS</x:v>
      </x:c>
      <x:c r="K24" s="12" t="str">
        <x:v>PASS</x:v>
      </x:c>
      <x:c r="L24" s="12" t="str">
        <x:v>PASS</x:v>
      </x:c>
      <x:c r="M24" s="12" t="str">
        <x:v>NO</x:v>
      </x:c>
      <x:c r="N24" s="12" t="str">
        <x:v>PASS</x:v>
      </x:c>
      <x:c r="O24" s="12" t="str">
        <x:v>FACTUAL</x:v>
      </x:c>
      <x:c r="P24" s="12" t="str">
        <x:v>PASS</x:v>
      </x:c>
      <x:c r="Q24" s="12" t="str">
        <x:v>Checked for Lockheed Martin/LMT identity, exact event, date, timing window, and prohibited-source origin.</x:v>
      </x:c>
    </x:row>
    <x:row r="25">
      <x:c r="A25" s="12" t="str">
        <x:v>2018-01-29</x:v>
      </x:c>
      <x:c r="B25" s="12" t="str">
        <x:v>LMT</x:v>
      </x:c>
      <x:c r="C25" s="12" t="str">
        <x:v>reaction</x:v>
      </x:c>
      <x:c r="D25" s="12" t="str">
        <x:v>2018-01-29</x:v>
      </x:c>
      <x:c r="E25" s="12" t="n">
        <x:v>0</x:v>
      </x:c>
      <x:c r="F25" s="12" t="str">
        <x:v>The Motley Fool</x:v>
      </x:c>
      <x:c r="G25" s="12" t="str">
        <x:v>Lockheed Martin Corporation (LMT) Q4 2017 Earnings Conference Call Transcript</x:v>
      </x:c>
      <x:c r="H25" s="12" t="str">
        <x:v>https://www.fool.com/earnings/call-transcripts/2018/01/29/lockheed-martin-corporation-lmt-q4-2017-earnings-c.aspx</x:v>
      </x:c>
      <x:c r="I25" s="12" t="str">
        <x:v>VERIFIED</x:v>
      </x:c>
      <x:c r="J25" s="12" t="str">
        <x:v>PASS</x:v>
      </x:c>
      <x:c r="K25" s="12" t="str">
        <x:v>PASS</x:v>
      </x:c>
      <x:c r="L25" s="12" t="str">
        <x:v>PASS</x:v>
      </x:c>
      <x:c r="M25" s="12" t="str">
        <x:v>NO</x:v>
      </x:c>
      <x:c r="N25" s="12" t="str">
        <x:v>PASS</x:v>
      </x:c>
      <x:c r="O25" s="12" t="str">
        <x:v>SUPPORTED_INFERENCE</x:v>
      </x:c>
      <x:c r="P25" s="12" t="str">
        <x:v>PASS</x:v>
      </x:c>
      <x:c r="Q25" s="12" t="str">
        <x:v>Checked for Lockheed Martin/LMT identity, exact event, date, timing window, and prohibited-source origin.</x:v>
      </x:c>
    </x:row>
    <x:row r="26">
      <x:c r="A26" s="12" t="str">
        <x:v>2018-04-24</x:v>
      </x:c>
      <x:c r="B26" s="12" t="str">
        <x:v>LMT</x:v>
      </x:c>
      <x:c r="C26" s="12" t="str">
        <x:v>prior</x:v>
      </x:c>
      <x:c r="D26" s="12" t="str">
        <x:v>2018-01-29</x:v>
      </x:c>
      <x:c r="E26" s="12" t="n">
        <x:v>-85</x:v>
      </x:c>
      <x:c r="F26" s="12" t="str">
        <x:v>Lockheed Martin</x:v>
      </x:c>
      <x:c r="G26" s="12" t="str">
        <x:v>Lockheed Martin Reports Fourth Quarter and Full Year 2017 Results</x:v>
      </x:c>
      <x:c r="H26" s="12" t="str">
        <x:v>https://news.lockheedmartin.com/2018-01-29-Lockheed-Martin-Reports-Fourth-Quarter-and-Full-Year-2017-Results</x:v>
      </x:c>
      <x:c r="I26" s="12" t="str">
        <x:v>VERIFIED</x:v>
      </x:c>
      <x:c r="J26" s="12" t="str">
        <x:v>PASS</x:v>
      </x:c>
      <x:c r="K26" s="12" t="str">
        <x:v>PASS</x:v>
      </x:c>
      <x:c r="L26" s="12" t="str">
        <x:v>PASS</x:v>
      </x:c>
      <x:c r="M26" s="12" t="str">
        <x:v>NO</x:v>
      </x:c>
      <x:c r="N26" s="12" t="str">
        <x:v>PASS</x:v>
      </x:c>
      <x:c r="O26" s="12" t="str">
        <x:v>FACTUAL</x:v>
      </x:c>
      <x:c r="P26" s="12" t="str">
        <x:v>PASS</x:v>
      </x:c>
      <x:c r="Q26" s="12" t="str">
        <x:v>Checked for Lockheed Martin/LMT identity, exact event, date, timing window, and prohibited-source origin.</x:v>
      </x:c>
    </x:row>
    <x:row r="27">
      <x:c r="A27" s="12" t="str">
        <x:v>2018-04-24</x:v>
      </x:c>
      <x:c r="B27" s="12" t="str">
        <x:v>LMT</x:v>
      </x:c>
      <x:c r="C27" s="12" t="str">
        <x:v>release</x:v>
      </x:c>
      <x:c r="D27" s="12" t="str">
        <x:v>2018-04-24</x:v>
      </x:c>
      <x:c r="E27" s="12" t="n">
        <x:v>0</x:v>
      </x:c>
      <x:c r="F27" s="12" t="str">
        <x:v>Lockheed Martin</x:v>
      </x:c>
      <x:c r="G27" s="12" t="str">
        <x:v>Lockheed Martin Reports First Quarter 2018 Results</x:v>
      </x:c>
      <x:c r="H27" s="12" t="str">
        <x:v>https://news.lockheedmartin.com/2018-04-24-Lockheed-Martin-Reports-First-Quarter-2018-Results</x:v>
      </x:c>
      <x:c r="I27" s="12" t="str">
        <x:v>VERIFIED</x:v>
      </x:c>
      <x:c r="J27" s="12" t="str">
        <x:v>PASS</x:v>
      </x:c>
      <x:c r="K27" s="12" t="str">
        <x:v>PASS</x:v>
      </x:c>
      <x:c r="L27" s="12" t="str">
        <x:v>PASS</x:v>
      </x:c>
      <x:c r="M27" s="12" t="str">
        <x:v>NO</x:v>
      </x:c>
      <x:c r="N27" s="12" t="str">
        <x:v>PASS</x:v>
      </x:c>
      <x:c r="O27" s="12" t="str">
        <x:v>FACTUAL</x:v>
      </x:c>
      <x:c r="P27" s="12" t="str">
        <x:v>PASS</x:v>
      </x:c>
      <x:c r="Q27" s="12" t="str">
        <x:v>Checked for Lockheed Martin/LMT identity, exact event, date, timing window, and prohibited-source origin.</x:v>
      </x:c>
    </x:row>
    <x:row r="28">
      <x:c r="A28" s="12" t="str">
        <x:v>2018-04-24</x:v>
      </x:c>
      <x:c r="B28" s="12" t="str">
        <x:v>LMT</x:v>
      </x:c>
      <x:c r="C28" s="12" t="str">
        <x:v>reaction</x:v>
      </x:c>
      <x:c r="D28" s="12" t="str">
        <x:v>2018-04-24</x:v>
      </x:c>
      <x:c r="E28" s="12" t="n">
        <x:v>0</x:v>
      </x:c>
      <x:c r="F28" s="12" t="str">
        <x:v>The Motley Fool</x:v>
      </x:c>
      <x:c r="G28" s="12" t="str">
        <x:v>Why Lockheed Martin Stock Just Dropped 5%</x:v>
      </x:c>
      <x:c r="H28" s="12" t="str">
        <x:v>https://www.fool.com/investing/2018/04/24/why-lockheed-martin-stock-just-dropped-5.aspx</x:v>
      </x:c>
      <x:c r="I28" s="12" t="str">
        <x:v>VERIFIED</x:v>
      </x:c>
      <x:c r="J28" s="12" t="str">
        <x:v>PASS</x:v>
      </x:c>
      <x:c r="K28" s="12" t="str">
        <x:v>PASS</x:v>
      </x:c>
      <x:c r="L28" s="12" t="str">
        <x:v>PASS</x:v>
      </x:c>
      <x:c r="M28" s="12" t="str">
        <x:v>NO</x:v>
      </x:c>
      <x:c r="N28" s="12" t="str">
        <x:v>PASS</x:v>
      </x:c>
      <x:c r="O28" s="12" t="str">
        <x:v>CONTEMPORANEOUS_ATTRIBUTION</x:v>
      </x:c>
      <x:c r="P28" s="12" t="str">
        <x:v>PASS</x:v>
      </x:c>
      <x:c r="Q28" s="12" t="str">
        <x:v>Checked for Lockheed Martin/LMT identity, exact event, date, timing window, and prohibited-source origin.</x:v>
      </x:c>
    </x:row>
    <x:row r="29">
      <x:c r="A29" s="12" t="str">
        <x:v>2018-07-24</x:v>
      </x:c>
      <x:c r="B29" s="12" t="str">
        <x:v>LMT</x:v>
      </x:c>
      <x:c r="C29" s="12" t="str">
        <x:v>prior</x:v>
      </x:c>
      <x:c r="D29" s="12" t="str">
        <x:v>2018-04-24</x:v>
      </x:c>
      <x:c r="E29" s="12" t="n">
        <x:v>-91</x:v>
      </x:c>
      <x:c r="F29" s="12" t="str">
        <x:v>Lockheed Martin</x:v>
      </x:c>
      <x:c r="G29" s="12" t="str">
        <x:v>Lockheed Martin Reports First Quarter 2018 Results</x:v>
      </x:c>
      <x:c r="H29" s="12" t="str">
        <x:v>https://news.lockheedmartin.com/2018-04-24-Lockheed-Martin-Reports-First-Quarter-2018-Results</x:v>
      </x:c>
      <x:c r="I29" s="12" t="str">
        <x:v>VERIFIED</x:v>
      </x:c>
      <x:c r="J29" s="12" t="str">
        <x:v>PASS</x:v>
      </x:c>
      <x:c r="K29" s="12" t="str">
        <x:v>PASS</x:v>
      </x:c>
      <x:c r="L29" s="12" t="str">
        <x:v>PASS</x:v>
      </x:c>
      <x:c r="M29" s="12" t="str">
        <x:v>NO</x:v>
      </x:c>
      <x:c r="N29" s="12" t="str">
        <x:v>PASS</x:v>
      </x:c>
      <x:c r="O29" s="12" t="str">
        <x:v>FACTUAL</x:v>
      </x:c>
      <x:c r="P29" s="12" t="str">
        <x:v>PASS</x:v>
      </x:c>
      <x:c r="Q29" s="12" t="str">
        <x:v>Checked for Lockheed Martin/LMT identity, exact event, date, timing window, and prohibited-source origin.</x:v>
      </x:c>
    </x:row>
    <x:row r="30">
      <x:c r="A30" s="12" t="str">
        <x:v>2018-07-24</x:v>
      </x:c>
      <x:c r="B30" s="12" t="str">
        <x:v>LMT</x:v>
      </x:c>
      <x:c r="C30" s="12" t="str">
        <x:v>release</x:v>
      </x:c>
      <x:c r="D30" s="12" t="str">
        <x:v>2018-07-24</x:v>
      </x:c>
      <x:c r="E30" s="12" t="n">
        <x:v>0</x:v>
      </x:c>
      <x:c r="F30" s="12" t="str">
        <x:v>Lockheed Martin</x:v>
      </x:c>
      <x:c r="G30" s="12" t="str">
        <x:v>Lockheed Martin Reports Second Quarter 2018 Results</x:v>
      </x:c>
      <x:c r="H30" s="12" t="str">
        <x:v>https://news.lockheedmartin.com/2018-07-24-Lockheed-Martin-Reports-Second-Quarter-2018-Results</x:v>
      </x:c>
      <x:c r="I30" s="12" t="str">
        <x:v>VERIFIED</x:v>
      </x:c>
      <x:c r="J30" s="12" t="str">
        <x:v>PASS</x:v>
      </x:c>
      <x:c r="K30" s="12" t="str">
        <x:v>PASS</x:v>
      </x:c>
      <x:c r="L30" s="12" t="str">
        <x:v>PASS</x:v>
      </x:c>
      <x:c r="M30" s="12" t="str">
        <x:v>NO</x:v>
      </x:c>
      <x:c r="N30" s="12" t="str">
        <x:v>PASS</x:v>
      </x:c>
      <x:c r="O30" s="12" t="str">
        <x:v>FACTUAL</x:v>
      </x:c>
      <x:c r="P30" s="12" t="str">
        <x:v>PASS</x:v>
      </x:c>
      <x:c r="Q30" s="12" t="str">
        <x:v>Checked for Lockheed Martin/LMT identity, exact event, date, timing window, and prohibited-source origin.</x:v>
      </x:c>
    </x:row>
    <x:row r="31">
      <x:c r="A31" s="12" t="str">
        <x:v>2018-07-24</x:v>
      </x:c>
      <x:c r="B31" s="12" t="str">
        <x:v>LMT</x:v>
      </x:c>
      <x:c r="C31" s="12" t="str">
        <x:v>reaction</x:v>
      </x:c>
      <x:c r="D31" s="12" t="str">
        <x:v>2018-07-25</x:v>
      </x:c>
      <x:c r="E31" s="12" t="n">
        <x:v>1</x:v>
      </x:c>
      <x:c r="F31" s="12" t="str">
        <x:v>The Motley Fool</x:v>
      </x:c>
      <x:c r="G31" s="12" t="str">
        <x:v>Lockheed Martin Beats Earnings, Wins Upgrade</x:v>
      </x:c>
      <x:c r="H31" s="12" t="str">
        <x:v>https://www.fool.com/investing/2018/07/25/lockheed-martin-beats-earnings-wins-upgrade.aspx</x:v>
      </x:c>
      <x:c r="I31" s="12" t="str">
        <x:v>VERIFIED</x:v>
      </x:c>
      <x:c r="J31" s="12" t="str">
        <x:v>PASS</x:v>
      </x:c>
      <x:c r="K31" s="12" t="str">
        <x:v>PASS</x:v>
      </x:c>
      <x:c r="L31" s="12" t="str">
        <x:v>PASS</x:v>
      </x:c>
      <x:c r="M31" s="12" t="str">
        <x:v>NO</x:v>
      </x:c>
      <x:c r="N31" s="12" t="str">
        <x:v>PASS</x:v>
      </x:c>
      <x:c r="O31" s="12" t="str">
        <x:v>CONTEMPORANEOUS_ATTRIBUTION</x:v>
      </x:c>
      <x:c r="P31" s="12" t="str">
        <x:v>PASS</x:v>
      </x:c>
      <x:c r="Q31" s="12" t="str">
        <x:v>Checked for Lockheed Martin/LMT identity, exact event, date, timing window, and prohibited-source origin.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18"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2016-04-26</x:v>
      </x:c>
      <x:c r="B2" t="str">
        <x:v>LMT</x:v>
      </x:c>
      <x:c r="C2" s="20" t="n">
        <x:v>2.25</x:v>
      </x:c>
      <x:c r="D2" s="20" t="n">
        <x:v>0.38</x:v>
      </x:c>
      <x:c r="E2" t="str">
        <x:v>ret_1day_pct</x:v>
      </x:c>
      <x:c r="F2" t="str">
        <x:f>IF(C2&gt;0.1,"UP",IF(C2&lt;-0.1,"DOWN","FLAT"))</x:f>
        <x:v>UP</x:v>
      </x:c>
      <x:c r="G2" t="str">
        <x:v>UP</x:v>
      </x:c>
      <x:c r="H2" t="str">
        <x:f>IF(F2=G2,"PASS","FAIL")</x:f>
        <x:v>PASS</x:v>
      </x:c>
      <x:c r="I2" t="n">
        <x:v>3</x:v>
      </x:c>
      <x:c r="J2" t="n">
        <x:f>COUNTIFS('Source Audit'!$A:$A,A2,'Source Audit'!$P:$P,"PASS")</x:f>
        <x:v>3</x:v>
      </x:c>
      <x:c r="K2" t="str">
        <x:f>IF(AND(H2="PASS",J2=I2),"PASS","FAIL")</x:f>
        <x:v>PASS</x:v>
      </x:c>
    </x:row>
    <x:row r="3">
      <x:c r="A3" t="str">
        <x:v>2016-07-19</x:v>
      </x:c>
      <x:c r="B3" t="str">
        <x:v>LMT</x:v>
      </x:c>
      <x:c r="C3" s="20" t="n">
        <x:v>1.28</x:v>
      </x:c>
      <x:c r="D3" s="20" t="n">
        <x:v>-1.35</x:v>
      </x:c>
      <x:c r="E3" t="str">
        <x:v>ret_1day_pct</x:v>
      </x:c>
      <x:c r="F3" t="str">
        <x:f>IF(C3&gt;0.1,"UP",IF(C3&lt;-0.1,"DOWN","FLAT"))</x:f>
        <x:v>UP</x:v>
      </x:c>
      <x:c r="G3" t="str">
        <x:v>UP</x:v>
      </x:c>
      <x:c r="H3" t="str">
        <x:f>IF(F3=G3,"PASS","FAIL")</x:f>
        <x:v>PASS</x:v>
      </x:c>
      <x:c r="I3" t="n">
        <x:v>3</x:v>
      </x:c>
      <x:c r="J3" t="n">
        <x:f>COUNTIFS('Source Audit'!$A:$A,A3,'Source Audit'!$P:$P,"PASS")</x:f>
        <x:v>3</x:v>
      </x:c>
      <x:c r="K3" t="str">
        <x:f>IF(AND(H3="PASS",J3=I3),"PASS","FAIL")</x:f>
        <x:v>PASS</x:v>
      </x:c>
    </x:row>
    <x:row r="4">
      <x:c r="A4" t="str">
        <x:v>2016-10-25</x:v>
      </x:c>
      <x:c r="B4" t="str">
        <x:v>LMT</x:v>
      </x:c>
      <x:c r="C4" s="20" t="n">
        <x:v>7.8</x:v>
      </x:c>
      <x:c r="D4" s="20" t="n">
        <x:v>0.61</x:v>
      </x:c>
      <x:c r="E4" t="str">
        <x:v>ret_1day_pct</x:v>
      </x:c>
      <x:c r="F4" t="str">
        <x:f>IF(C4&gt;0.1,"UP",IF(C4&lt;-0.1,"DOWN","FLAT"))</x:f>
        <x:v>UP</x:v>
      </x:c>
      <x:c r="G4" t="str">
        <x:v>UP</x:v>
      </x:c>
      <x:c r="H4" t="str">
        <x:f>IF(F4=G4,"PASS","FAIL")</x:f>
        <x:v>PASS</x:v>
      </x:c>
      <x:c r="I4" t="n">
        <x:v>3</x:v>
      </x:c>
      <x:c r="J4" t="n">
        <x:f>COUNTIFS('Source Audit'!$A:$A,A4,'Source Audit'!$P:$P,"PASS")</x:f>
        <x:v>3</x:v>
      </x:c>
      <x:c r="K4" t="str">
        <x:f>IF(AND(H4="PASS",J4=I4),"PASS","FAIL")</x:f>
        <x:v>PASS</x:v>
      </x:c>
    </x:row>
    <x:row r="5">
      <x:c r="A5" t="str">
        <x:v>2017-01-24</x:v>
      </x:c>
      <x:c r="B5" t="str">
        <x:v>LMT</x:v>
      </x:c>
      <x:c r="C5" s="20" t="n">
        <x:v>-2.61</x:v>
      </x:c>
      <x:c r="D5" s="20" t="n">
        <x:v>-1.56</x:v>
      </x:c>
      <x:c r="E5" t="str">
        <x:v>ret_1day_pct</x:v>
      </x:c>
      <x:c r="F5" t="str">
        <x:f>IF(C5&gt;0.1,"UP",IF(C5&lt;-0.1,"DOWN","FLAT"))</x:f>
        <x:v>DOWN</x:v>
      </x:c>
      <x:c r="G5" t="str">
        <x:v>DOWN</x:v>
      </x:c>
      <x:c r="H5" t="str">
        <x:f>IF(F5=G5,"PASS","FAIL")</x:f>
        <x:v>PASS</x:v>
      </x:c>
      <x:c r="I5" t="n">
        <x:v>3</x:v>
      </x:c>
      <x:c r="J5" t="n">
        <x:f>COUNTIFS('Source Audit'!$A:$A,A5,'Source Audit'!$P:$P,"PASS")</x:f>
        <x:v>3</x:v>
      </x:c>
      <x:c r="K5" t="str">
        <x:f>IF(AND(H5="PASS",J5=I5),"PASS","FAIL")</x:f>
        <x:v>PASS</x:v>
      </x:c>
    </x:row>
    <x:row r="6">
      <x:c r="A6" t="str">
        <x:v>2017-04-25</x:v>
      </x:c>
      <x:c r="B6" t="str">
        <x:v>LMT</x:v>
      </x:c>
      <x:c r="C6" s="20" t="n">
        <x:v>-2.84</x:v>
      </x:c>
      <x:c r="D6" s="20" t="n">
        <x:v>0.13</x:v>
      </x:c>
      <x:c r="E6" t="str">
        <x:v>ret_1day_pct</x:v>
      </x:c>
      <x:c r="F6" t="str">
        <x:f>IF(C6&gt;0.1,"UP",IF(C6&lt;-0.1,"DOWN","FLAT"))</x:f>
        <x:v>DOWN</x:v>
      </x:c>
      <x:c r="G6" t="str">
        <x:v>DOWN</x:v>
      </x:c>
      <x:c r="H6" t="str">
        <x:f>IF(F6=G6,"PASS","FAIL")</x:f>
        <x:v>PASS</x:v>
      </x:c>
      <x:c r="I6" t="n">
        <x:v>3</x:v>
      </x:c>
      <x:c r="J6" t="n">
        <x:f>COUNTIFS('Source Audit'!$A:$A,A6,'Source Audit'!$P:$P,"PASS")</x:f>
        <x:v>3</x:v>
      </x:c>
      <x:c r="K6" t="str">
        <x:f>IF(AND(H6="PASS",J6=I6),"PASS","FAIL")</x:f>
        <x:v>PASS</x:v>
      </x:c>
    </x:row>
    <x:row r="7">
      <x:c r="A7" t="str">
        <x:v>2017-07-18</x:v>
      </x:c>
      <x:c r="B7" t="str">
        <x:v>LMT</x:v>
      </x:c>
      <x:c r="C7" s="20" t="n">
        <x:v>-0.64</x:v>
      </x:c>
      <x:c r="D7" s="20" t="n">
        <x:v>0.76</x:v>
      </x:c>
      <x:c r="E7" t="str">
        <x:v>ret_1day_pct</x:v>
      </x:c>
      <x:c r="F7" t="str">
        <x:f>IF(C7&gt;0.1,"UP",IF(C7&lt;-0.1,"DOWN","FLAT"))</x:f>
        <x:v>DOWN</x:v>
      </x:c>
      <x:c r="G7" t="str">
        <x:v>DOWN</x:v>
      </x:c>
      <x:c r="H7" t="str">
        <x:f>IF(F7=G7,"PASS","FAIL")</x:f>
        <x:v>PASS</x:v>
      </x:c>
      <x:c r="I7" t="n">
        <x:v>3</x:v>
      </x:c>
      <x:c r="J7" t="n">
        <x:f>COUNTIFS('Source Audit'!$A:$A,A7,'Source Audit'!$P:$P,"PASS")</x:f>
        <x:v>3</x:v>
      </x:c>
      <x:c r="K7" t="str">
        <x:f>IF(AND(H7="PASS",J7=I7),"PASS","FAIL")</x:f>
        <x:v>PASS</x:v>
      </x:c>
    </x:row>
    <x:row r="8">
      <x:c r="A8" t="str">
        <x:v>2017-10-24</x:v>
      </x:c>
      <x:c r="B8" t="str">
        <x:v>LMT</x:v>
      </x:c>
      <x:c r="C8" s="20" t="n">
        <x:v>-2.53</x:v>
      </x:c>
      <x:c r="D8" s="20" t="n">
        <x:v>0.31</x:v>
      </x:c>
      <x:c r="E8" t="str">
        <x:v>ret_1day_pct</x:v>
      </x:c>
      <x:c r="F8" t="str">
        <x:f>IF(C8&gt;0.1,"UP",IF(C8&lt;-0.1,"DOWN","FLAT"))</x:f>
        <x:v>DOWN</x:v>
      </x:c>
      <x:c r="G8" t="str">
        <x:v>DOWN</x:v>
      </x:c>
      <x:c r="H8" t="str">
        <x:f>IF(F8=G8,"PASS","FAIL")</x:f>
        <x:v>PASS</x:v>
      </x:c>
      <x:c r="I8" t="n">
        <x:v>3</x:v>
      </x:c>
      <x:c r="J8" t="n">
        <x:f>COUNTIFS('Source Audit'!$A:$A,A8,'Source Audit'!$P:$P,"PASS")</x:f>
        <x:v>3</x:v>
      </x:c>
      <x:c r="K8" t="str">
        <x:f>IF(AND(H8="PASS",J8=I8),"PASS","FAIL")</x:f>
        <x:v>PASS</x:v>
      </x:c>
    </x:row>
    <x:row r="9">
      <x:c r="A9" t="str">
        <x:v>2018-01-29</x:v>
      </x:c>
      <x:c r="B9" t="str">
        <x:v>LMT</x:v>
      </x:c>
      <x:c r="C9" s="20" t="n">
        <x:v>2.58</x:v>
      </x:c>
      <x:c r="D9" s="20" t="n">
        <x:v>0.73</x:v>
      </x:c>
      <x:c r="E9" t="str">
        <x:v>ret_1day_pct</x:v>
      </x:c>
      <x:c r="F9" t="str">
        <x:f>IF(C9&gt;0.1,"UP",IF(C9&lt;-0.1,"DOWN","FLAT"))</x:f>
        <x:v>UP</x:v>
      </x:c>
      <x:c r="G9" t="str">
        <x:v>UP</x:v>
      </x:c>
      <x:c r="H9" t="str">
        <x:f>IF(F9=G9,"PASS","FAIL")</x:f>
        <x:v>PASS</x:v>
      </x:c>
      <x:c r="I9" t="n">
        <x:v>3</x:v>
      </x:c>
      <x:c r="J9" t="n">
        <x:f>COUNTIFS('Source Audit'!$A:$A,A9,'Source Audit'!$P:$P,"PASS")</x:f>
        <x:v>3</x:v>
      </x:c>
      <x:c r="K9" t="str">
        <x:f>IF(AND(H9="PASS",J9=I9),"PASS","FAIL")</x:f>
        <x:v>PASS</x:v>
      </x:c>
    </x:row>
    <x:row r="10">
      <x:c r="A10" t="str">
        <x:v>2018-04-24</x:v>
      </x:c>
      <x:c r="B10" t="str">
        <x:v>LMT</x:v>
      </x:c>
      <x:c r="C10" s="20" t="n">
        <x:v>-5.03</x:v>
      </x:c>
      <x:c r="D10" s="20" t="n">
        <x:v>-2.15</x:v>
      </x:c>
      <x:c r="E10" t="str">
        <x:v>ret_1day_pct</x:v>
      </x:c>
      <x:c r="F10" t="str">
        <x:f>IF(C10&gt;0.1,"UP",IF(C10&lt;-0.1,"DOWN","FLAT"))</x:f>
        <x:v>DOWN</x:v>
      </x:c>
      <x:c r="G10" t="str">
        <x:v>DOWN</x:v>
      </x:c>
      <x:c r="H10" t="str">
        <x:f>IF(F10=G10,"PASS","FAIL")</x:f>
        <x:v>PASS</x:v>
      </x:c>
      <x:c r="I10" t="n">
        <x:v>3</x:v>
      </x:c>
      <x:c r="J10" t="n">
        <x:f>COUNTIFS('Source Audit'!$A:$A,A10,'Source Audit'!$P:$P,"PASS")</x:f>
        <x:v>3</x:v>
      </x:c>
      <x:c r="K10" t="str">
        <x:f>IF(AND(H10="PASS",J10=I10),"PASS","FAIL")</x:f>
        <x:v>PASS</x:v>
      </x:c>
    </x:row>
    <x:row r="11">
      <x:c r="A11" t="str">
        <x:v>2018-07-24</x:v>
      </x:c>
      <x:c r="B11" t="str">
        <x:v>LMT</x:v>
      </x:c>
      <x:c r="C11" s="20" t="n">
        <x:v>1.13</x:v>
      </x:c>
      <x:c r="D11" s="20" t="n">
        <x:v>-0.27</x:v>
      </x:c>
      <x:c r="E11" t="str">
        <x:v>ret_1day_pct</x:v>
      </x:c>
      <x:c r="F11" t="str">
        <x:f>IF(C11&gt;0.1,"UP",IF(C11&lt;-0.1,"DOWN","FLAT"))</x:f>
        <x:v>UP</x:v>
      </x:c>
      <x:c r="G11" t="str">
        <x:v>UP</x:v>
      </x:c>
      <x:c r="H11" t="str">
        <x:f>IF(F11=G11,"PASS","FAIL")</x:f>
        <x:v>PASS</x:v>
      </x:c>
      <x:c r="I11" t="n">
        <x:v>3</x:v>
      </x:c>
      <x:c r="J11" t="n">
        <x:f>COUNTIFS('Source Audit'!$A:$A,A11,'Source Audit'!$P:$P,"PASS")</x:f>
        <x:v>3</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0" hidden="0" customWidth="1"/>
  </x:cols>
  <x:sheetData>
    <x:row r="1">
      <x:c r="A1" s="5" t="str">
        <x:v>Item</x:v>
      </x:c>
      <x:c r="B1" s="5" t="str">
        <x:v>Rule</x:v>
      </x:c>
    </x:row>
    <x:row r="2">
      <x:c r="A2" s="12" t="str">
        <x:v>Rebuild status</x:v>
      </x:c>
      <x:c r="B2" s="12" t="str">
        <x:v>LMT rebuilt from scratch under the corrected verification protocol.</x:v>
      </x:c>
    </x:row>
    <x:row r="3">
      <x:c r="A3" s="12" t="str">
        <x:v>Identity source</x:v>
      </x:c>
      <x:c r="B3" s="12" t="str">
        <x:v>Ticker/company, exact earnings dates and return fields come from group_observations.csv.</x:v>
      </x:c>
    </x:row>
    <x:row r="4">
      <x:c r="A4" s="12" t="str">
        <x:v>Reaction basis</x:v>
      </x:c>
      <x:c r="B4" s="12" t="str">
        <x:v>Lockheed Martin released these sampled earnings before the U.S. market open, so ret_1day_pct is the primary earnings-reaction measure.</x:v>
      </x:c>
    </x:row>
    <x:row r="5">
      <x:c r="A5" s="12" t="str">
        <x:v>Narrative</x:v>
      </x:c>
      <x:c r="B5" s="12" t="str">
        <x:v>Short Prior Context, detailed Current Earnings Release, and three concise event-specific Possible Drivers.</x:v>
      </x:c>
    </x:row>
    <x:row r="6">
      <x:c r="A6" s="12" t="str">
        <x:v>Sources</x:v>
      </x:c>
      <x:c r="B6" s="12" t="str">
        <x:v>Lockheed Martin newsroom is the factual anchor. Reaction sources are open contemporaneous coverage. July 2017 and January 2018 are explicitly treated as supported inference where final-move attribution is not directly established.</x:v>
      </x:c>
    </x:row>
    <x:row r="7">
      <x:c r="A7" s="12" t="str">
        <x:v>Timing</x:v>
      </x:c>
      <x:c r="B7" s="12" t="str">
        <x:v>Prior = -100..-1; release = day 0; reaction = day 0..+3.</x:v>
      </x:c>
    </x:row>
    <x:row r="8">
      <x:c r="A8" s="12" t="str">
        <x:v>Restrictions</x:v>
      </x:c>
      <x:c r="B8" s="12" t="str">
        <x:v>No WSJ, Reuters, Dow Jones or MarketWatch-syndicated article is included. Reuters-derived Business Standard results were excluded.</x:v>
      </x:c>
    </x:row>
    <x:row r="9">
      <x:c r="A9" s="12" t="str">
        <x:v>QA</x:v>
      </x:c>
      <x:c r="B9" s="12" t="str">
        <x:v>Event QA mechanically recomputes direction from ret_1day_pct and requires exactly three PASS source rows per event.</x:v>
      </x:c>
    </x:row>
  </x:sheetData>
  <x:pageMargins left="0.7" right="0.7" top="0.75" bottom="0.75" header="0.3" footer="0.3"/>
</x:worksheet>
</file>