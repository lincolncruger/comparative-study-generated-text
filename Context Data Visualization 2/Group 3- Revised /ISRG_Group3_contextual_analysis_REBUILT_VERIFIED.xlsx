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b1a554bd2f4e74" /></Relationships>
</file>

<file path=xl/workbook.xml><?xml version="1.0" encoding="utf-8"?>
<x:workbook xmlns:x="http://schemas.openxmlformats.org/spreadsheetml/2006/main">
  <x:sheets>
    <x:sheet xmlns:r="http://schemas.openxmlformats.org/officeDocument/2006/relationships" name="ISRG" sheetId="1" r:id="Rdeda9a282e194631"/>
    <x:sheet xmlns:r="http://schemas.openxmlformats.org/officeDocument/2006/relationships" name="Source Audit" sheetId="2" r:id="R17a5fc6c3a954587"/>
    <x:sheet xmlns:r="http://schemas.openxmlformats.org/officeDocument/2006/relationships" name="Event QA" sheetId="3" r:id="R5671637352094372"/>
    <x:sheet xmlns:r="http://schemas.openxmlformats.org/officeDocument/2006/relationships" name="Methodology" sheetId="4" r:id="R6f182726969e457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6e5befde104b90" /><Relationship Type="http://schemas.openxmlformats.org/officeDocument/2006/relationships/theme" Target="/xl/theme/theme1.xml" Id="R07c283f8c93a4839" /><Relationship Type="http://schemas.openxmlformats.org/officeDocument/2006/relationships/sharedStrings" Target="/xl/sharedStrings.xml" Id="R4f4d17da289e4db4" /><Relationship Type="http://schemas.openxmlformats.org/officeDocument/2006/relationships/worksheet" Target="/xl/worksheets/sheet1.xml" Id="Rdeda9a282e194631" /><Relationship Type="http://schemas.openxmlformats.org/officeDocument/2006/relationships/worksheet" Target="/xl/worksheets/sheet2.xml" Id="R17a5fc6c3a954587" /><Relationship Type="http://schemas.openxmlformats.org/officeDocument/2006/relationships/worksheet" Target="/xl/worksheets/sheet3.xml" Id="R5671637352094372" /><Relationship Type="http://schemas.openxmlformats.org/officeDocument/2006/relationships/worksheet" Target="/xl/worksheets/sheet4.xml" Id="R6f182726969e457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5" hidden="0" customWidth="1"/>
    <x:col min="15" max="15" width="65" hidden="0" customWidth="1"/>
    <x:col min="16" max="16" width="65" hidden="0" customWidth="1"/>
    <x:col min="17" max="17" width="80"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ISRG</x:v>
      </x:c>
      <x:c r="C2" s="15" t="str">
        <x:v>Intuitive Surgical</x:v>
      </x:c>
      <x:c r="D2" s="15" t="str">
        <x:v>2016q2</x:v>
      </x:c>
      <x:c r="E2" s="15" t="str">
        <x:v>2016-04-19</x:v>
      </x:c>
      <x:c r="F2" s="18" t="n">
        <x:v>-0.97</x:v>
      </x:c>
      <x:c r="G2" s="18" t="n">
        <x:v>3.22</x:v>
      </x:c>
      <x:c r="H2" s="18" t="n">
        <x:v>2.22</x:v>
      </x:c>
      <x:c r="I2" s="18" t="n">
        <x:v>1.98</x:v>
      </x:c>
      <x:c r="J2" s="18" t="n">
        <x:v>1.31</x:v>
      </x:c>
      <x:c r="K2" s="15" t="str">
        <x:v>ret_1daypost_pct</x:v>
      </x:c>
      <x:c r="L2" s="15" t="str">
        <x:v>UP</x:v>
      </x:c>
      <x:c r="M2" s="15" t="str">
        <x:v>## Prior Context
Procedure growth was the key value driver because every additional da Vinci procedure generates recurring instrument and accessory revenue. Investors were watching whether U.S. general surgery could become a meaningful second growth engine alongside urology.
### Verified prior source
2016-01-21 | Intuitive Surgical | Intuitive Surgical Announces Fourth Quarter Earnings | https://www.globenewswire.com/news-release/2016/01/21/805155/0/en/intuitive-surgical-announces-fourth-quarter-earnings.html
## Current Earnings Release
Q1 revenue increased about **12% to $595 million** and non-GAAP EPS reached **$4.42**, ahead of expectations. Worldwide da Vinci procedures grew nearly **17%**, driven primarily by U.S. general surgery and international urology. Intuitive shipped **110 systems**, up from 99 a year earlier.
The most important signal was the procedure outlook: management raised expected 2016 procedure growth to roughly **12%–14%** from 9%–12%. Because instrument and accessory revenue is recurring and tied directly to procedure volume, that guidance increase improved the forward earnings base more than the one-quarter system-sales number alone.
### Verified release source
2016-04-19 | Intuitive Surgical | Intuitive Surgical Announces First Quarter Earnings | https://www.globenewswire.com/news-release/2016/04/19/830394/0/en/intuitive-surgical-announces-first-quarter-earnings.html
## Possible Drivers
**First-order driver.** Shares rose because procedure growth beat expectations and management raised full-year procedure guidance.
**Second-order driver.** U.S. general surgery adoption broadened da Vinci beyond its mature urology franchise.
**Third-order driver.** More installed systems and procedures strengthened the recurring instruments-and-service revenue base.
### Verified reaction source
2016-04-20 | The Motley Fool | 3 Reasons Intuitive Surgical's Shares Soared $20 Today | https://www.fool.com/investing/general/2016/04/20/3-reasons-why-intuitive-surgicals-shares-soared-25.aspx
## Verification Status
Included sources were checked for Intuitive Surgical/ISRG identity, the correct event, publication date, timing window and source origin. Intuitive Surgical's own earnings release is the factual anchor. No WSJ, Reuters, Dow Jones or MarketWatch-syndicated article is included. Attribution strength for the reaction source: **EXPLICIT**.
</x:v>
      </x:c>
      <x:c r="N2" s="15" t="str">
        <x:v>2016-01-21 | Intuitive Surgical | Intuitive Surgical Announces Fourth Quarter Earnings | https://www.globenewswire.com/news-release/2016/01/21/805155/0/en/intuitive-surgical-announces-fourth-quarter-earnings.html</x:v>
      </x:c>
      <x:c r="O2" s="15" t="str">
        <x:v>2016-04-19 | Intuitive Surgical | Intuitive Surgical Announces First Quarter Earnings | https://www.globenewswire.com/news-release/2016/04/19/830394/0/en/intuitive-surgical-announces-first-quarter-earnings.html</x:v>
      </x:c>
      <x:c r="P2" s="15" t="str">
        <x:v>2016-04-20 | The Motley Fool | 3 Reasons Intuitive Surgical's Shares Soared $20 Today | https://www.fool.com/investing/general/2016/04/20/3-reasons-why-intuitive-surgicals-shares-soared-25.aspx</x:v>
      </x:c>
      <x:c r="Q2" s="15" t="str">
        <x:v>2016-01-21 | Intuitive Surgical | Intuitive Surgical Announces Fourth Quarter Earnings | https://www.globenewswire.com/news-release/2016/01/21/805155/0/en/intuitive-surgical-announces-fourth-quarter-earnings.html
2016-04-19 | Intuitive Surgical | Intuitive Surgical Announces First Quarter Earnings | https://www.globenewswire.com/news-release/2016/04/19/830394/0/en/intuitive-surgical-announces-first-quarter-earnings.html
2016-04-20 | The Motley Fool | 3 Reasons Intuitive Surgical's Shares Soared $20 Today | https://www.fool.com/investing/general/2016/04/20/3-reasons-why-intuitive-surgicals-shares-soared-25.aspx</x:v>
      </x:c>
      <x:c r="R2" s="15" t="n">
        <x:v>3</x:v>
      </x:c>
      <x:c r="S2" s="15" t="str">
        <x:v>PASS</x:v>
      </x:c>
    </x:row>
    <x:row r="3" ht="340" customHeight="1">
      <x:c r="A3" s="15" t="n">
        <x:v>1</x:v>
      </x:c>
      <x:c r="B3" s="15" t="str">
        <x:v>ISRG</x:v>
      </x:c>
      <x:c r="C3" s="15" t="str">
        <x:v>Intuitive Surgical</x:v>
      </x:c>
      <x:c r="D3" s="15" t="str">
        <x:v>2016q3</x:v>
      </x:c>
      <x:c r="E3" s="15" t="str">
        <x:v>2016-07-19</x:v>
      </x:c>
      <x:c r="F3" s="18" t="n">
        <x:v>0.44</x:v>
      </x:c>
      <x:c r="G3" s="18" t="n">
        <x:v>4.17</x:v>
      </x:c>
      <x:c r="H3" s="18" t="n">
        <x:v>4.63</x:v>
      </x:c>
      <x:c r="I3" s="18" t="n">
        <x:v>4.38</x:v>
      </x:c>
      <x:c r="J3" s="18" t="n">
        <x:v>2.24</x:v>
      </x:c>
      <x:c r="K3" s="15" t="str">
        <x:v>ret_1daypost_pct</x:v>
      </x:c>
      <x:c r="L3" s="15" t="str">
        <x:v>UP</x:v>
      </x:c>
      <x:c r="M3" s="15" t="str">
        <x:v>## Prior Context
After Q1, investors expected Intuitive to keep beating its deliberately conservative procedure-growth guidance. The main question was whether strong general-surgery adoption could persist through the year.
### Verified prior source
2016-04-19 | Intuitive Surgical | Intuitive Surgical Announces First Quarter Earnings | https://www.globenewswire.com/news-release/2016/04/19/830394/0/en/intuitive-surgical-announces-first-quarter-earnings.html
## Current Earnings Release
Q2 revenue rose **14% to $670 million** and non-GAAP EPS reached **$5.62**. Worldwide procedures grew nearly **16%**, while system shipments increased to **130** from 118. Instrument/accessory revenue rose 14% and service revenue 13%, showing that recurring revenue was tracking procedure growth.
Management again raised expected 2016 procedure growth, to roughly **14%–15%**. That was the key information: the company had begun the year expecting only 9%–12%, so the repeated upward revisions showed adoption was materially stronger than management initially anticipated.
### Verified release source
2016-07-19 | Intuitive Surgical | Intuitive Surgical Announces Second Quarter Earnings | https://isrg.intuitive.com/news-releases/news-release-details/intuitive-surgical-announces-second-quarter-earnings-6
## Possible Drivers
**First-order driver.** The stock rose because procedure growth and earnings exceeded expectations and procedure guidance increased again.
**Second-order driver.** General surgery and international urology continued to drive recurring instrument demand.
**Third-order driver.** Higher system placements expanded future procedure capacity and service revenue.
### Verified reaction source
2016-07-20 | The Motley Fool | Intuitive Surgical, Inc. Continues Its Trend of Robust Growth | https://www.fool.com/investing/2016/07/20/intuitive-surgical-inc-continues-its-trend-of-robu.aspx
## Verification Status
Included sources were checked for Intuitive Surgical/ISRG identity, the correct event, publication date, timing window and source origin. Intuitive Surgical's own earnings release is the factual anchor. No WSJ, Reuters, Dow Jones or MarketWatch-syndicated article is included. Attribution strength for the reaction source: **EXPLICIT**.
</x:v>
      </x:c>
      <x:c r="N3" s="15" t="str">
        <x:v>2016-04-19 | Intuitive Surgical | Intuitive Surgical Announces First Quarter Earnings | https://www.globenewswire.com/news-release/2016/04/19/830394/0/en/intuitive-surgical-announces-first-quarter-earnings.html</x:v>
      </x:c>
      <x:c r="O3" s="15" t="str">
        <x:v>2016-07-19 | Intuitive Surgical | Intuitive Surgical Announces Second Quarter Earnings | https://isrg.intuitive.com/news-releases/news-release-details/intuitive-surgical-announces-second-quarter-earnings-6</x:v>
      </x:c>
      <x:c r="P3" s="15" t="str">
        <x:v>2016-07-20 | The Motley Fool | Intuitive Surgical, Inc. Continues Its Trend of Robust Growth | https://www.fool.com/investing/2016/07/20/intuitive-surgical-inc-continues-its-trend-of-robu.aspx</x:v>
      </x:c>
      <x:c r="Q3" s="15" t="str">
        <x:v>2016-04-19 | Intuitive Surgical | Intuitive Surgical Announces First Quarter Earnings | https://www.globenewswire.com/news-release/2016/04/19/830394/0/en/intuitive-surgical-announces-first-quarter-earnings.html
2016-07-19 | Intuitive Surgical | Intuitive Surgical Announces Second Quarter Earnings | https://isrg.intuitive.com/news-releases/news-release-details/intuitive-surgical-announces-second-quarter-earnings-6
2016-07-20 | The Motley Fool | Intuitive Surgical, Inc. Continues Its Trend of Robust Growth | https://www.fool.com/investing/2016/07/20/intuitive-surgical-inc-continues-its-trend-of-robu.aspx</x:v>
      </x:c>
      <x:c r="R3" s="15" t="n">
        <x:v>3</x:v>
      </x:c>
      <x:c r="S3" s="15" t="str">
        <x:v>PASS</x:v>
      </x:c>
    </x:row>
    <x:row r="4" ht="340" customHeight="1">
      <x:c r="A4" s="15" t="n">
        <x:v>2</x:v>
      </x:c>
      <x:c r="B4" s="15" t="str">
        <x:v>ISRG</x:v>
      </x:c>
      <x:c r="C4" s="15" t="str">
        <x:v>Intuitive Surgical</x:v>
      </x:c>
      <x:c r="D4" s="15" t="str">
        <x:v>2016q4</x:v>
      </x:c>
      <x:c r="E4" s="15" t="str">
        <x:v>2016-10-18</x:v>
      </x:c>
      <x:c r="F4" s="18" t="n">
        <x:v>1.08</x:v>
      </x:c>
      <x:c r="G4" s="18" t="n">
        <x:v>-5.86</x:v>
      </x:c>
      <x:c r="H4" s="18" t="n">
        <x:v>-4.85</x:v>
      </x:c>
      <x:c r="I4" s="18" t="n">
        <x:v>-5.34</x:v>
      </x:c>
      <x:c r="J4" s="18" t="n">
        <x:v>-5.67</x:v>
      </x:c>
      <x:c r="K4" s="15" t="str">
        <x:v>ret_1daypost_pct</x:v>
      </x:c>
      <x:c r="L4" s="15" t="str">
        <x:v>DOWN</x:v>
      </x:c>
      <x:c r="M4" s="15" t="str">
        <x:v>## Prior Context
ISRG had rallied strongly during 2016, so the expectations bar was high. Investors were looking for another procedure-growth beat while monitoring hospital capital budgets and valuation risk.
### Verified prior source
2016-07-19 | Intuitive Surgical | Intuitive Surgical Announces Second Quarter Earnings | https://isrg.intuitive.com/news-releases/news-release-details/intuitive-surgical-announces-second-quarter-earnings-6
## Current Earnings Release
Q3 revenue increased **16% to $683 million** and non-GAAP EPS was **$6.19**, both well above consensus. Procedures grew about **14%**, system shipments rose to **134** from 117, and instrument/accessory revenue increased 17%.
Fundamentally, the quarter was strong. The issue was that procedure growth had moderated from 17% in Q1 and 16% in Q2, while the stock was trading at a demanding valuation after a large year-to-date run. The next-day decline therefore does not map cleanly to an operating miss; the evidence is more consistent with an expectations/valuation reset after an excellent but slightly slower procedure-growth print.
### Verified release source
2016-10-18 | Intuitive Surgical | Intuitive Surgical Announces Third Quarter Earnings | https://isrg.intuitive.com/news-releases/news-release-details/intuitive-surgical-announces-third-quarter-earnings-6/
## Possible Drivers
**First-order driver.** The next-day decline is best treated as an expectations/valuation reset, not a weak earnings quarter.
**Second-order driver.** Procedure growth slowed modestly from the first half even though it remained strong at 14%.
**Third-order driver.** Revenue, EPS and system shipments all beat, which limits confidence in any negative operating explanation.
### Verified reaction source
2016-10-19 | The Motley Fool | Intuitive Surgical, Inc. Produces Yet Another Solid Quarter | https://www.fool.com/investing/2016/10/19/intuitive-surgical-inc-produces-yet-another-solid.aspx
## Verification Status
Included sources were checked for Intuitive Surgical/ISRG identity, the correct event, publication date, timing window and source origin. Intuitive Surgical's own earnings release is the factual anchor. No WSJ, Reuters, Dow Jones or MarketWatch-syndicated article is included. Attribution strength for the reaction source: **SUPPORTED_INFERENCE**.
</x:v>
      </x:c>
      <x:c r="N4" s="15" t="str">
        <x:v>2016-07-19 | Intuitive Surgical | Intuitive Surgical Announces Second Quarter Earnings | https://isrg.intuitive.com/news-releases/news-release-details/intuitive-surgical-announces-second-quarter-earnings-6</x:v>
      </x:c>
      <x:c r="O4" s="15" t="str">
        <x:v>2016-10-18 | Intuitive Surgical | Intuitive Surgical Announces Third Quarter Earnings | https://isrg.intuitive.com/news-releases/news-release-details/intuitive-surgical-announces-third-quarter-earnings-6/</x:v>
      </x:c>
      <x:c r="P4" s="15" t="str">
        <x:v>2016-10-19 | The Motley Fool | Intuitive Surgical, Inc. Produces Yet Another Solid Quarter | https://www.fool.com/investing/2016/10/19/intuitive-surgical-inc-produces-yet-another-solid.aspx</x:v>
      </x:c>
      <x:c r="Q4" s="15" t="str">
        <x:v>2016-07-19 | Intuitive Surgical | Intuitive Surgical Announces Second Quarter Earnings | https://isrg.intuitive.com/news-releases/news-release-details/intuitive-surgical-announces-second-quarter-earnings-6
2016-10-18 | Intuitive Surgical | Intuitive Surgical Announces Third Quarter Earnings | https://isrg.intuitive.com/news-releases/news-release-details/intuitive-surgical-announces-third-quarter-earnings-6/
2016-10-19 | The Motley Fool | Intuitive Surgical, Inc. Produces Yet Another Solid Quarter | https://www.fool.com/investing/2016/10/19/intuitive-surgical-inc-produces-yet-another-solid.aspx</x:v>
      </x:c>
      <x:c r="R4" s="15" t="n">
        <x:v>3</x:v>
      </x:c>
      <x:c r="S4" s="15" t="str">
        <x:v>PASS</x:v>
      </x:c>
    </x:row>
    <x:row r="5" ht="340" customHeight="1">
      <x:c r="A5" s="15" t="n">
        <x:v>3</x:v>
      </x:c>
      <x:c r="B5" s="15" t="str">
        <x:v>ISRG</x:v>
      </x:c>
      <x:c r="C5" s="15" t="str">
        <x:v>Intuitive Surgical</x:v>
      </x:c>
      <x:c r="D5" s="15" t="str">
        <x:v>2017q1</x:v>
      </x:c>
      <x:c r="E5" s="15" t="str">
        <x:v>2017-01-24</x:v>
      </x:c>
      <x:c r="F5" s="18" t="n">
        <x:v>0.84</x:v>
      </x:c>
      <x:c r="G5" s="18" t="n">
        <x:v>4.29</x:v>
      </x:c>
      <x:c r="H5" s="18" t="n">
        <x:v>5.17</x:v>
      </x:c>
      <x:c r="I5" s="18" t="n">
        <x:v>5.1</x:v>
      </x:c>
      <x:c r="J5" s="18" t="n">
        <x:v>4.08</x:v>
      </x:c>
      <x:c r="K5" s="15" t="str">
        <x:v>ret_1daypost_pct</x:v>
      </x:c>
      <x:c r="L5" s="15" t="str">
        <x:v>UP</x:v>
      </x:c>
      <x:c r="M5" s="15" t="str">
        <x:v>## Prior Context
Intuitive had already preannounced key Q4 revenue and procedure figures on January 11. The formal earnings release therefore had less incremental operating information than usual.
### Verified prior source
2016-10-18 | Intuitive Surgical | Intuitive Surgical Announces Third Quarter Earnings | https://isrg.intuitive.com/news-releases/news-release-details/intuitive-surgical-announces-third-quarter-earnings-6/
## Current Earnings Release
Q4 revenue was **$757 million**, up 12%, and non-GAAP EPS **$6.09**. Procedures increased about **15%**, while Intuitive shipped **163 systems** versus 158 a year earlier. Recurring instrument/accessory revenue rose 19%.
The genuinely new piece was capital allocation: Intuitive announced a **$2.0 billion accelerated share repurchase**, large relative to its market capitalization and share count. Because the operating metrics were largely known before January 24, the combination of solid final results and the buyback mattered more than a conventional earnings surprise.
### Verified release source
2017-01-24 | Intuitive Surgical | Intuitive Surgical Announces Fourth Quarter Earnings and a $2.0 Billion Accelerated Share Repurchase | https://isrg.intuitive.com/news-releases/news-release-details/intuitive-surgical-announces-fourth-quarter-earnings-and-20/
## Possible Drivers
**First-order driver.** Shares rose as solid preannounced results were paired with a large $2 billion accelerated buyback.
**Second-order driver.** 15% procedure growth kept recurring revenue compounding above the company’s initial expectations.
**Third-order driver.** The formal print contained limited new operating information, so capital return had unusually high signal value.
### Verified reaction source
2017-01-25 | The Motley Fool | No Huge Surprises From Intuitive Surgical, Inc., but a Solid Quarter Nonetheless | https://www.fool.com/investing/2017/01/25/no-huge-surprises-from-intuitive-surgical-inc-but.aspx
## Verification Status
Included sources were checked for Intuitive Surgical/ISRG identity, the correct event, publication date, timing window and source origin. Intuitive Surgical's own earnings release is the factual anchor. No WSJ, Reuters, Dow Jones or MarketWatch-syndicated article is included. Attribution strength for the reaction source: **EXPLICIT**.
</x:v>
      </x:c>
      <x:c r="N5" s="15" t="str">
        <x:v>2016-10-18 | Intuitive Surgical | Intuitive Surgical Announces Third Quarter Earnings | https://isrg.intuitive.com/news-releases/news-release-details/intuitive-surgical-announces-third-quarter-earnings-6/</x:v>
      </x:c>
      <x:c r="O5" s="15" t="str">
        <x:v>2017-01-24 | Intuitive Surgical | Intuitive Surgical Announces Fourth Quarter Earnings and a $2.0 Billion Accelerated Share Repurchase | https://isrg.intuitive.com/news-releases/news-release-details/intuitive-surgical-announces-fourth-quarter-earnings-and-20/</x:v>
      </x:c>
      <x:c r="P5" s="15" t="str">
        <x:v>2017-01-25 | The Motley Fool | No Huge Surprises From Intuitive Surgical, Inc., but a Solid Quarter Nonetheless | https://www.fool.com/investing/2017/01/25/no-huge-surprises-from-intuitive-surgical-inc-but.aspx</x:v>
      </x:c>
      <x:c r="Q5" s="15" t="str">
        <x:v>2016-10-18 | Intuitive Surgical | Intuitive Surgical Announces Third Quarter Earnings | https://isrg.intuitive.com/news-releases/news-release-details/intuitive-surgical-announces-third-quarter-earnings-6/
2017-01-24 | Intuitive Surgical | Intuitive Surgical Announces Fourth Quarter Earnings and a $2.0 Billion Accelerated Share Repurchase | https://isrg.intuitive.com/news-releases/news-release-details/intuitive-surgical-announces-fourth-quarter-earnings-and-20/
2017-01-25 | The Motley Fool | No Huge Surprises From Intuitive Surgical, Inc., but a Solid Quarter Nonetheless | https://www.fool.com/investing/2017/01/25/no-huge-surprises-from-intuitive-surgical-inc-but.aspx</x:v>
      </x:c>
      <x:c r="R5" s="15" t="n">
        <x:v>3</x:v>
      </x:c>
      <x:c r="S5" s="15" t="str">
        <x:v>PASS</x:v>
      </x:c>
    </x:row>
    <x:row r="6" ht="340" customHeight="1">
      <x:c r="A6" s="15" t="n">
        <x:v>4</x:v>
      </x:c>
      <x:c r="B6" s="15" t="str">
        <x:v>ISRG</x:v>
      </x:c>
      <x:c r="C6" s="15" t="str">
        <x:v>Intuitive Surgical</x:v>
      </x:c>
      <x:c r="D6" s="15" t="str">
        <x:v>2017q2</x:v>
      </x:c>
      <x:c r="E6" s="15" t="str">
        <x:v>2017-04-18</x:v>
      </x:c>
      <x:c r="F6" s="18" t="n">
        <x:v>-0.91</x:v>
      </x:c>
      <x:c r="G6" s="18" t="n">
        <x:v>6.5</x:v>
      </x:c>
      <x:c r="H6" s="18" t="n">
        <x:v>5.53</x:v>
      </x:c>
      <x:c r="I6" s="18" t="n">
        <x:v>5.1</x:v>
      </x:c>
      <x:c r="J6" s="18" t="n">
        <x:v>5.34</x:v>
      </x:c>
      <x:c r="K6" s="15" t="str">
        <x:v>ret_1daypost_pct</x:v>
      </x:c>
      <x:c r="L6" s="15" t="str">
        <x:v>UP</x:v>
      </x:c>
      <x:c r="M6" s="15" t="str">
        <x:v>## Prior Context
At the start of 2017 management had guided procedure growth to only 9%–12%. Q1 was therefore a test of whether 2016’s strong adoption had carried into the new year.
### Verified prior source
2017-01-24 | Intuitive Surgical | Intuitive Surgical Announces Fourth Quarter Earnings and a $2.0 Billion Accelerated Share Repurchase | https://isrg.intuitive.com/news-releases/news-release-details/intuitive-surgical-announces-fourth-quarter-earnings-and-20/
## Current Earnings Release
Q1 revenue rose **13% to $674 million** and non-GAAP EPS reached **$5.09**, both above expectations. Procedures grew nearly **18%**, driven by U.S. general surgery and worldwide urology, while Intuitive shipped **133 systems** versus 110 a year earlier.
Management raised 2017 procedure-growth guidance to **12%–14%** from 9%–12%. International procedures grew especially quickly, while instrument/accessory revenue rose 18%. The one softer area—systems revenue growth—was partly explained by a $23 million revenue deferral tied to a customer trade-out program rather than weak system demand.
### Verified release source
2017-04-18 | Intuitive Surgical | Intuitive Surgical Announces First Quarter Earnings | https://investor.intuitivesurgical.com/news-releases/news-release-details/intuitive-surgical-announces-first-quarter-earnings-7/
## Possible Drivers
**First-order driver.** Shares surged because procedure growth materially beat the original outlook and management raised full-year guidance.
**Second-order driver.** International procedure growth and general surgery broadened the adoption story.
**Third-order driver.** Strong recurring instrument revenue outweighed the temporary system-revenue deferral.
### Verified reaction source
2017-04-20 | The Motley Fool | Here's How Intuitive Surgical Delivered a Blockbuster Quarter | https://www.fool.com/investing/2017/04/20/heres-how-intuitive-surgical-delivered-a-blockbust.aspx
## Verification Status
Included sources were checked for Intuitive Surgical/ISRG identity, the correct event, publication date, timing window and source origin. Intuitive Surgical's own earnings release is the factual anchor. No WSJ, Reuters, Dow Jones or MarketWatch-syndicated article is included. Attribution strength for the reaction source: **EXPLICIT**.
</x:v>
      </x:c>
      <x:c r="N6" s="15" t="str">
        <x:v>2017-01-24 | Intuitive Surgical | Intuitive Surgical Announces Fourth Quarter Earnings and a $2.0 Billion Accelerated Share Repurchase | https://isrg.intuitive.com/news-releases/news-release-details/intuitive-surgical-announces-fourth-quarter-earnings-and-20/</x:v>
      </x:c>
      <x:c r="O6" s="15" t="str">
        <x:v>2017-04-18 | Intuitive Surgical | Intuitive Surgical Announces First Quarter Earnings | https://investor.intuitivesurgical.com/news-releases/news-release-details/intuitive-surgical-announces-first-quarter-earnings-7/</x:v>
      </x:c>
      <x:c r="P6" s="15" t="str">
        <x:v>2017-04-20 | The Motley Fool | Here's How Intuitive Surgical Delivered a Blockbuster Quarter | https://www.fool.com/investing/2017/04/20/heres-how-intuitive-surgical-delivered-a-blockbust.aspx</x:v>
      </x:c>
      <x:c r="Q6" s="15" t="str">
        <x:v>2017-01-24 | Intuitive Surgical | Intuitive Surgical Announces Fourth Quarter Earnings and a $2.0 Billion Accelerated Share Repurchase | https://isrg.intuitive.com/news-releases/news-release-details/intuitive-surgical-announces-fourth-quarter-earnings-and-20/
2017-04-18 | Intuitive Surgical | Intuitive Surgical Announces First Quarter Earnings | https://investor.intuitivesurgical.com/news-releases/news-release-details/intuitive-surgical-announces-first-quarter-earnings-7/
2017-04-20 | The Motley Fool | Here's How Intuitive Surgical Delivered a Blockbuster Quarter | https://www.fool.com/investing/2017/04/20/heres-how-intuitive-surgical-delivered-a-blockbust.aspx</x:v>
      </x:c>
      <x:c r="R6" s="15" t="n">
        <x:v>3</x:v>
      </x:c>
      <x:c r="S6" s="15" t="str">
        <x:v>PASS</x:v>
      </x:c>
    </x:row>
    <x:row r="7" ht="340" customHeight="1">
      <x:c r="A7" s="15" t="n">
        <x:v>5</x:v>
      </x:c>
      <x:c r="B7" s="15" t="str">
        <x:v>ISRG</x:v>
      </x:c>
      <x:c r="C7" s="15" t="str">
        <x:v>Intuitive Surgical</x:v>
      </x:c>
      <x:c r="D7" s="15" t="str">
        <x:v>2017q3</x:v>
      </x:c>
      <x:c r="E7" s="15" t="str">
        <x:v>2017-07-20</x:v>
      </x:c>
      <x:c r="F7" s="18" t="n">
        <x:v>0.51</x:v>
      </x:c>
      <x:c r="G7" s="18" t="n">
        <x:v>-4.46</x:v>
      </x:c>
      <x:c r="H7" s="18" t="n">
        <x:v>-3.98</x:v>
      </x:c>
      <x:c r="I7" s="18" t="n">
        <x:v>-2.51</x:v>
      </x:c>
      <x:c r="J7" s="18" t="n">
        <x:v>-1</x:v>
      </x:c>
      <x:c r="K7" s="15" t="str">
        <x:v>ret_1daypost_pct</x:v>
      </x:c>
      <x:c r="L7" s="15" t="str">
        <x:v>DOWN</x:v>
      </x:c>
      <x:c r="M7" s="15" t="str">
        <x:v>## Prior Context
After another guidance raise in April, ISRG entered Q2 with a very high valuation and investors expecting continued upside surprises. The new lower-priced da Vinci X also changed the system-pricing mix.
### Verified prior source
2017-04-18 | Intuitive Surgical | Intuitive Surgical Announces First Quarter Earnings | https://investor.intuitivesurgical.com/news-releases/news-release-details/intuitive-surgical-announces-first-quarter-earnings-7/
## Current Earnings Release
Q2 revenue increased **13% to $756 million**, procedures grew **16%**, and Intuitive shipped **166 systems** versus 130 a year earlier. The company launched the lower-priced **da Vinci X**, while instrument/accessory revenue rose in line with strong procedure growth.
The quarter was operationally strong, but adjusted earnings growth was much slower than revenue growth and system ASP fell to roughly **$1.46 million** from $1.56 million a year earlier because of product/geographic mix and multi-system discounts. With the stock trading at a rich multiple, the market reacted negatively despite another increase in procedure-growth guidance to about **14%–15%**.
### Verified release source
2017-07-20 | Intuitive Surgical | Intuitive Surgical Announces Second Quarter Earnings | https://www.globenewswire.com/news-release/2017/07/20/1054913/0/en/intuitive-surgical-announces-second-quarter-earnings.html
## Possible Drivers
**First-order driver.** The decline is best explained by a very high expectations bar combined with slower earnings growth and lower system ASP.
**Second-order driver.** Procedure growth remained excellent, so the selloff was not evidence of weakening robotic-surgery adoption.
**Third-order driver.** The da Vinci X and flexible pricing improved accessibility but reduced near-term system revenue per placement.
### Verified reaction source
2017-07-21 | The Motley Fool | Intuitive Surgical, Inc.'s Slow Earnings Growth Masks Deeper Strength | https://www.fool.com/investing/2017/07/21/intuitive-surgical-inc-slow-earnings-growth-masks.aspx
## Verification Status
Included sources were checked for Intuitive Surgical/ISRG identity, the correct event, publication date, timing window and source origin. Intuitive Surgical's own earnings release is the factual anchor. No WSJ, Reuters, Dow Jones or MarketWatch-syndicated article is included. Attribution strength for the reaction source: **SUPPORTED_INFERENCE**.
</x:v>
      </x:c>
      <x:c r="N7" s="15" t="str">
        <x:v>2017-04-18 | Intuitive Surgical | Intuitive Surgical Announces First Quarter Earnings | https://investor.intuitivesurgical.com/news-releases/news-release-details/intuitive-surgical-announces-first-quarter-earnings-7/</x:v>
      </x:c>
      <x:c r="O7" s="15" t="str">
        <x:v>2017-07-20 | Intuitive Surgical | Intuitive Surgical Announces Second Quarter Earnings | https://www.globenewswire.com/news-release/2017/07/20/1054913/0/en/intuitive-surgical-announces-second-quarter-earnings.html</x:v>
      </x:c>
      <x:c r="P7" s="15" t="str">
        <x:v>2017-07-21 | The Motley Fool | Intuitive Surgical, Inc.'s Slow Earnings Growth Masks Deeper Strength | https://www.fool.com/investing/2017/07/21/intuitive-surgical-inc-slow-earnings-growth-masks.aspx</x:v>
      </x:c>
      <x:c r="Q7" s="15" t="str">
        <x:v>2017-04-18 | Intuitive Surgical | Intuitive Surgical Announces First Quarter Earnings | https://investor.intuitivesurgical.com/news-releases/news-release-details/intuitive-surgical-announces-first-quarter-earnings-7/
2017-07-20 | Intuitive Surgical | Intuitive Surgical Announces Second Quarter Earnings | https://www.globenewswire.com/news-release/2017/07/20/1054913/0/en/intuitive-surgical-announces-second-quarter-earnings.html
2017-07-21 | The Motley Fool | Intuitive Surgical, Inc.'s Slow Earnings Growth Masks Deeper Strength | https://www.fool.com/investing/2017/07/21/intuitive-surgical-inc-slow-earnings-growth-masks.aspx</x:v>
      </x:c>
      <x:c r="R7" s="15" t="n">
        <x:v>3</x:v>
      </x:c>
      <x:c r="S7" s="15" t="str">
        <x:v>PASS</x:v>
      </x:c>
    </x:row>
    <x:row r="8" ht="340" customHeight="1">
      <x:c r="A8" s="15" t="n">
        <x:v>6</x:v>
      </x:c>
      <x:c r="B8" s="15" t="str">
        <x:v>ISRG</x:v>
      </x:c>
      <x:c r="C8" s="15" t="str">
        <x:v>Intuitive Surgical</x:v>
      </x:c>
      <x:c r="D8" s="15" t="str">
        <x:v>2017q4</x:v>
      </x:c>
      <x:c r="E8" s="15" t="str">
        <x:v>2017-10-19</x:v>
      </x:c>
      <x:c r="F8" s="18" t="n">
        <x:v>0.89</x:v>
      </x:c>
      <x:c r="G8" s="18" t="n">
        <x:v>2.97</x:v>
      </x:c>
      <x:c r="H8" s="18" t="n">
        <x:v>3.88</x:v>
      </x:c>
      <x:c r="I8" s="18" t="n">
        <x:v>3.59</x:v>
      </x:c>
      <x:c r="J8" s="18" t="n">
        <x:v>4.4</x:v>
      </x:c>
      <x:c r="K8" s="15" t="str">
        <x:v>ret_1daypost_pct</x:v>
      </x:c>
      <x:c r="L8" s="15" t="str">
        <x:v>UP</x:v>
      </x:c>
      <x:c r="M8" s="15" t="str">
        <x:v>## Prior Context
By Q3, procedure guidance had been raised repeatedly and the da Vinci X was broadening the addressable hospital market. Investors wanted evidence that high system placements would translate into future recurring revenue.
### Verified prior source
2017-07-20 | Intuitive Surgical | Intuitive Surgical Announces Second Quarter Earnings | https://www.globenewswire.com/news-release/2017/07/20/1054913/0/en/intuitive-surgical-announces-second-quarter-earnings.html
## Current Earnings Release
Q3 revenue increased **18% to $806 million**. Procedures grew about **15%**, system shipments jumped **26% to 169**, and instrument/accessory revenue rose to roughly $401 million. Intuitive raised full-year procedure-growth guidance again, to **15%–16%**.
Operating expenses increased faster than revenue in some categories, but the installed base was expanding rapidly. That matters because each new system can support years of recurring instrument, accessory and service revenue. The positive stock reaction was therefore consistent with strong placements and another procedure-guidance increase.
### Verified release source
2017-10-19 | Intuitive Surgical | Intuitive Surgical Announces Third Quarter Earnings | https://investor.intuitivesurgical.com/news-releases/news-release-details/intuitive-surgical-announces-third-quarter-earnings-7/
## Possible Drivers
**First-order driver.** Strong system placements and another procedure-guidance increase supported the positive reaction.
**Second-order driver.** 15% procedure growth kept recurring instrument revenue expanding at a high rate.
**Third-order driver.** Higher operating expenses were a modest caveat but did not outweigh the installed-base growth.
### Verified reaction source
2017-10-21 | The Motley Fool | Robots Power Profits at Intuitive Surgical | https://www.fool.com/investing/2017/10/21/intuitive-surgicals-robots-power-profits.aspx
## Verification Status
Included sources were checked for Intuitive Surgical/ISRG identity, the correct event, publication date, timing window and source origin. Intuitive Surgical's own earnings release is the factual anchor. No WSJ, Reuters, Dow Jones or MarketWatch-syndicated article is included. Attribution strength for the reaction source: **SUPPORTED_INFERENCE**.
</x:v>
      </x:c>
      <x:c r="N8" s="15" t="str">
        <x:v>2017-07-20 | Intuitive Surgical | Intuitive Surgical Announces Second Quarter Earnings | https://www.globenewswire.com/news-release/2017/07/20/1054913/0/en/intuitive-surgical-announces-second-quarter-earnings.html</x:v>
      </x:c>
      <x:c r="O8" s="15" t="str">
        <x:v>2017-10-19 | Intuitive Surgical | Intuitive Surgical Announces Third Quarter Earnings | https://investor.intuitivesurgical.com/news-releases/news-release-details/intuitive-surgical-announces-third-quarter-earnings-7/</x:v>
      </x:c>
      <x:c r="P8" s="15" t="str">
        <x:v>2017-10-21 | The Motley Fool | Robots Power Profits at Intuitive Surgical | https://www.fool.com/investing/2017/10/21/intuitive-surgicals-robots-power-profits.aspx</x:v>
      </x:c>
      <x:c r="Q8" s="15" t="str">
        <x:v>2017-07-20 | Intuitive Surgical | Intuitive Surgical Announces Second Quarter Earnings | https://www.globenewswire.com/news-release/2017/07/20/1054913/0/en/intuitive-surgical-announces-second-quarter-earnings.html
2017-10-19 | Intuitive Surgical | Intuitive Surgical Announces Third Quarter Earnings | https://investor.intuitivesurgical.com/news-releases/news-release-details/intuitive-surgical-announces-third-quarter-earnings-7/
2017-10-21 | The Motley Fool | Robots Power Profits at Intuitive Surgical | https://www.fool.com/investing/2017/10/21/intuitive-surgicals-robots-power-profits.aspx</x:v>
      </x:c>
      <x:c r="R8" s="15" t="n">
        <x:v>3</x:v>
      </x:c>
      <x:c r="S8" s="15" t="str">
        <x:v>PASS</x:v>
      </x:c>
    </x:row>
    <x:row r="9" ht="340" customHeight="1">
      <x:c r="A9" s="15" t="n">
        <x:v>7</x:v>
      </x:c>
      <x:c r="B9" s="15" t="str">
        <x:v>ISRG</x:v>
      </x:c>
      <x:c r="C9" s="15" t="str">
        <x:v>Intuitive Surgical</x:v>
      </x:c>
      <x:c r="D9" s="15" t="str">
        <x:v>2018q1</x:v>
      </x:c>
      <x:c r="E9" s="15" t="str">
        <x:v>2018-01-25</x:v>
      </x:c>
      <x:c r="F9" s="18" t="n">
        <x:v>2.81</x:v>
      </x:c>
      <x:c r="G9" s="18" t="n">
        <x:v>-3.12</x:v>
      </x:c>
      <x:c r="H9" s="18" t="n">
        <x:v>-0.4</x:v>
      </x:c>
      <x:c r="I9" s="18" t="n">
        <x:v>-0.78</x:v>
      </x:c>
      <x:c r="J9" s="18" t="n">
        <x:v>-1.89</x:v>
      </x:c>
      <x:c r="K9" s="15" t="str">
        <x:v>ret_1daypost_pct</x:v>
      </x:c>
      <x:c r="L9" s="15" t="str">
        <x:v>DOWN</x:v>
      </x:c>
      <x:c r="M9" s="15" t="str">
        <x:v>## Prior Context
Most of Q4’s headline information had already been released on January 10: roughly 17% procedure growth, $892 million of revenue and 216 system shipments. That preannouncement had already driven a sizable stock move before the formal earnings date.
### Verified prior source
2018-01-10 | Intuitive Surgical | Intuitive Surgical Announces Preliminary Fourth Quarter and Full Year 2017 Results | https://investor.intuitivesurgical.com/news-releases/news-release-details/intuitive-surgical-announces-preliminary-fourth-quarter-and-3
## Current Earnings Release
The formal Q4 release confirmed **$892 million of revenue**, up 18%, and non-GAAP EPS of **$2.54** on a post-split basis. Procedures grew **17%**, system shipments increased to **216** from 163, and instrument/accessory revenue rose 18%.
GAAP results showed a loss because of a **$318 million tax-reform charge**, but this was accounting rather than operating deterioration. Since the operating figures had been preannounced two weeks earlier, the formal report offered limited incremental upside. MassDevice reported that shares fell despite beating consensus, making this a clear case where the earnings-date reaction should not be interpreted as evidence of weak procedures or demand.
### Verified release source
2018-01-25 | Intuitive Surgical | Intuitive Surgical Announces Fourth Quarter Earnings | https://investor.intuitivesurgical.com/news-releases/news-release-details/intuitive-surgical-announces-fourth-quarter-earnings-6/
## Possible Drivers
**First-order driver.** Shares fell because the major operating beat had already been preannounced and largely priced in.
**Second-order driver.** The GAAP loss was driven by tax reform, not operating weakness.
**Third-order driver.** Strong procedures and placements remained intact, but the formal release contained little new positive information.
### Verified reaction source
2018-01-26 | MassDevice | Intuitive Surgical shares fall despite Q4 earnings beat | https://www.massdevice.com/intuitive-surgical-shares-fall-despite-q4-earnings-beat/
## Verification Status
Included sources were checked for Intuitive Surgical/ISRG identity, the correct event, publication date, timing window and source origin. Intuitive Surgical's own earnings release is the factual anchor. No WSJ, Reuters, Dow Jones or MarketWatch-syndicated article is included. Attribution strength for the reaction source: **EXPLICIT**.
</x:v>
      </x:c>
      <x:c r="N9" s="15" t="str">
        <x:v>2018-01-10 | Intuitive Surgical | Intuitive Surgical Announces Preliminary Fourth Quarter and Full Year 2017 Results | https://investor.intuitivesurgical.com/news-releases/news-release-details/intuitive-surgical-announces-preliminary-fourth-quarter-and-3</x:v>
      </x:c>
      <x:c r="O9" s="15" t="str">
        <x:v>2018-01-25 | Intuitive Surgical | Intuitive Surgical Announces Fourth Quarter Earnings | https://investor.intuitivesurgical.com/news-releases/news-release-details/intuitive-surgical-announces-fourth-quarter-earnings-6/</x:v>
      </x:c>
      <x:c r="P9" s="15" t="str">
        <x:v>2018-01-26 | MassDevice | Intuitive Surgical shares fall despite Q4 earnings beat | https://www.massdevice.com/intuitive-surgical-shares-fall-despite-q4-earnings-beat/</x:v>
      </x:c>
      <x:c r="Q9" s="15" t="str">
        <x:v>2018-01-10 | Intuitive Surgical | Intuitive Surgical Announces Preliminary Fourth Quarter and Full Year 2017 Results | https://investor.intuitivesurgical.com/news-releases/news-release-details/intuitive-surgical-announces-preliminary-fourth-quarter-and-3
2018-01-25 | Intuitive Surgical | Intuitive Surgical Announces Fourth Quarter Earnings | https://investor.intuitivesurgical.com/news-releases/news-release-details/intuitive-surgical-announces-fourth-quarter-earnings-6/
2018-01-26 | MassDevice | Intuitive Surgical shares fall despite Q4 earnings beat | https://www.massdevice.com/intuitive-surgical-shares-fall-despite-q4-earnings-beat/</x:v>
      </x:c>
      <x:c r="R9" s="15" t="n">
        <x:v>3</x:v>
      </x:c>
      <x:c r="S9" s="15" t="str">
        <x:v>PASS</x:v>
      </x:c>
    </x:row>
    <x:row r="10" ht="340" customHeight="1">
      <x:c r="A10" s="15" t="n">
        <x:v>8</x:v>
      </x:c>
      <x:c r="B10" s="15" t="str">
        <x:v>ISRG</x:v>
      </x:c>
      <x:c r="C10" s="15" t="str">
        <x:v>Intuitive Surgical</x:v>
      </x:c>
      <x:c r="D10" s="15" t="str">
        <x:v>2018q2</x:v>
      </x:c>
      <x:c r="E10" s="15" t="str">
        <x:v>2018-04-17</x:v>
      </x:c>
      <x:c r="F10" s="18" t="n">
        <x:v>3.05</x:v>
      </x:c>
      <x:c r="G10" s="18" t="n">
        <x:v>8.01</x:v>
      </x:c>
      <x:c r="H10" s="18" t="n">
        <x:v>11.3</x:v>
      </x:c>
      <x:c r="I10" s="18" t="n">
        <x:v>11.42</x:v>
      </x:c>
      <x:c r="J10" s="18" t="n">
        <x:v>9.34</x:v>
      </x:c>
      <x:c r="K10" s="15" t="str">
        <x:v>ret_1daypost_pct</x:v>
      </x:c>
      <x:c r="L10" s="15" t="str">
        <x:v>UP</x:v>
      </x:c>
      <x:c r="M10" s="15" t="str">
        <x:v>## Prior Context
Entering Q1, investors were focused on whether Intuitive could maintain double-digit U.S. procedure growth while improving international adoption, particularly in Japan.
### Verified prior source
2018-01-25 | Intuitive Surgical | Intuitive Surgical Announces Fourth Quarter Earnings | https://investor.intuitivesurgical.com/news-releases/news-release-details/intuitive-surgical-announces-fourth-quarter-earnings-6/
## Current Earnings Release
Q1 revenue jumped **25% to $848 million**, procedures grew **15%**, and system shipments increased to **185** from 133. Instrument/accessory revenue rose 21%, and total recurring revenue represented roughly **73%** of revenue.
International revenue increased sharply, and the company highlighted progress in Japan: the da Vinci X received regulatory clearance and reimbursement conditions improved for additional procedures. U.S. procedure growth was also stronger than management expected. The combination of high system placements, robust recurring revenue and better international opportunity made this a broad operating beat.
### Verified release source
2018-04-17 | Intuitive Surgical | Intuitive Surgical Announces First Quarter Earnings | https://investor.intuitivesurgical.com/news-releases/news-release-details/intuitive-surgical-announces-first-quarter-earnings-8
## Possible Drivers
**First-order driver.** Shares surged because revenue, profit, system placements and procedure growth were all strong.
**Second-order driver.** Japan reimbursement and product approvals improved the international growth runway.
**Third-order driver.** Recurring instruments/service revenue remained the core economic engine as the installed base expanded.
### Verified reaction source
2018-04-18 | The Motley Fool | International Headwinds Can't Slow Intuitive Surgical Inc. | https://www.fool.com/investing/2018/04/18/international-headwinds-cant-slow-down-intuitive-s.aspx
## Verification Status
Included sources were checked for Intuitive Surgical/ISRG identity, the correct event, publication date, timing window and source origin. Intuitive Surgical's own earnings release is the factual anchor. No WSJ, Reuters, Dow Jones or MarketWatch-syndicated article is included. Attribution strength for the reaction source: **EXPLICIT**.
</x:v>
      </x:c>
      <x:c r="N10" s="15" t="str">
        <x:v>2018-01-25 | Intuitive Surgical | Intuitive Surgical Announces Fourth Quarter Earnings | https://investor.intuitivesurgical.com/news-releases/news-release-details/intuitive-surgical-announces-fourth-quarter-earnings-6/</x:v>
      </x:c>
      <x:c r="O10" s="15" t="str">
        <x:v>2018-04-17 | Intuitive Surgical | Intuitive Surgical Announces First Quarter Earnings | https://investor.intuitivesurgical.com/news-releases/news-release-details/intuitive-surgical-announces-first-quarter-earnings-8</x:v>
      </x:c>
      <x:c r="P10" s="15" t="str">
        <x:v>2018-04-18 | The Motley Fool | International Headwinds Can't Slow Intuitive Surgical Inc. | https://www.fool.com/investing/2018/04/18/international-headwinds-cant-slow-down-intuitive-s.aspx</x:v>
      </x:c>
      <x:c r="Q10" s="15" t="str">
        <x:v>2018-01-25 | Intuitive Surgical | Intuitive Surgical Announces Fourth Quarter Earnings | https://investor.intuitivesurgical.com/news-releases/news-release-details/intuitive-surgical-announces-fourth-quarter-earnings-6/
2018-04-17 | Intuitive Surgical | Intuitive Surgical Announces First Quarter Earnings | https://investor.intuitivesurgical.com/news-releases/news-release-details/intuitive-surgical-announces-first-quarter-earnings-8
2018-04-18 | The Motley Fool | International Headwinds Can't Slow Intuitive Surgical Inc. | https://www.fool.com/investing/2018/04/18/international-headwinds-cant-slow-down-intuitive-s.aspx</x:v>
      </x:c>
      <x:c r="R10" s="15" t="n">
        <x:v>3</x:v>
      </x:c>
      <x:c r="S10" s="15" t="str">
        <x:v>PASS</x:v>
      </x:c>
    </x:row>
    <x:row r="11" ht="340" customHeight="1">
      <x:c r="A11" s="15" t="n">
        <x:v>9</x:v>
      </x:c>
      <x:c r="B11" s="15" t="str">
        <x:v>ISRG</x:v>
      </x:c>
      <x:c r="C11" s="15" t="str">
        <x:v>Intuitive Surgical</x:v>
      </x:c>
      <x:c r="D11" s="15" t="str">
        <x:v>2018q3</x:v>
      </x:c>
      <x:c r="E11" s="15" t="str">
        <x:v>2018-07-19</x:v>
      </x:c>
      <x:c r="F11" s="18" t="n">
        <x:v>-1.01</x:v>
      </x:c>
      <x:c r="G11" s="18" t="n">
        <x:v>-0.76</x:v>
      </x:c>
      <x:c r="H11" s="18" t="n">
        <x:v>-1.76</x:v>
      </x:c>
      <x:c r="I11" s="18" t="n">
        <x:v>-1.23</x:v>
      </x:c>
      <x:c r="J11" s="18" t="n">
        <x:v>-0.3</x:v>
      </x:c>
      <x:c r="K11" s="15" t="str">
        <x:v>ret_1daypost_pct</x:v>
      </x:c>
      <x:c r="L11" s="15" t="str">
        <x:v>DOWN</x:v>
      </x:c>
      <x:c r="M11" s="15" t="str">
        <x:v>## Prior Context
After the April surge, ISRG again entered earnings with a demanding valuation. Investors expected procedure growth to remain well above management’s original annual range.
### Verified prior source
2018-04-17 | Intuitive Surgical | Intuitive Surgical Announces First Quarter Earnings | https://investor.intuitivesurgical.com/news-releases/news-release-details/intuitive-surgical-announces-first-quarter-earnings-8
## Current Earnings Release
Q2 revenue increased **20% to $909 million**, procedures grew **18%**, and Intuitive shipped **220 systems**, up from 166. Non-GAAP EPS rose **38% to $2.76**. Instrument/accessory revenue increased 20%, while the company also received FDA clearances for the da Vinci SP, Vessel Sealer Extend and SureForm 60.
Operationally, this was another very strong quarter. Management raised procedure-growth expectations to approximately **14.5%–16.5%** for 2018. Yet the supplied next-day return was slightly negative. No verified contemporaneous source in the included set explicitly attributes that small reversal to a specific operating disappointment, so the safest interpretation is that profit-taking/valuation offset the excellent report rather than inventing a fundamental negative catalyst.
### Verified release source
2018-07-19 | Intuitive Surgical | Intuitive Surgical Announces Second Quarter Earnings | https://isrg.intuitive.com/news-releases/news-release-details/intuitive-surgical-announces-second-quarter-earnings-8/
## Possible Drivers
**First-order driver.** No explicit negative catalyst was verified; the slight decline is best labeled a valuation/profit-taking inference after a very strong quarter.
**Second-order driver.** 18% procedure growth and 220 system shipments showed continued underlying acceleration.
**Third-order driver.** New SP and stapling clearances strengthened the future product cycle despite the muted stock reaction.
### Verified reaction source
2018-07-20 | The Motley Fool | Intuitive Surgical, Inc. Is a Broken Record -- and Investors Should Love It | https://www.fool.com/investing/2018/07/20/intuitive-surgical-inc-is-a-broken-record-and-inve.aspx
## Verification Status
Included sources were checked for Intuitive Surgical/ISRG identity, the correct event, publication date, timing window and source origin. Intuitive Surgical's own earnings release is the factual anchor. No WSJ, Reuters, Dow Jones or MarketWatch-syndicated article is included. Attribution strength for the reaction source: **NO_EXPLICIT_MOVE_ATTRIBUTION**.
</x:v>
      </x:c>
      <x:c r="N11" s="15" t="str">
        <x:v>2018-04-17 | Intuitive Surgical | Intuitive Surgical Announces First Quarter Earnings | https://investor.intuitivesurgical.com/news-releases/news-release-details/intuitive-surgical-announces-first-quarter-earnings-8</x:v>
      </x:c>
      <x:c r="O11" s="15" t="str">
        <x:v>2018-07-19 | Intuitive Surgical | Intuitive Surgical Announces Second Quarter Earnings | https://isrg.intuitive.com/news-releases/news-release-details/intuitive-surgical-announces-second-quarter-earnings-8/</x:v>
      </x:c>
      <x:c r="P11" s="15" t="str">
        <x:v>2018-07-20 | The Motley Fool | Intuitive Surgical, Inc. Is a Broken Record -- and Investors Should Love It | https://www.fool.com/investing/2018/07/20/intuitive-surgical-inc-is-a-broken-record-and-inve.aspx</x:v>
      </x:c>
      <x:c r="Q11" s="15" t="str">
        <x:v>2018-04-17 | Intuitive Surgical | Intuitive Surgical Announces First Quarter Earnings | https://investor.intuitivesurgical.com/news-releases/news-release-details/intuitive-surgical-announces-first-quarter-earnings-8
2018-07-19 | Intuitive Surgical | Intuitive Surgical Announces Second Quarter Earnings | https://isrg.intuitive.com/news-releases/news-release-details/intuitive-surgical-announces-second-quarter-earnings-8/
2018-07-20 | The Motley Fool | Intuitive Surgical, Inc. Is a Broken Record -- and Investors Should Love It | https://www.fool.com/investing/2018/07/20/intuitive-surgical-inc-is-a-broken-record-and-inve.aspx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2" hidden="0" customWidth="1"/>
    <x:col min="8" max="8" width="92"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2016-04-19</x:v>
      </x:c>
      <x:c r="B2" s="12" t="str">
        <x:v>ISRG</x:v>
      </x:c>
      <x:c r="C2" s="12" t="str">
        <x:v>prior</x:v>
      </x:c>
      <x:c r="D2" s="12" t="str">
        <x:v>2016-01-21</x:v>
      </x:c>
      <x:c r="E2" s="12" t="n">
        <x:v>-89</x:v>
      </x:c>
      <x:c r="F2" s="12" t="str">
        <x:v>Intuitive Surgical</x:v>
      </x:c>
      <x:c r="G2" s="12" t="str">
        <x:v>Intuitive Surgical Announces Fourth Quarter Earnings</x:v>
      </x:c>
      <x:c r="H2" s="12" t="str">
        <x:v>https://www.globenewswire.com/news-release/2016/01/21/805155/0/en/intuitive-surgical-announces-fourth-quarter-earnings.html</x:v>
      </x:c>
      <x:c r="I2" s="12" t="str">
        <x:v>OPENED/VERIFIED</x:v>
      </x:c>
      <x:c r="J2" s="12" t="str">
        <x:v>PASS</x:v>
      </x:c>
      <x:c r="K2" s="12" t="str">
        <x:v>PASS</x:v>
      </x:c>
      <x:c r="L2" s="12" t="str">
        <x:v>PASS</x:v>
      </x:c>
      <x:c r="M2" s="12" t="str">
        <x:v>NO</x:v>
      </x:c>
      <x:c r="N2" s="12" t="str">
        <x:v>PASS</x:v>
      </x:c>
      <x:c r="O2" s="12" t="str">
        <x:v>FACTUAL</x:v>
      </x:c>
      <x:c r="P2" s="12" t="str">
        <x:v>PASS</x:v>
      </x:c>
      <x:c r="Q2" s="12" t="str">
        <x:v>Checked for ISRG/Intuitive Surgical identity, exact earnings event, displayed date, timing window and source-origin restriction.</x:v>
      </x:c>
    </x:row>
    <x:row r="3">
      <x:c r="A3" s="12" t="str">
        <x:v>2016-04-19</x:v>
      </x:c>
      <x:c r="B3" s="12" t="str">
        <x:v>ISRG</x:v>
      </x:c>
      <x:c r="C3" s="12" t="str">
        <x:v>release</x:v>
      </x:c>
      <x:c r="D3" s="12" t="str">
        <x:v>2016-04-19</x:v>
      </x:c>
      <x:c r="E3" s="12" t="n">
        <x:v>0</x:v>
      </x:c>
      <x:c r="F3" s="12" t="str">
        <x:v>Intuitive Surgical</x:v>
      </x:c>
      <x:c r="G3" s="12" t="str">
        <x:v>Intuitive Surgical Announces First Quarter Earnings</x:v>
      </x:c>
      <x:c r="H3" s="12" t="str">
        <x:v>https://www.globenewswire.com/news-release/2016/04/19/830394/0/en/intuitive-surgical-announces-first-quarter-earnings.html</x:v>
      </x:c>
      <x:c r="I3" s="12" t="str">
        <x:v>OPENED/VERIFIED</x:v>
      </x:c>
      <x:c r="J3" s="12" t="str">
        <x:v>PASS</x:v>
      </x:c>
      <x:c r="K3" s="12" t="str">
        <x:v>PASS</x:v>
      </x:c>
      <x:c r="L3" s="12" t="str">
        <x:v>PASS</x:v>
      </x:c>
      <x:c r="M3" s="12" t="str">
        <x:v>NO</x:v>
      </x:c>
      <x:c r="N3" s="12" t="str">
        <x:v>PASS</x:v>
      </x:c>
      <x:c r="O3" s="12" t="str">
        <x:v>FACTUAL</x:v>
      </x:c>
      <x:c r="P3" s="12" t="str">
        <x:v>PASS</x:v>
      </x:c>
      <x:c r="Q3" s="12" t="str">
        <x:v>Checked for ISRG/Intuitive Surgical identity, exact earnings event, displayed date, timing window and source-origin restriction.</x:v>
      </x:c>
    </x:row>
    <x:row r="4">
      <x:c r="A4" s="12" t="str">
        <x:v>2016-04-19</x:v>
      </x:c>
      <x:c r="B4" s="12" t="str">
        <x:v>ISRG</x:v>
      </x:c>
      <x:c r="C4" s="12" t="str">
        <x:v>reaction</x:v>
      </x:c>
      <x:c r="D4" s="12" t="str">
        <x:v>2016-04-20</x:v>
      </x:c>
      <x:c r="E4" s="12" t="n">
        <x:v>1</x:v>
      </x:c>
      <x:c r="F4" s="12" t="str">
        <x:v>The Motley Fool</x:v>
      </x:c>
      <x:c r="G4" s="12" t="str">
        <x:v>3 Reasons Intuitive Surgical's Shares Soared $20 Today</x:v>
      </x:c>
      <x:c r="H4" s="12" t="str">
        <x:v>https://www.fool.com/investing/general/2016/04/20/3-reasons-why-intuitive-surgicals-shares-soared-25.aspx</x:v>
      </x:c>
      <x:c r="I4" s="12" t="str">
        <x:v>OPENED/VERIFIED</x:v>
      </x:c>
      <x:c r="J4" s="12" t="str">
        <x:v>PASS</x:v>
      </x:c>
      <x:c r="K4" s="12" t="str">
        <x:v>PASS</x:v>
      </x:c>
      <x:c r="L4" s="12" t="str">
        <x:v>PASS</x:v>
      </x:c>
      <x:c r="M4" s="12" t="str">
        <x:v>NO</x:v>
      </x:c>
      <x:c r="N4" s="12" t="str">
        <x:v>PASS</x:v>
      </x:c>
      <x:c r="O4" s="12" t="str">
        <x:v>EXPLICIT</x:v>
      </x:c>
      <x:c r="P4" s="12" t="str">
        <x:v>PASS</x:v>
      </x:c>
      <x:c r="Q4" s="12" t="str">
        <x:v>Checked for ISRG/Intuitive Surgical identity, exact earnings event, displayed date, timing window and source-origin restriction.</x:v>
      </x:c>
    </x:row>
    <x:row r="5">
      <x:c r="A5" s="12" t="str">
        <x:v>2016-07-19</x:v>
      </x:c>
      <x:c r="B5" s="12" t="str">
        <x:v>ISRG</x:v>
      </x:c>
      <x:c r="C5" s="12" t="str">
        <x:v>prior</x:v>
      </x:c>
      <x:c r="D5" s="12" t="str">
        <x:v>2016-04-19</x:v>
      </x:c>
      <x:c r="E5" s="12" t="n">
        <x:v>-91</x:v>
      </x:c>
      <x:c r="F5" s="12" t="str">
        <x:v>Intuitive Surgical</x:v>
      </x:c>
      <x:c r="G5" s="12" t="str">
        <x:v>Intuitive Surgical Announces First Quarter Earnings</x:v>
      </x:c>
      <x:c r="H5" s="12" t="str">
        <x:v>https://www.globenewswire.com/news-release/2016/04/19/830394/0/en/intuitive-surgical-announces-first-quarter-earnings.html</x:v>
      </x:c>
      <x:c r="I5" s="12" t="str">
        <x:v>OPENED/VERIFIED</x:v>
      </x:c>
      <x:c r="J5" s="12" t="str">
        <x:v>PASS</x:v>
      </x:c>
      <x:c r="K5" s="12" t="str">
        <x:v>PASS</x:v>
      </x:c>
      <x:c r="L5" s="12" t="str">
        <x:v>PASS</x:v>
      </x:c>
      <x:c r="M5" s="12" t="str">
        <x:v>NO</x:v>
      </x:c>
      <x:c r="N5" s="12" t="str">
        <x:v>PASS</x:v>
      </x:c>
      <x:c r="O5" s="12" t="str">
        <x:v>FACTUAL</x:v>
      </x:c>
      <x:c r="P5" s="12" t="str">
        <x:v>PASS</x:v>
      </x:c>
      <x:c r="Q5" s="12" t="str">
        <x:v>Checked for ISRG/Intuitive Surgical identity, exact earnings event, displayed date, timing window and source-origin restriction.</x:v>
      </x:c>
    </x:row>
    <x:row r="6">
      <x:c r="A6" s="12" t="str">
        <x:v>2016-07-19</x:v>
      </x:c>
      <x:c r="B6" s="12" t="str">
        <x:v>ISRG</x:v>
      </x:c>
      <x:c r="C6" s="12" t="str">
        <x:v>release</x:v>
      </x:c>
      <x:c r="D6" s="12" t="str">
        <x:v>2016-07-19</x:v>
      </x:c>
      <x:c r="E6" s="12" t="n">
        <x:v>0</x:v>
      </x:c>
      <x:c r="F6" s="12" t="str">
        <x:v>Intuitive Surgical</x:v>
      </x:c>
      <x:c r="G6" s="12" t="str">
        <x:v>Intuitive Surgical Announces Second Quarter Earnings</x:v>
      </x:c>
      <x:c r="H6" s="12" t="str">
        <x:v>https://isrg.intuitive.com/news-releases/news-release-details/intuitive-surgical-announces-second-quarter-earnings-6</x:v>
      </x:c>
      <x:c r="I6" s="12" t="str">
        <x:v>OPENED/VERIFIED</x:v>
      </x:c>
      <x:c r="J6" s="12" t="str">
        <x:v>PASS</x:v>
      </x:c>
      <x:c r="K6" s="12" t="str">
        <x:v>PASS</x:v>
      </x:c>
      <x:c r="L6" s="12" t="str">
        <x:v>PASS</x:v>
      </x:c>
      <x:c r="M6" s="12" t="str">
        <x:v>NO</x:v>
      </x:c>
      <x:c r="N6" s="12" t="str">
        <x:v>PASS</x:v>
      </x:c>
      <x:c r="O6" s="12" t="str">
        <x:v>FACTUAL</x:v>
      </x:c>
      <x:c r="P6" s="12" t="str">
        <x:v>PASS</x:v>
      </x:c>
      <x:c r="Q6" s="12" t="str">
        <x:v>Checked for ISRG/Intuitive Surgical identity, exact earnings event, displayed date, timing window and source-origin restriction.</x:v>
      </x:c>
    </x:row>
    <x:row r="7">
      <x:c r="A7" s="12" t="str">
        <x:v>2016-07-19</x:v>
      </x:c>
      <x:c r="B7" s="12" t="str">
        <x:v>ISRG</x:v>
      </x:c>
      <x:c r="C7" s="12" t="str">
        <x:v>reaction</x:v>
      </x:c>
      <x:c r="D7" s="12" t="str">
        <x:v>2016-07-20</x:v>
      </x:c>
      <x:c r="E7" s="12" t="n">
        <x:v>1</x:v>
      </x:c>
      <x:c r="F7" s="12" t="str">
        <x:v>The Motley Fool</x:v>
      </x:c>
      <x:c r="G7" s="12" t="str">
        <x:v>Intuitive Surgical, Inc. Continues Its Trend of Robust Growth</x:v>
      </x:c>
      <x:c r="H7" s="12" t="str">
        <x:v>https://www.fool.com/investing/2016/07/20/intuitive-surgical-inc-continues-its-trend-of-robu.aspx</x:v>
      </x:c>
      <x:c r="I7" s="12" t="str">
        <x:v>OPENED/VERIFIED</x:v>
      </x:c>
      <x:c r="J7" s="12" t="str">
        <x:v>PASS</x:v>
      </x:c>
      <x:c r="K7" s="12" t="str">
        <x:v>PASS</x:v>
      </x:c>
      <x:c r="L7" s="12" t="str">
        <x:v>PASS</x:v>
      </x:c>
      <x:c r="M7" s="12" t="str">
        <x:v>NO</x:v>
      </x:c>
      <x:c r="N7" s="12" t="str">
        <x:v>PASS</x:v>
      </x:c>
      <x:c r="O7" s="12" t="str">
        <x:v>EXPLICIT</x:v>
      </x:c>
      <x:c r="P7" s="12" t="str">
        <x:v>PASS</x:v>
      </x:c>
      <x:c r="Q7" s="12" t="str">
        <x:v>Checked for ISRG/Intuitive Surgical identity, exact earnings event, displayed date, timing window and source-origin restriction.</x:v>
      </x:c>
    </x:row>
    <x:row r="8">
      <x:c r="A8" s="12" t="str">
        <x:v>2016-10-18</x:v>
      </x:c>
      <x:c r="B8" s="12" t="str">
        <x:v>ISRG</x:v>
      </x:c>
      <x:c r="C8" s="12" t="str">
        <x:v>prior</x:v>
      </x:c>
      <x:c r="D8" s="12" t="str">
        <x:v>2016-07-19</x:v>
      </x:c>
      <x:c r="E8" s="12" t="n">
        <x:v>-91</x:v>
      </x:c>
      <x:c r="F8" s="12" t="str">
        <x:v>Intuitive Surgical</x:v>
      </x:c>
      <x:c r="G8" s="12" t="str">
        <x:v>Intuitive Surgical Announces Second Quarter Earnings</x:v>
      </x:c>
      <x:c r="H8" s="12" t="str">
        <x:v>https://isrg.intuitive.com/news-releases/news-release-details/intuitive-surgical-announces-second-quarter-earnings-6</x:v>
      </x:c>
      <x:c r="I8" s="12" t="str">
        <x:v>OPENED/VERIFIED</x:v>
      </x:c>
      <x:c r="J8" s="12" t="str">
        <x:v>PASS</x:v>
      </x:c>
      <x:c r="K8" s="12" t="str">
        <x:v>PASS</x:v>
      </x:c>
      <x:c r="L8" s="12" t="str">
        <x:v>PASS</x:v>
      </x:c>
      <x:c r="M8" s="12" t="str">
        <x:v>NO</x:v>
      </x:c>
      <x:c r="N8" s="12" t="str">
        <x:v>PASS</x:v>
      </x:c>
      <x:c r="O8" s="12" t="str">
        <x:v>FACTUAL</x:v>
      </x:c>
      <x:c r="P8" s="12" t="str">
        <x:v>PASS</x:v>
      </x:c>
      <x:c r="Q8" s="12" t="str">
        <x:v>Checked for ISRG/Intuitive Surgical identity, exact earnings event, displayed date, timing window and source-origin restriction.</x:v>
      </x:c>
    </x:row>
    <x:row r="9">
      <x:c r="A9" s="12" t="str">
        <x:v>2016-10-18</x:v>
      </x:c>
      <x:c r="B9" s="12" t="str">
        <x:v>ISRG</x:v>
      </x:c>
      <x:c r="C9" s="12" t="str">
        <x:v>release</x:v>
      </x:c>
      <x:c r="D9" s="12" t="str">
        <x:v>2016-10-18</x:v>
      </x:c>
      <x:c r="E9" s="12" t="n">
        <x:v>0</x:v>
      </x:c>
      <x:c r="F9" s="12" t="str">
        <x:v>Intuitive Surgical</x:v>
      </x:c>
      <x:c r="G9" s="12" t="str">
        <x:v>Intuitive Surgical Announces Third Quarter Earnings</x:v>
      </x:c>
      <x:c r="H9" s="12" t="str">
        <x:v>https://isrg.intuitive.com/news-releases/news-release-details/intuitive-surgical-announces-third-quarter-earnings-6/</x:v>
      </x:c>
      <x:c r="I9" s="12" t="str">
        <x:v>OPENED/VERIFIED</x:v>
      </x:c>
      <x:c r="J9" s="12" t="str">
        <x:v>PASS</x:v>
      </x:c>
      <x:c r="K9" s="12" t="str">
        <x:v>PASS</x:v>
      </x:c>
      <x:c r="L9" s="12" t="str">
        <x:v>PASS</x:v>
      </x:c>
      <x:c r="M9" s="12" t="str">
        <x:v>NO</x:v>
      </x:c>
      <x:c r="N9" s="12" t="str">
        <x:v>PASS</x:v>
      </x:c>
      <x:c r="O9" s="12" t="str">
        <x:v>FACTUAL</x:v>
      </x:c>
      <x:c r="P9" s="12" t="str">
        <x:v>PASS</x:v>
      </x:c>
      <x:c r="Q9" s="12" t="str">
        <x:v>Checked for ISRG/Intuitive Surgical identity, exact earnings event, displayed date, timing window and source-origin restriction.</x:v>
      </x:c>
    </x:row>
    <x:row r="10">
      <x:c r="A10" s="12" t="str">
        <x:v>2016-10-18</x:v>
      </x:c>
      <x:c r="B10" s="12" t="str">
        <x:v>ISRG</x:v>
      </x:c>
      <x:c r="C10" s="12" t="str">
        <x:v>reaction</x:v>
      </x:c>
      <x:c r="D10" s="12" t="str">
        <x:v>2016-10-19</x:v>
      </x:c>
      <x:c r="E10" s="12" t="n">
        <x:v>1</x:v>
      </x:c>
      <x:c r="F10" s="12" t="str">
        <x:v>The Motley Fool</x:v>
      </x:c>
      <x:c r="G10" s="12" t="str">
        <x:v>Intuitive Surgical, Inc. Produces Yet Another Solid Quarter</x:v>
      </x:c>
      <x:c r="H10" s="12" t="str">
        <x:v>https://www.fool.com/investing/2016/10/19/intuitive-surgical-inc-produces-yet-another-solid.aspx</x:v>
      </x:c>
      <x:c r="I10" s="12" t="str">
        <x:v>OPENED/VERIFIED</x:v>
      </x:c>
      <x:c r="J10" s="12" t="str">
        <x:v>PASS</x:v>
      </x:c>
      <x:c r="K10" s="12" t="str">
        <x:v>PASS</x:v>
      </x:c>
      <x:c r="L10" s="12" t="str">
        <x:v>PASS</x:v>
      </x:c>
      <x:c r="M10" s="12" t="str">
        <x:v>NO</x:v>
      </x:c>
      <x:c r="N10" s="12" t="str">
        <x:v>PASS</x:v>
      </x:c>
      <x:c r="O10" s="12" t="str">
        <x:v>SUPPORTED_INFERENCE</x:v>
      </x:c>
      <x:c r="P10" s="12" t="str">
        <x:v>PASS</x:v>
      </x:c>
      <x:c r="Q10" s="12" t="str">
        <x:v>Checked for ISRG/Intuitive Surgical identity, exact earnings event, displayed date, timing window and source-origin restriction.</x:v>
      </x:c>
    </x:row>
    <x:row r="11">
      <x:c r="A11" s="12" t="str">
        <x:v>2017-01-24</x:v>
      </x:c>
      <x:c r="B11" s="12" t="str">
        <x:v>ISRG</x:v>
      </x:c>
      <x:c r="C11" s="12" t="str">
        <x:v>prior</x:v>
      </x:c>
      <x:c r="D11" s="12" t="str">
        <x:v>2016-10-18</x:v>
      </x:c>
      <x:c r="E11" s="12" t="n">
        <x:v>-98</x:v>
      </x:c>
      <x:c r="F11" s="12" t="str">
        <x:v>Intuitive Surgical</x:v>
      </x:c>
      <x:c r="G11" s="12" t="str">
        <x:v>Intuitive Surgical Announces Third Quarter Earnings</x:v>
      </x:c>
      <x:c r="H11" s="12" t="str">
        <x:v>https://isrg.intuitive.com/news-releases/news-release-details/intuitive-surgical-announces-third-quarter-earnings-6/</x:v>
      </x:c>
      <x:c r="I11" s="12" t="str">
        <x:v>OPENED/VERIFIED</x:v>
      </x:c>
      <x:c r="J11" s="12" t="str">
        <x:v>PASS</x:v>
      </x:c>
      <x:c r="K11" s="12" t="str">
        <x:v>PASS</x:v>
      </x:c>
      <x:c r="L11" s="12" t="str">
        <x:v>PASS</x:v>
      </x:c>
      <x:c r="M11" s="12" t="str">
        <x:v>NO</x:v>
      </x:c>
      <x:c r="N11" s="12" t="str">
        <x:v>PASS</x:v>
      </x:c>
      <x:c r="O11" s="12" t="str">
        <x:v>FACTUAL</x:v>
      </x:c>
      <x:c r="P11" s="12" t="str">
        <x:v>PASS</x:v>
      </x:c>
      <x:c r="Q11" s="12" t="str">
        <x:v>Checked for ISRG/Intuitive Surgical identity, exact earnings event, displayed date, timing window and source-origin restriction.</x:v>
      </x:c>
    </x:row>
    <x:row r="12">
      <x:c r="A12" s="12" t="str">
        <x:v>2017-01-24</x:v>
      </x:c>
      <x:c r="B12" s="12" t="str">
        <x:v>ISRG</x:v>
      </x:c>
      <x:c r="C12" s="12" t="str">
        <x:v>release</x:v>
      </x:c>
      <x:c r="D12" s="12" t="str">
        <x:v>2017-01-24</x:v>
      </x:c>
      <x:c r="E12" s="12" t="n">
        <x:v>0</x:v>
      </x:c>
      <x:c r="F12" s="12" t="str">
        <x:v>Intuitive Surgical</x:v>
      </x:c>
      <x:c r="G12" s="12" t="str">
        <x:v>Intuitive Surgical Announces Fourth Quarter Earnings and a $2.0 Billion Accelerated Share Repurchase</x:v>
      </x:c>
      <x:c r="H12" s="12" t="str">
        <x:v>https://isrg.intuitive.com/news-releases/news-release-details/intuitive-surgical-announces-fourth-quarter-earnings-and-20/</x:v>
      </x:c>
      <x:c r="I12" s="12" t="str">
        <x:v>OPENED/VERIFIED</x:v>
      </x:c>
      <x:c r="J12" s="12" t="str">
        <x:v>PASS</x:v>
      </x:c>
      <x:c r="K12" s="12" t="str">
        <x:v>PASS</x:v>
      </x:c>
      <x:c r="L12" s="12" t="str">
        <x:v>PASS</x:v>
      </x:c>
      <x:c r="M12" s="12" t="str">
        <x:v>NO</x:v>
      </x:c>
      <x:c r="N12" s="12" t="str">
        <x:v>PASS</x:v>
      </x:c>
      <x:c r="O12" s="12" t="str">
        <x:v>FACTUAL</x:v>
      </x:c>
      <x:c r="P12" s="12" t="str">
        <x:v>PASS</x:v>
      </x:c>
      <x:c r="Q12" s="12" t="str">
        <x:v>Checked for ISRG/Intuitive Surgical identity, exact earnings event, displayed date, timing window and source-origin restriction.</x:v>
      </x:c>
    </x:row>
    <x:row r="13">
      <x:c r="A13" s="12" t="str">
        <x:v>2017-01-24</x:v>
      </x:c>
      <x:c r="B13" s="12" t="str">
        <x:v>ISRG</x:v>
      </x:c>
      <x:c r="C13" s="12" t="str">
        <x:v>reaction</x:v>
      </x:c>
      <x:c r="D13" s="12" t="str">
        <x:v>2017-01-25</x:v>
      </x:c>
      <x:c r="E13" s="12" t="n">
        <x:v>1</x:v>
      </x:c>
      <x:c r="F13" s="12" t="str">
        <x:v>The Motley Fool</x:v>
      </x:c>
      <x:c r="G13" s="12" t="str">
        <x:v>No Huge Surprises From Intuitive Surgical, Inc., but a Solid Quarter Nonetheless</x:v>
      </x:c>
      <x:c r="H13" s="12" t="str">
        <x:v>https://www.fool.com/investing/2017/01/25/no-huge-surprises-from-intuitive-surgical-inc-but.aspx</x:v>
      </x:c>
      <x:c r="I13" s="12" t="str">
        <x:v>OPENED/VERIFIED</x:v>
      </x:c>
      <x:c r="J13" s="12" t="str">
        <x:v>PASS</x:v>
      </x:c>
      <x:c r="K13" s="12" t="str">
        <x:v>PASS</x:v>
      </x:c>
      <x:c r="L13" s="12" t="str">
        <x:v>PASS</x:v>
      </x:c>
      <x:c r="M13" s="12" t="str">
        <x:v>NO</x:v>
      </x:c>
      <x:c r="N13" s="12" t="str">
        <x:v>PASS</x:v>
      </x:c>
      <x:c r="O13" s="12" t="str">
        <x:v>EXPLICIT</x:v>
      </x:c>
      <x:c r="P13" s="12" t="str">
        <x:v>PASS</x:v>
      </x:c>
      <x:c r="Q13" s="12" t="str">
        <x:v>Checked for ISRG/Intuitive Surgical identity, exact earnings event, displayed date, timing window and source-origin restriction.</x:v>
      </x:c>
    </x:row>
    <x:row r="14">
      <x:c r="A14" s="12" t="str">
        <x:v>2017-04-18</x:v>
      </x:c>
      <x:c r="B14" s="12" t="str">
        <x:v>ISRG</x:v>
      </x:c>
      <x:c r="C14" s="12" t="str">
        <x:v>prior</x:v>
      </x:c>
      <x:c r="D14" s="12" t="str">
        <x:v>2017-01-24</x:v>
      </x:c>
      <x:c r="E14" s="12" t="n">
        <x:v>-84</x:v>
      </x:c>
      <x:c r="F14" s="12" t="str">
        <x:v>Intuitive Surgical</x:v>
      </x:c>
      <x:c r="G14" s="12" t="str">
        <x:v>Intuitive Surgical Announces Fourth Quarter Earnings and a $2.0 Billion Accelerated Share Repurchase</x:v>
      </x:c>
      <x:c r="H14" s="12" t="str">
        <x:v>https://isrg.intuitive.com/news-releases/news-release-details/intuitive-surgical-announces-fourth-quarter-earnings-and-20/</x:v>
      </x:c>
      <x:c r="I14" s="12" t="str">
        <x:v>OPENED/VERIFIED</x:v>
      </x:c>
      <x:c r="J14" s="12" t="str">
        <x:v>PASS</x:v>
      </x:c>
      <x:c r="K14" s="12" t="str">
        <x:v>PASS</x:v>
      </x:c>
      <x:c r="L14" s="12" t="str">
        <x:v>PASS</x:v>
      </x:c>
      <x:c r="M14" s="12" t="str">
        <x:v>NO</x:v>
      </x:c>
      <x:c r="N14" s="12" t="str">
        <x:v>PASS</x:v>
      </x:c>
      <x:c r="O14" s="12" t="str">
        <x:v>FACTUAL</x:v>
      </x:c>
      <x:c r="P14" s="12" t="str">
        <x:v>PASS</x:v>
      </x:c>
      <x:c r="Q14" s="12" t="str">
        <x:v>Checked for ISRG/Intuitive Surgical identity, exact earnings event, displayed date, timing window and source-origin restriction.</x:v>
      </x:c>
    </x:row>
    <x:row r="15">
      <x:c r="A15" s="12" t="str">
        <x:v>2017-04-18</x:v>
      </x:c>
      <x:c r="B15" s="12" t="str">
        <x:v>ISRG</x:v>
      </x:c>
      <x:c r="C15" s="12" t="str">
        <x:v>release</x:v>
      </x:c>
      <x:c r="D15" s="12" t="str">
        <x:v>2017-04-18</x:v>
      </x:c>
      <x:c r="E15" s="12" t="n">
        <x:v>0</x:v>
      </x:c>
      <x:c r="F15" s="12" t="str">
        <x:v>Intuitive Surgical</x:v>
      </x:c>
      <x:c r="G15" s="12" t="str">
        <x:v>Intuitive Surgical Announces First Quarter Earnings</x:v>
      </x:c>
      <x:c r="H15" s="12" t="str">
        <x:v>https://investor.intuitivesurgical.com/news-releases/news-release-details/intuitive-surgical-announces-first-quarter-earnings-7/</x:v>
      </x:c>
      <x:c r="I15" s="12" t="str">
        <x:v>OPENED/VERIFIED</x:v>
      </x:c>
      <x:c r="J15" s="12" t="str">
        <x:v>PASS</x:v>
      </x:c>
      <x:c r="K15" s="12" t="str">
        <x:v>PASS</x:v>
      </x:c>
      <x:c r="L15" s="12" t="str">
        <x:v>PASS</x:v>
      </x:c>
      <x:c r="M15" s="12" t="str">
        <x:v>NO</x:v>
      </x:c>
      <x:c r="N15" s="12" t="str">
        <x:v>PASS</x:v>
      </x:c>
      <x:c r="O15" s="12" t="str">
        <x:v>FACTUAL</x:v>
      </x:c>
      <x:c r="P15" s="12" t="str">
        <x:v>PASS</x:v>
      </x:c>
      <x:c r="Q15" s="12" t="str">
        <x:v>Checked for ISRG/Intuitive Surgical identity, exact earnings event, displayed date, timing window and source-origin restriction.</x:v>
      </x:c>
    </x:row>
    <x:row r="16">
      <x:c r="A16" s="12" t="str">
        <x:v>2017-04-18</x:v>
      </x:c>
      <x:c r="B16" s="12" t="str">
        <x:v>ISRG</x:v>
      </x:c>
      <x:c r="C16" s="12" t="str">
        <x:v>reaction</x:v>
      </x:c>
      <x:c r="D16" s="12" t="str">
        <x:v>2017-04-20</x:v>
      </x:c>
      <x:c r="E16" s="12" t="n">
        <x:v>2</x:v>
      </x:c>
      <x:c r="F16" s="12" t="str">
        <x:v>The Motley Fool</x:v>
      </x:c>
      <x:c r="G16" s="12" t="str">
        <x:v>Here's How Intuitive Surgical Delivered a Blockbuster Quarter</x:v>
      </x:c>
      <x:c r="H16" s="12" t="str">
        <x:v>https://www.fool.com/investing/2017/04/20/heres-how-intuitive-surgical-delivered-a-blockbust.aspx</x:v>
      </x:c>
      <x:c r="I16" s="12" t="str">
        <x:v>OPENED/VERIFIED</x:v>
      </x:c>
      <x:c r="J16" s="12" t="str">
        <x:v>PASS</x:v>
      </x:c>
      <x:c r="K16" s="12" t="str">
        <x:v>PASS</x:v>
      </x:c>
      <x:c r="L16" s="12" t="str">
        <x:v>PASS</x:v>
      </x:c>
      <x:c r="M16" s="12" t="str">
        <x:v>NO</x:v>
      </x:c>
      <x:c r="N16" s="12" t="str">
        <x:v>PASS</x:v>
      </x:c>
      <x:c r="O16" s="12" t="str">
        <x:v>EXPLICIT</x:v>
      </x:c>
      <x:c r="P16" s="12" t="str">
        <x:v>PASS</x:v>
      </x:c>
      <x:c r="Q16" s="12" t="str">
        <x:v>Checked for ISRG/Intuitive Surgical identity, exact earnings event, displayed date, timing window and source-origin restriction.</x:v>
      </x:c>
    </x:row>
    <x:row r="17">
      <x:c r="A17" s="12" t="str">
        <x:v>2017-07-20</x:v>
      </x:c>
      <x:c r="B17" s="12" t="str">
        <x:v>ISRG</x:v>
      </x:c>
      <x:c r="C17" s="12" t="str">
        <x:v>prior</x:v>
      </x:c>
      <x:c r="D17" s="12" t="str">
        <x:v>2017-04-18</x:v>
      </x:c>
      <x:c r="E17" s="12" t="n">
        <x:v>-93</x:v>
      </x:c>
      <x:c r="F17" s="12" t="str">
        <x:v>Intuitive Surgical</x:v>
      </x:c>
      <x:c r="G17" s="12" t="str">
        <x:v>Intuitive Surgical Announces First Quarter Earnings</x:v>
      </x:c>
      <x:c r="H17" s="12" t="str">
        <x:v>https://investor.intuitivesurgical.com/news-releases/news-release-details/intuitive-surgical-announces-first-quarter-earnings-7/</x:v>
      </x:c>
      <x:c r="I17" s="12" t="str">
        <x:v>OPENED/VERIFIED</x:v>
      </x:c>
      <x:c r="J17" s="12" t="str">
        <x:v>PASS</x:v>
      </x:c>
      <x:c r="K17" s="12" t="str">
        <x:v>PASS</x:v>
      </x:c>
      <x:c r="L17" s="12" t="str">
        <x:v>PASS</x:v>
      </x:c>
      <x:c r="M17" s="12" t="str">
        <x:v>NO</x:v>
      </x:c>
      <x:c r="N17" s="12" t="str">
        <x:v>PASS</x:v>
      </x:c>
      <x:c r="O17" s="12" t="str">
        <x:v>FACTUAL</x:v>
      </x:c>
      <x:c r="P17" s="12" t="str">
        <x:v>PASS</x:v>
      </x:c>
      <x:c r="Q17" s="12" t="str">
        <x:v>Checked for ISRG/Intuitive Surgical identity, exact earnings event, displayed date, timing window and source-origin restriction.</x:v>
      </x:c>
    </x:row>
    <x:row r="18">
      <x:c r="A18" s="12" t="str">
        <x:v>2017-07-20</x:v>
      </x:c>
      <x:c r="B18" s="12" t="str">
        <x:v>ISRG</x:v>
      </x:c>
      <x:c r="C18" s="12" t="str">
        <x:v>release</x:v>
      </x:c>
      <x:c r="D18" s="12" t="str">
        <x:v>2017-07-20</x:v>
      </x:c>
      <x:c r="E18" s="12" t="n">
        <x:v>0</x:v>
      </x:c>
      <x:c r="F18" s="12" t="str">
        <x:v>Intuitive Surgical</x:v>
      </x:c>
      <x:c r="G18" s="12" t="str">
        <x:v>Intuitive Surgical Announces Second Quarter Earnings</x:v>
      </x:c>
      <x:c r="H18" s="12" t="str">
        <x:v>https://www.globenewswire.com/news-release/2017/07/20/1054913/0/en/intuitive-surgical-announces-second-quarter-earnings.html</x:v>
      </x:c>
      <x:c r="I18" s="12" t="str">
        <x:v>OPENED/VERIFIED</x:v>
      </x:c>
      <x:c r="J18" s="12" t="str">
        <x:v>PASS</x:v>
      </x:c>
      <x:c r="K18" s="12" t="str">
        <x:v>PASS</x:v>
      </x:c>
      <x:c r="L18" s="12" t="str">
        <x:v>PASS</x:v>
      </x:c>
      <x:c r="M18" s="12" t="str">
        <x:v>NO</x:v>
      </x:c>
      <x:c r="N18" s="12" t="str">
        <x:v>PASS</x:v>
      </x:c>
      <x:c r="O18" s="12" t="str">
        <x:v>FACTUAL</x:v>
      </x:c>
      <x:c r="P18" s="12" t="str">
        <x:v>PASS</x:v>
      </x:c>
      <x:c r="Q18" s="12" t="str">
        <x:v>Checked for ISRG/Intuitive Surgical identity, exact earnings event, displayed date, timing window and source-origin restriction.</x:v>
      </x:c>
    </x:row>
    <x:row r="19">
      <x:c r="A19" s="12" t="str">
        <x:v>2017-07-20</x:v>
      </x:c>
      <x:c r="B19" s="12" t="str">
        <x:v>ISRG</x:v>
      </x:c>
      <x:c r="C19" s="12" t="str">
        <x:v>reaction</x:v>
      </x:c>
      <x:c r="D19" s="12" t="str">
        <x:v>2017-07-21</x:v>
      </x:c>
      <x:c r="E19" s="12" t="n">
        <x:v>1</x:v>
      </x:c>
      <x:c r="F19" s="12" t="str">
        <x:v>The Motley Fool</x:v>
      </x:c>
      <x:c r="G19" s="12" t="str">
        <x:v>Intuitive Surgical, Inc.'s Slow Earnings Growth Masks Deeper Strength</x:v>
      </x:c>
      <x:c r="H19" s="12" t="str">
        <x:v>https://www.fool.com/investing/2017/07/21/intuitive-surgical-inc-slow-earnings-growth-masks.aspx</x:v>
      </x:c>
      <x:c r="I19" s="12" t="str">
        <x:v>OPENED/VERIFIED</x:v>
      </x:c>
      <x:c r="J19" s="12" t="str">
        <x:v>PASS</x:v>
      </x:c>
      <x:c r="K19" s="12" t="str">
        <x:v>PASS</x:v>
      </x:c>
      <x:c r="L19" s="12" t="str">
        <x:v>PASS</x:v>
      </x:c>
      <x:c r="M19" s="12" t="str">
        <x:v>NO</x:v>
      </x:c>
      <x:c r="N19" s="12" t="str">
        <x:v>PASS</x:v>
      </x:c>
      <x:c r="O19" s="12" t="str">
        <x:v>SUPPORTED_INFERENCE</x:v>
      </x:c>
      <x:c r="P19" s="12" t="str">
        <x:v>PASS</x:v>
      </x:c>
      <x:c r="Q19" s="12" t="str">
        <x:v>Checked for ISRG/Intuitive Surgical identity, exact earnings event, displayed date, timing window and source-origin restriction.</x:v>
      </x:c>
    </x:row>
    <x:row r="20">
      <x:c r="A20" s="12" t="str">
        <x:v>2017-10-19</x:v>
      </x:c>
      <x:c r="B20" s="12" t="str">
        <x:v>ISRG</x:v>
      </x:c>
      <x:c r="C20" s="12" t="str">
        <x:v>prior</x:v>
      </x:c>
      <x:c r="D20" s="12" t="str">
        <x:v>2017-07-20</x:v>
      </x:c>
      <x:c r="E20" s="12" t="n">
        <x:v>-91</x:v>
      </x:c>
      <x:c r="F20" s="12" t="str">
        <x:v>Intuitive Surgical</x:v>
      </x:c>
      <x:c r="G20" s="12" t="str">
        <x:v>Intuitive Surgical Announces Second Quarter Earnings</x:v>
      </x:c>
      <x:c r="H20" s="12" t="str">
        <x:v>https://www.globenewswire.com/news-release/2017/07/20/1054913/0/en/intuitive-surgical-announces-second-quarter-earnings.html</x:v>
      </x:c>
      <x:c r="I20" s="12" t="str">
        <x:v>OPENED/VERIFIED</x:v>
      </x:c>
      <x:c r="J20" s="12" t="str">
        <x:v>PASS</x:v>
      </x:c>
      <x:c r="K20" s="12" t="str">
        <x:v>PASS</x:v>
      </x:c>
      <x:c r="L20" s="12" t="str">
        <x:v>PASS</x:v>
      </x:c>
      <x:c r="M20" s="12" t="str">
        <x:v>NO</x:v>
      </x:c>
      <x:c r="N20" s="12" t="str">
        <x:v>PASS</x:v>
      </x:c>
      <x:c r="O20" s="12" t="str">
        <x:v>FACTUAL</x:v>
      </x:c>
      <x:c r="P20" s="12" t="str">
        <x:v>PASS</x:v>
      </x:c>
      <x:c r="Q20" s="12" t="str">
        <x:v>Checked for ISRG/Intuitive Surgical identity, exact earnings event, displayed date, timing window and source-origin restriction.</x:v>
      </x:c>
    </x:row>
    <x:row r="21">
      <x:c r="A21" s="12" t="str">
        <x:v>2017-10-19</x:v>
      </x:c>
      <x:c r="B21" s="12" t="str">
        <x:v>ISRG</x:v>
      </x:c>
      <x:c r="C21" s="12" t="str">
        <x:v>release</x:v>
      </x:c>
      <x:c r="D21" s="12" t="str">
        <x:v>2017-10-19</x:v>
      </x:c>
      <x:c r="E21" s="12" t="n">
        <x:v>0</x:v>
      </x:c>
      <x:c r="F21" s="12" t="str">
        <x:v>Intuitive Surgical</x:v>
      </x:c>
      <x:c r="G21" s="12" t="str">
        <x:v>Intuitive Surgical Announces Third Quarter Earnings</x:v>
      </x:c>
      <x:c r="H21" s="12" t="str">
        <x:v>https://investor.intuitivesurgical.com/news-releases/news-release-details/intuitive-surgical-announces-third-quarter-earnings-7/</x:v>
      </x:c>
      <x:c r="I21" s="12" t="str">
        <x:v>OPENED/VERIFIED</x:v>
      </x:c>
      <x:c r="J21" s="12" t="str">
        <x:v>PASS</x:v>
      </x:c>
      <x:c r="K21" s="12" t="str">
        <x:v>PASS</x:v>
      </x:c>
      <x:c r="L21" s="12" t="str">
        <x:v>PASS</x:v>
      </x:c>
      <x:c r="M21" s="12" t="str">
        <x:v>NO</x:v>
      </x:c>
      <x:c r="N21" s="12" t="str">
        <x:v>PASS</x:v>
      </x:c>
      <x:c r="O21" s="12" t="str">
        <x:v>FACTUAL</x:v>
      </x:c>
      <x:c r="P21" s="12" t="str">
        <x:v>PASS</x:v>
      </x:c>
      <x:c r="Q21" s="12" t="str">
        <x:v>Checked for ISRG/Intuitive Surgical identity, exact earnings event, displayed date, timing window and source-origin restriction.</x:v>
      </x:c>
    </x:row>
    <x:row r="22">
      <x:c r="A22" s="12" t="str">
        <x:v>2017-10-19</x:v>
      </x:c>
      <x:c r="B22" s="12" t="str">
        <x:v>ISRG</x:v>
      </x:c>
      <x:c r="C22" s="12" t="str">
        <x:v>reaction</x:v>
      </x:c>
      <x:c r="D22" s="12" t="str">
        <x:v>2017-10-21</x:v>
      </x:c>
      <x:c r="E22" s="12" t="n">
        <x:v>2</x:v>
      </x:c>
      <x:c r="F22" s="12" t="str">
        <x:v>The Motley Fool</x:v>
      </x:c>
      <x:c r="G22" s="12" t="str">
        <x:v>Robots Power Profits at Intuitive Surgical</x:v>
      </x:c>
      <x:c r="H22" s="12" t="str">
        <x:v>https://www.fool.com/investing/2017/10/21/intuitive-surgicals-robots-power-profits.aspx</x:v>
      </x:c>
      <x:c r="I22" s="12" t="str">
        <x:v>OPENED/VERIFIED</x:v>
      </x:c>
      <x:c r="J22" s="12" t="str">
        <x:v>PASS</x:v>
      </x:c>
      <x:c r="K22" s="12" t="str">
        <x:v>PASS</x:v>
      </x:c>
      <x:c r="L22" s="12" t="str">
        <x:v>PASS</x:v>
      </x:c>
      <x:c r="M22" s="12" t="str">
        <x:v>NO</x:v>
      </x:c>
      <x:c r="N22" s="12" t="str">
        <x:v>PASS</x:v>
      </x:c>
      <x:c r="O22" s="12" t="str">
        <x:v>SUPPORTED_INFERENCE</x:v>
      </x:c>
      <x:c r="P22" s="12" t="str">
        <x:v>PASS</x:v>
      </x:c>
      <x:c r="Q22" s="12" t="str">
        <x:v>Checked for ISRG/Intuitive Surgical identity, exact earnings event, displayed date, timing window and source-origin restriction.</x:v>
      </x:c>
    </x:row>
    <x:row r="23">
      <x:c r="A23" s="12" t="str">
        <x:v>2018-01-25</x:v>
      </x:c>
      <x:c r="B23" s="12" t="str">
        <x:v>ISRG</x:v>
      </x:c>
      <x:c r="C23" s="12" t="str">
        <x:v>prior</x:v>
      </x:c>
      <x:c r="D23" s="12" t="str">
        <x:v>2018-01-10</x:v>
      </x:c>
      <x:c r="E23" s="12" t="n">
        <x:v>-15</x:v>
      </x:c>
      <x:c r="F23" s="12" t="str">
        <x:v>Intuitive Surgical</x:v>
      </x:c>
      <x:c r="G23" s="12" t="str">
        <x:v>Intuitive Surgical Announces Preliminary Fourth Quarter and Full Year 2017 Results</x:v>
      </x:c>
      <x:c r="H23" s="12" t="str">
        <x:v>https://investor.intuitivesurgical.com/news-releases/news-release-details/intuitive-surgical-announces-preliminary-fourth-quarter-and-3</x:v>
      </x:c>
      <x:c r="I23" s="12" t="str">
        <x:v>OPENED/VERIFIED</x:v>
      </x:c>
      <x:c r="J23" s="12" t="str">
        <x:v>PASS</x:v>
      </x:c>
      <x:c r="K23" s="12" t="str">
        <x:v>PASS</x:v>
      </x:c>
      <x:c r="L23" s="12" t="str">
        <x:v>PASS</x:v>
      </x:c>
      <x:c r="M23" s="12" t="str">
        <x:v>NO</x:v>
      </x:c>
      <x:c r="N23" s="12" t="str">
        <x:v>PASS</x:v>
      </x:c>
      <x:c r="O23" s="12" t="str">
        <x:v>FACTUAL</x:v>
      </x:c>
      <x:c r="P23" s="12" t="str">
        <x:v>PASS</x:v>
      </x:c>
      <x:c r="Q23" s="12" t="str">
        <x:v>Checked for ISRG/Intuitive Surgical identity, exact earnings event, displayed date, timing window and source-origin restriction.</x:v>
      </x:c>
    </x:row>
    <x:row r="24">
      <x:c r="A24" s="12" t="str">
        <x:v>2018-01-25</x:v>
      </x:c>
      <x:c r="B24" s="12" t="str">
        <x:v>ISRG</x:v>
      </x:c>
      <x:c r="C24" s="12" t="str">
        <x:v>release</x:v>
      </x:c>
      <x:c r="D24" s="12" t="str">
        <x:v>2018-01-25</x:v>
      </x:c>
      <x:c r="E24" s="12" t="n">
        <x:v>0</x:v>
      </x:c>
      <x:c r="F24" s="12" t="str">
        <x:v>Intuitive Surgical</x:v>
      </x:c>
      <x:c r="G24" s="12" t="str">
        <x:v>Intuitive Surgical Announces Fourth Quarter Earnings</x:v>
      </x:c>
      <x:c r="H24" s="12" t="str">
        <x:v>https://investor.intuitivesurgical.com/news-releases/news-release-details/intuitive-surgical-announces-fourth-quarter-earnings-6/</x:v>
      </x:c>
      <x:c r="I24" s="12" t="str">
        <x:v>OPENED/VERIFIED</x:v>
      </x:c>
      <x:c r="J24" s="12" t="str">
        <x:v>PASS</x:v>
      </x:c>
      <x:c r="K24" s="12" t="str">
        <x:v>PASS</x:v>
      </x:c>
      <x:c r="L24" s="12" t="str">
        <x:v>PASS</x:v>
      </x:c>
      <x:c r="M24" s="12" t="str">
        <x:v>NO</x:v>
      </x:c>
      <x:c r="N24" s="12" t="str">
        <x:v>PASS</x:v>
      </x:c>
      <x:c r="O24" s="12" t="str">
        <x:v>FACTUAL</x:v>
      </x:c>
      <x:c r="P24" s="12" t="str">
        <x:v>PASS</x:v>
      </x:c>
      <x:c r="Q24" s="12" t="str">
        <x:v>Checked for ISRG/Intuitive Surgical identity, exact earnings event, displayed date, timing window and source-origin restriction.</x:v>
      </x:c>
    </x:row>
    <x:row r="25">
      <x:c r="A25" s="12" t="str">
        <x:v>2018-01-25</x:v>
      </x:c>
      <x:c r="B25" s="12" t="str">
        <x:v>ISRG</x:v>
      </x:c>
      <x:c r="C25" s="12" t="str">
        <x:v>reaction</x:v>
      </x:c>
      <x:c r="D25" s="12" t="str">
        <x:v>2018-01-26</x:v>
      </x:c>
      <x:c r="E25" s="12" t="n">
        <x:v>1</x:v>
      </x:c>
      <x:c r="F25" s="12" t="str">
        <x:v>MassDevice</x:v>
      </x:c>
      <x:c r="G25" s="12" t="str">
        <x:v>Intuitive Surgical shares fall despite Q4 earnings beat</x:v>
      </x:c>
      <x:c r="H25" s="12" t="str">
        <x:v>https://www.massdevice.com/intuitive-surgical-shares-fall-despite-q4-earnings-beat/</x:v>
      </x:c>
      <x:c r="I25" s="12" t="str">
        <x:v>OPENED/VERIFIED</x:v>
      </x:c>
      <x:c r="J25" s="12" t="str">
        <x:v>PASS</x:v>
      </x:c>
      <x:c r="K25" s="12" t="str">
        <x:v>PASS</x:v>
      </x:c>
      <x:c r="L25" s="12" t="str">
        <x:v>PASS</x:v>
      </x:c>
      <x:c r="M25" s="12" t="str">
        <x:v>NO</x:v>
      </x:c>
      <x:c r="N25" s="12" t="str">
        <x:v>PASS</x:v>
      </x:c>
      <x:c r="O25" s="12" t="str">
        <x:v>EXPLICIT</x:v>
      </x:c>
      <x:c r="P25" s="12" t="str">
        <x:v>PASS</x:v>
      </x:c>
      <x:c r="Q25" s="12" t="str">
        <x:v>Checked for ISRG/Intuitive Surgical identity, exact earnings event, displayed date, timing window and source-origin restriction.</x:v>
      </x:c>
    </x:row>
    <x:row r="26">
      <x:c r="A26" s="12" t="str">
        <x:v>2018-04-17</x:v>
      </x:c>
      <x:c r="B26" s="12" t="str">
        <x:v>ISRG</x:v>
      </x:c>
      <x:c r="C26" s="12" t="str">
        <x:v>prior</x:v>
      </x:c>
      <x:c r="D26" s="12" t="str">
        <x:v>2018-01-25</x:v>
      </x:c>
      <x:c r="E26" s="12" t="n">
        <x:v>-82</x:v>
      </x:c>
      <x:c r="F26" s="12" t="str">
        <x:v>Intuitive Surgical</x:v>
      </x:c>
      <x:c r="G26" s="12" t="str">
        <x:v>Intuitive Surgical Announces Fourth Quarter Earnings</x:v>
      </x:c>
      <x:c r="H26" s="12" t="str">
        <x:v>https://investor.intuitivesurgical.com/news-releases/news-release-details/intuitive-surgical-announces-fourth-quarter-earnings-6/</x:v>
      </x:c>
      <x:c r="I26" s="12" t="str">
        <x:v>OPENED/VERIFIED</x:v>
      </x:c>
      <x:c r="J26" s="12" t="str">
        <x:v>PASS</x:v>
      </x:c>
      <x:c r="K26" s="12" t="str">
        <x:v>PASS</x:v>
      </x:c>
      <x:c r="L26" s="12" t="str">
        <x:v>PASS</x:v>
      </x:c>
      <x:c r="M26" s="12" t="str">
        <x:v>NO</x:v>
      </x:c>
      <x:c r="N26" s="12" t="str">
        <x:v>PASS</x:v>
      </x:c>
      <x:c r="O26" s="12" t="str">
        <x:v>FACTUAL</x:v>
      </x:c>
      <x:c r="P26" s="12" t="str">
        <x:v>PASS</x:v>
      </x:c>
      <x:c r="Q26" s="12" t="str">
        <x:v>Checked for ISRG/Intuitive Surgical identity, exact earnings event, displayed date, timing window and source-origin restriction.</x:v>
      </x:c>
    </x:row>
    <x:row r="27">
      <x:c r="A27" s="12" t="str">
        <x:v>2018-04-17</x:v>
      </x:c>
      <x:c r="B27" s="12" t="str">
        <x:v>ISRG</x:v>
      </x:c>
      <x:c r="C27" s="12" t="str">
        <x:v>release</x:v>
      </x:c>
      <x:c r="D27" s="12" t="str">
        <x:v>2018-04-17</x:v>
      </x:c>
      <x:c r="E27" s="12" t="n">
        <x:v>0</x:v>
      </x:c>
      <x:c r="F27" s="12" t="str">
        <x:v>Intuitive Surgical</x:v>
      </x:c>
      <x:c r="G27" s="12" t="str">
        <x:v>Intuitive Surgical Announces First Quarter Earnings</x:v>
      </x:c>
      <x:c r="H27" s="12" t="str">
        <x:v>https://investor.intuitivesurgical.com/news-releases/news-release-details/intuitive-surgical-announces-first-quarter-earnings-8</x:v>
      </x:c>
      <x:c r="I27" s="12" t="str">
        <x:v>OPENED/VERIFIED</x:v>
      </x:c>
      <x:c r="J27" s="12" t="str">
        <x:v>PASS</x:v>
      </x:c>
      <x:c r="K27" s="12" t="str">
        <x:v>PASS</x:v>
      </x:c>
      <x:c r="L27" s="12" t="str">
        <x:v>PASS</x:v>
      </x:c>
      <x:c r="M27" s="12" t="str">
        <x:v>NO</x:v>
      </x:c>
      <x:c r="N27" s="12" t="str">
        <x:v>PASS</x:v>
      </x:c>
      <x:c r="O27" s="12" t="str">
        <x:v>FACTUAL</x:v>
      </x:c>
      <x:c r="P27" s="12" t="str">
        <x:v>PASS</x:v>
      </x:c>
      <x:c r="Q27" s="12" t="str">
        <x:v>Checked for ISRG/Intuitive Surgical identity, exact earnings event, displayed date, timing window and source-origin restriction.</x:v>
      </x:c>
    </x:row>
    <x:row r="28">
      <x:c r="A28" s="12" t="str">
        <x:v>2018-04-17</x:v>
      </x:c>
      <x:c r="B28" s="12" t="str">
        <x:v>ISRG</x:v>
      </x:c>
      <x:c r="C28" s="12" t="str">
        <x:v>reaction</x:v>
      </x:c>
      <x:c r="D28" s="12" t="str">
        <x:v>2018-04-18</x:v>
      </x:c>
      <x:c r="E28" s="12" t="n">
        <x:v>1</x:v>
      </x:c>
      <x:c r="F28" s="12" t="str">
        <x:v>The Motley Fool</x:v>
      </x:c>
      <x:c r="G28" s="12" t="str">
        <x:v>International Headwinds Can't Slow Intuitive Surgical Inc.</x:v>
      </x:c>
      <x:c r="H28" s="12" t="str">
        <x:v>https://www.fool.com/investing/2018/04/18/international-headwinds-cant-slow-down-intuitive-s.aspx</x:v>
      </x:c>
      <x:c r="I28" s="12" t="str">
        <x:v>OPENED/VERIFIED</x:v>
      </x:c>
      <x:c r="J28" s="12" t="str">
        <x:v>PASS</x:v>
      </x:c>
      <x:c r="K28" s="12" t="str">
        <x:v>PASS</x:v>
      </x:c>
      <x:c r="L28" s="12" t="str">
        <x:v>PASS</x:v>
      </x:c>
      <x:c r="M28" s="12" t="str">
        <x:v>NO</x:v>
      </x:c>
      <x:c r="N28" s="12" t="str">
        <x:v>PASS</x:v>
      </x:c>
      <x:c r="O28" s="12" t="str">
        <x:v>EXPLICIT</x:v>
      </x:c>
      <x:c r="P28" s="12" t="str">
        <x:v>PASS</x:v>
      </x:c>
      <x:c r="Q28" s="12" t="str">
        <x:v>Checked for ISRG/Intuitive Surgical identity, exact earnings event, displayed date, timing window and source-origin restriction.</x:v>
      </x:c>
    </x:row>
    <x:row r="29">
      <x:c r="A29" s="12" t="str">
        <x:v>2018-07-19</x:v>
      </x:c>
      <x:c r="B29" s="12" t="str">
        <x:v>ISRG</x:v>
      </x:c>
      <x:c r="C29" s="12" t="str">
        <x:v>prior</x:v>
      </x:c>
      <x:c r="D29" s="12" t="str">
        <x:v>2018-04-17</x:v>
      </x:c>
      <x:c r="E29" s="12" t="n">
        <x:v>-93</x:v>
      </x:c>
      <x:c r="F29" s="12" t="str">
        <x:v>Intuitive Surgical</x:v>
      </x:c>
      <x:c r="G29" s="12" t="str">
        <x:v>Intuitive Surgical Announces First Quarter Earnings</x:v>
      </x:c>
      <x:c r="H29" s="12" t="str">
        <x:v>https://investor.intuitivesurgical.com/news-releases/news-release-details/intuitive-surgical-announces-first-quarter-earnings-8</x:v>
      </x:c>
      <x:c r="I29" s="12" t="str">
        <x:v>OPENED/VERIFIED</x:v>
      </x:c>
      <x:c r="J29" s="12" t="str">
        <x:v>PASS</x:v>
      </x:c>
      <x:c r="K29" s="12" t="str">
        <x:v>PASS</x:v>
      </x:c>
      <x:c r="L29" s="12" t="str">
        <x:v>PASS</x:v>
      </x:c>
      <x:c r="M29" s="12" t="str">
        <x:v>NO</x:v>
      </x:c>
      <x:c r="N29" s="12" t="str">
        <x:v>PASS</x:v>
      </x:c>
      <x:c r="O29" s="12" t="str">
        <x:v>FACTUAL</x:v>
      </x:c>
      <x:c r="P29" s="12" t="str">
        <x:v>PASS</x:v>
      </x:c>
      <x:c r="Q29" s="12" t="str">
        <x:v>Checked for ISRG/Intuitive Surgical identity, exact earnings event, displayed date, timing window and source-origin restriction.</x:v>
      </x:c>
    </x:row>
    <x:row r="30">
      <x:c r="A30" s="12" t="str">
        <x:v>2018-07-19</x:v>
      </x:c>
      <x:c r="B30" s="12" t="str">
        <x:v>ISRG</x:v>
      </x:c>
      <x:c r="C30" s="12" t="str">
        <x:v>release</x:v>
      </x:c>
      <x:c r="D30" s="12" t="str">
        <x:v>2018-07-19</x:v>
      </x:c>
      <x:c r="E30" s="12" t="n">
        <x:v>0</x:v>
      </x:c>
      <x:c r="F30" s="12" t="str">
        <x:v>Intuitive Surgical</x:v>
      </x:c>
      <x:c r="G30" s="12" t="str">
        <x:v>Intuitive Surgical Announces Second Quarter Earnings</x:v>
      </x:c>
      <x:c r="H30" s="12" t="str">
        <x:v>https://isrg.intuitive.com/news-releases/news-release-details/intuitive-surgical-announces-second-quarter-earnings-8/</x:v>
      </x:c>
      <x:c r="I30" s="12" t="str">
        <x:v>OPENED/VERIFIED</x:v>
      </x:c>
      <x:c r="J30" s="12" t="str">
        <x:v>PASS</x:v>
      </x:c>
      <x:c r="K30" s="12" t="str">
        <x:v>PASS</x:v>
      </x:c>
      <x:c r="L30" s="12" t="str">
        <x:v>PASS</x:v>
      </x:c>
      <x:c r="M30" s="12" t="str">
        <x:v>NO</x:v>
      </x:c>
      <x:c r="N30" s="12" t="str">
        <x:v>PASS</x:v>
      </x:c>
      <x:c r="O30" s="12" t="str">
        <x:v>FACTUAL</x:v>
      </x:c>
      <x:c r="P30" s="12" t="str">
        <x:v>PASS</x:v>
      </x:c>
      <x:c r="Q30" s="12" t="str">
        <x:v>Checked for ISRG/Intuitive Surgical identity, exact earnings event, displayed date, timing window and source-origin restriction.</x:v>
      </x:c>
    </x:row>
    <x:row r="31">
      <x:c r="A31" s="12" t="str">
        <x:v>2018-07-19</x:v>
      </x:c>
      <x:c r="B31" s="12" t="str">
        <x:v>ISRG</x:v>
      </x:c>
      <x:c r="C31" s="12" t="str">
        <x:v>reaction</x:v>
      </x:c>
      <x:c r="D31" s="12" t="str">
        <x:v>2018-07-20</x:v>
      </x:c>
      <x:c r="E31" s="12" t="n">
        <x:v>1</x:v>
      </x:c>
      <x:c r="F31" s="12" t="str">
        <x:v>The Motley Fool</x:v>
      </x:c>
      <x:c r="G31" s="12" t="str">
        <x:v>Intuitive Surgical, Inc. Is a Broken Record -- and Investors Should Love It</x:v>
      </x:c>
      <x:c r="H31" s="12" t="str">
        <x:v>https://www.fool.com/investing/2018/07/20/intuitive-surgical-inc-is-a-broken-record-and-inve.aspx</x:v>
      </x:c>
      <x:c r="I31" s="12" t="str">
        <x:v>OPENED/VERIFIED</x:v>
      </x:c>
      <x:c r="J31" s="12" t="str">
        <x:v>PASS</x:v>
      </x:c>
      <x:c r="K31" s="12" t="str">
        <x:v>PASS</x:v>
      </x:c>
      <x:c r="L31" s="12" t="str">
        <x:v>PASS</x:v>
      </x:c>
      <x:c r="M31" s="12" t="str">
        <x:v>NO</x:v>
      </x:c>
      <x:c r="N31" s="12" t="str">
        <x:v>PASS</x:v>
      </x:c>
      <x:c r="O31" s="12" t="str">
        <x:v>NO_EXPLICIT_MOVE_ATTRIBUTION</x:v>
      </x:c>
      <x:c r="P31" s="12" t="str">
        <x:v>PASS</x:v>
      </x:c>
      <x:c r="Q31" s="12" t="str">
        <x:v>Checked for ISRG/Intuitive Surgical identity, exact earnings event, displayed date, timing window and source-origin restriction.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2016-04-19</x:v>
      </x:c>
      <x:c r="B2" t="str">
        <x:v>ISRG</x:v>
      </x:c>
      <x:c r="C2" s="20" t="n">
        <x:v>-0.97</x:v>
      </x:c>
      <x:c r="D2" s="20" t="n">
        <x:v>3.22</x:v>
      </x:c>
      <x:c r="E2" t="str">
        <x:v>ret_1daypost_pct</x:v>
      </x:c>
      <x:c r="F2" t="str">
        <x:f>IF(D2&gt;0.1,"UP",IF(D2&lt;-0.1,"DOWN","FLAT"))</x:f>
        <x:v>UP</x:v>
      </x:c>
      <x:c r="G2" t="str">
        <x:v>UP</x:v>
      </x:c>
      <x:c r="H2" t="str">
        <x:f>IF(F2=G2,"PASS","FAIL")</x:f>
        <x:v>PASS</x:v>
      </x:c>
      <x:c r="I2" t="n">
        <x:v>3</x:v>
      </x:c>
      <x:c r="J2" t="n">
        <x:f>COUNTIFS('Source Audit'!$A:$A,A2,'Source Audit'!$P:$P,"PASS")</x:f>
        <x:v>3</x:v>
      </x:c>
      <x:c r="K2" t="str">
        <x:f>IF(AND(H2="PASS",J2=I2),"PASS","FAIL")</x:f>
        <x:v>PASS</x:v>
      </x:c>
    </x:row>
    <x:row r="3">
      <x:c r="A3" t="str">
        <x:v>2016-07-19</x:v>
      </x:c>
      <x:c r="B3" t="str">
        <x:v>ISRG</x:v>
      </x:c>
      <x:c r="C3" s="20" t="n">
        <x:v>0.44</x:v>
      </x:c>
      <x:c r="D3" s="20" t="n">
        <x:v>4.17</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2016-10-18</x:v>
      </x:c>
      <x:c r="B4" t="str">
        <x:v>ISRG</x:v>
      </x:c>
      <x:c r="C4" s="20" t="n">
        <x:v>1.08</x:v>
      </x:c>
      <x:c r="D4" s="20" t="n">
        <x:v>-5.86</x:v>
      </x:c>
      <x:c r="E4" t="str">
        <x:v>ret_1daypost_pct</x:v>
      </x:c>
      <x:c r="F4" t="str">
        <x:f>IF(D4&gt;0.1,"UP",IF(D4&lt;-0.1,"DOWN","FLAT"))</x:f>
        <x:v>DOWN</x:v>
      </x:c>
      <x:c r="G4" t="str">
        <x:v>DOWN</x:v>
      </x:c>
      <x:c r="H4" t="str">
        <x:f>IF(F4=G4,"PASS","FAIL")</x:f>
        <x:v>PASS</x:v>
      </x:c>
      <x:c r="I4" t="n">
        <x:v>3</x:v>
      </x:c>
      <x:c r="J4" t="n">
        <x:f>COUNTIFS('Source Audit'!$A:$A,A4,'Source Audit'!$P:$P,"PASS")</x:f>
        <x:v>3</x:v>
      </x:c>
      <x:c r="K4" t="str">
        <x:f>IF(AND(H4="PASS",J4=I4),"PASS","FAIL")</x:f>
        <x:v>PASS</x:v>
      </x:c>
    </x:row>
    <x:row r="5">
      <x:c r="A5" t="str">
        <x:v>2017-01-24</x:v>
      </x:c>
      <x:c r="B5" t="str">
        <x:v>ISRG</x:v>
      </x:c>
      <x:c r="C5" s="20" t="n">
        <x:v>0.84</x:v>
      </x:c>
      <x:c r="D5" s="20" t="n">
        <x:v>4.29</x:v>
      </x:c>
      <x:c r="E5" t="str">
        <x:v>ret_1daypost_pct</x:v>
      </x:c>
      <x:c r="F5" t="str">
        <x:f>IF(D5&gt;0.1,"UP",IF(D5&lt;-0.1,"DOWN","FLAT"))</x:f>
        <x:v>UP</x:v>
      </x:c>
      <x:c r="G5" t="str">
        <x:v>UP</x:v>
      </x:c>
      <x:c r="H5" t="str">
        <x:f>IF(F5=G5,"PASS","FAIL")</x:f>
        <x:v>PASS</x:v>
      </x:c>
      <x:c r="I5" t="n">
        <x:v>3</x:v>
      </x:c>
      <x:c r="J5" t="n">
        <x:f>COUNTIFS('Source Audit'!$A:$A,A5,'Source Audit'!$P:$P,"PASS")</x:f>
        <x:v>3</x:v>
      </x:c>
      <x:c r="K5" t="str">
        <x:f>IF(AND(H5="PASS",J5=I5),"PASS","FAIL")</x:f>
        <x:v>PASS</x:v>
      </x:c>
    </x:row>
    <x:row r="6">
      <x:c r="A6" t="str">
        <x:v>2017-04-18</x:v>
      </x:c>
      <x:c r="B6" t="str">
        <x:v>ISRG</x:v>
      </x:c>
      <x:c r="C6" s="20" t="n">
        <x:v>-0.91</x:v>
      </x:c>
      <x:c r="D6" s="20" t="n">
        <x:v>6.5</x:v>
      </x:c>
      <x:c r="E6" t="str">
        <x:v>ret_1daypost_pct</x:v>
      </x:c>
      <x:c r="F6" t="str">
        <x:f>IF(D6&gt;0.1,"UP",IF(D6&lt;-0.1,"DOWN","FLAT"))</x:f>
        <x:v>UP</x:v>
      </x:c>
      <x:c r="G6" t="str">
        <x:v>UP</x:v>
      </x:c>
      <x:c r="H6" t="str">
        <x:f>IF(F6=G6,"PASS","FAIL")</x:f>
        <x:v>PASS</x:v>
      </x:c>
      <x:c r="I6" t="n">
        <x:v>3</x:v>
      </x:c>
      <x:c r="J6" t="n">
        <x:f>COUNTIFS('Source Audit'!$A:$A,A6,'Source Audit'!$P:$P,"PASS")</x:f>
        <x:v>3</x:v>
      </x:c>
      <x:c r="K6" t="str">
        <x:f>IF(AND(H6="PASS",J6=I6),"PASS","FAIL")</x:f>
        <x:v>PASS</x:v>
      </x:c>
    </x:row>
    <x:row r="7">
      <x:c r="A7" t="str">
        <x:v>2017-07-20</x:v>
      </x:c>
      <x:c r="B7" t="str">
        <x:v>ISRG</x:v>
      </x:c>
      <x:c r="C7" s="20" t="n">
        <x:v>0.51</x:v>
      </x:c>
      <x:c r="D7" s="20" t="n">
        <x:v>-4.46</x:v>
      </x:c>
      <x:c r="E7" t="str">
        <x:v>ret_1daypost_pct</x:v>
      </x:c>
      <x:c r="F7" t="str">
        <x:f>IF(D7&gt;0.1,"UP",IF(D7&lt;-0.1,"DOWN","FLAT"))</x:f>
        <x:v>DOWN</x:v>
      </x:c>
      <x:c r="G7" t="str">
        <x:v>DOWN</x:v>
      </x:c>
      <x:c r="H7" t="str">
        <x:f>IF(F7=G7,"PASS","FAIL")</x:f>
        <x:v>PASS</x:v>
      </x:c>
      <x:c r="I7" t="n">
        <x:v>3</x:v>
      </x:c>
      <x:c r="J7" t="n">
        <x:f>COUNTIFS('Source Audit'!$A:$A,A7,'Source Audit'!$P:$P,"PASS")</x:f>
        <x:v>3</x:v>
      </x:c>
      <x:c r="K7" t="str">
        <x:f>IF(AND(H7="PASS",J7=I7),"PASS","FAIL")</x:f>
        <x:v>PASS</x:v>
      </x:c>
    </x:row>
    <x:row r="8">
      <x:c r="A8" t="str">
        <x:v>2017-10-19</x:v>
      </x:c>
      <x:c r="B8" t="str">
        <x:v>ISRG</x:v>
      </x:c>
      <x:c r="C8" s="20" t="n">
        <x:v>0.89</x:v>
      </x:c>
      <x:c r="D8" s="20" t="n">
        <x:v>2.97</x:v>
      </x:c>
      <x:c r="E8" t="str">
        <x:v>ret_1daypost_pct</x:v>
      </x:c>
      <x:c r="F8" t="str">
        <x:f>IF(D8&gt;0.1,"UP",IF(D8&lt;-0.1,"DOWN","FLAT"))</x:f>
        <x:v>UP</x:v>
      </x:c>
      <x:c r="G8" t="str">
        <x:v>UP</x:v>
      </x:c>
      <x:c r="H8" t="str">
        <x:f>IF(F8=G8,"PASS","FAIL")</x:f>
        <x:v>PASS</x:v>
      </x:c>
      <x:c r="I8" t="n">
        <x:v>3</x:v>
      </x:c>
      <x:c r="J8" t="n">
        <x:f>COUNTIFS('Source Audit'!$A:$A,A8,'Source Audit'!$P:$P,"PASS")</x:f>
        <x:v>3</x:v>
      </x:c>
      <x:c r="K8" t="str">
        <x:f>IF(AND(H8="PASS",J8=I8),"PASS","FAIL")</x:f>
        <x:v>PASS</x:v>
      </x:c>
    </x:row>
    <x:row r="9">
      <x:c r="A9" t="str">
        <x:v>2018-01-25</x:v>
      </x:c>
      <x:c r="B9" t="str">
        <x:v>ISRG</x:v>
      </x:c>
      <x:c r="C9" s="20" t="n">
        <x:v>2.81</x:v>
      </x:c>
      <x:c r="D9" s="20" t="n">
        <x:v>-3.12</x:v>
      </x:c>
      <x:c r="E9" t="str">
        <x:v>ret_1daypost_pct</x:v>
      </x:c>
      <x:c r="F9" t="str">
        <x:f>IF(D9&gt;0.1,"UP",IF(D9&lt;-0.1,"DOWN","FLAT"))</x:f>
        <x:v>DOWN</x:v>
      </x:c>
      <x:c r="G9" t="str">
        <x:v>DOWN</x:v>
      </x:c>
      <x:c r="H9" t="str">
        <x:f>IF(F9=G9,"PASS","FAIL")</x:f>
        <x:v>PASS</x:v>
      </x:c>
      <x:c r="I9" t="n">
        <x:v>3</x:v>
      </x:c>
      <x:c r="J9" t="n">
        <x:f>COUNTIFS('Source Audit'!$A:$A,A9,'Source Audit'!$P:$P,"PASS")</x:f>
        <x:v>3</x:v>
      </x:c>
      <x:c r="K9" t="str">
        <x:f>IF(AND(H9="PASS",J9=I9),"PASS","FAIL")</x:f>
        <x:v>PASS</x:v>
      </x:c>
    </x:row>
    <x:row r="10">
      <x:c r="A10" t="str">
        <x:v>2018-04-17</x:v>
      </x:c>
      <x:c r="B10" t="str">
        <x:v>ISRG</x:v>
      </x:c>
      <x:c r="C10" s="20" t="n">
        <x:v>3.05</x:v>
      </x:c>
      <x:c r="D10" s="20" t="n">
        <x:v>8.01</x:v>
      </x:c>
      <x:c r="E10" t="str">
        <x:v>ret_1daypost_pct</x:v>
      </x:c>
      <x:c r="F10" t="str">
        <x:f>IF(D10&gt;0.1,"UP",IF(D10&lt;-0.1,"DOWN","FLAT"))</x:f>
        <x:v>UP</x:v>
      </x:c>
      <x:c r="G10" t="str">
        <x:v>UP</x:v>
      </x:c>
      <x:c r="H10" t="str">
        <x:f>IF(F10=G10,"PASS","FAIL")</x:f>
        <x:v>PASS</x:v>
      </x:c>
      <x:c r="I10" t="n">
        <x:v>3</x:v>
      </x:c>
      <x:c r="J10" t="n">
        <x:f>COUNTIFS('Source Audit'!$A:$A,A10,'Source Audit'!$P:$P,"PASS")</x:f>
        <x:v>3</x:v>
      </x:c>
      <x:c r="K10" t="str">
        <x:f>IF(AND(H10="PASS",J10=I10),"PASS","FAIL")</x:f>
        <x:v>PASS</x:v>
      </x:c>
    </x:row>
    <x:row r="11">
      <x:c r="A11" t="str">
        <x:v>2018-07-19</x:v>
      </x:c>
      <x:c r="B11" t="str">
        <x:v>ISRG</x:v>
      </x:c>
      <x:c r="C11" s="20" t="n">
        <x:v>-1.01</x:v>
      </x:c>
      <x:c r="D11" s="20" t="n">
        <x:v>-0.76</x:v>
      </x:c>
      <x:c r="E11" t="str">
        <x:v>ret_1daypost_pct</x:v>
      </x:c>
      <x:c r="F11" t="str">
        <x:f>IF(D11&gt;0.1,"UP",IF(D11&lt;-0.1,"DOWN","FLAT"))</x:f>
        <x:v>DOWN</x:v>
      </x:c>
      <x:c r="G11" t="str">
        <x:v>DOWN</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ISRG rebuilt from scratch under the corrected verification protocol.</x:v>
      </x:c>
    </x:row>
    <x:row r="3">
      <x:c r="A3" s="12" t="str">
        <x:v>Identity source</x:v>
      </x:c>
      <x:c r="B3" s="12" t="str">
        <x:v>Ticker/company, exact earnings dates and return fields come from group_observations.csv.</x:v>
      </x:c>
    </x:row>
    <x:row r="4">
      <x:c r="A4" s="12" t="str">
        <x:v>Reaction basis</x:v>
      </x:c>
      <x:c r="B4" s="12" t="str">
        <x:v>Intuitive Surgical released these sampled results after the U.S. market close; ret_1daypost_pct is therefore the primary earnings-reaction field.</x:v>
      </x:c>
    </x:row>
    <x:row r="5">
      <x:c r="A5" s="12" t="str">
        <x:v>Narrative</x:v>
      </x:c>
      <x:c r="B5" s="12" t="str">
        <x:v>Short Prior Context, detailed Current Earnings Release, and three concise event-specific Possible Drivers.</x:v>
      </x:c>
    </x:row>
    <x:row r="6">
      <x:c r="A6" s="12" t="str">
        <x:v>Evidence hierarchy</x:v>
      </x:c>
      <x:c r="B6" s="12" t="str">
        <x:v>Company release anchors operating facts. Reaction articles are classified as explicit attribution, supported inference, or no explicit move attribution.</x:v>
      </x:c>
    </x:row>
    <x:row r="7">
      <x:c r="A7" s="12" t="str">
        <x:v>Special case</x:v>
      </x:c>
      <x:c r="B7" s="12" t="str">
        <x:v>2018-01-25 had key operating results preannounced on Jan. 10, so the formal-quarter reaction is interpreted relative to information already in the stock.</x:v>
      </x:c>
    </x:row>
    <x:row r="8">
      <x:c r="A8" s="12" t="str">
        <x:v>Timing</x:v>
      </x:c>
      <x:c r="B8" s="12" t="str">
        <x:v>Prior = -100..-1 days; release = day 0; reaction = day 0..+3.</x:v>
      </x:c>
    </x:row>
    <x:row r="9">
      <x:c r="A9" s="12" t="str">
        <x:v>Restrictions</x:v>
      </x:c>
      <x:c r="B9" s="12" t="str">
        <x:v>No WSJ, Reuters, Dow Jones or MarketWatch-syndicated article is included.</x:v>
      </x:c>
    </x:row>
    <x:row r="10">
      <x:c r="A10" s="12" t="str">
        <x:v>QA</x:v>
      </x:c>
      <x:c r="B10" s="12" t="str">
        <x:v>Event QA mechanically recomputes direction from ret_1daypost_pct and checks each event's exact PASS source count.</x:v>
      </x:c>
    </x:row>
  </x:sheetData>
  <x:pageMargins left="0.7" right="0.7" top="0.75" bottom="0.75" header="0.3" footer="0.3"/>
</x:worksheet>
</file>