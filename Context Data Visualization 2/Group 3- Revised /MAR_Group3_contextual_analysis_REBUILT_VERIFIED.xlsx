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11e3f742504de2" /></Relationships>
</file>

<file path=xl/workbook.xml><?xml version="1.0" encoding="utf-8"?>
<x:workbook xmlns:x="http://schemas.openxmlformats.org/spreadsheetml/2006/main">
  <x:sheets>
    <x:sheet xmlns:r="http://schemas.openxmlformats.org/officeDocument/2006/relationships" name="MAR" sheetId="1" r:id="Rf2dcd8c330ae4400"/>
    <x:sheet xmlns:r="http://schemas.openxmlformats.org/officeDocument/2006/relationships" name="Source Audit" sheetId="2" r:id="Rc760ca16b8384d31"/>
    <x:sheet xmlns:r="http://schemas.openxmlformats.org/officeDocument/2006/relationships" name="Event QA" sheetId="3" r:id="R7836b82c660f42e8"/>
    <x:sheet xmlns:r="http://schemas.openxmlformats.org/officeDocument/2006/relationships" name="Methodology" sheetId="4" r:id="R1ad77d46a3134b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008050204043da" /><Relationship Type="http://schemas.openxmlformats.org/officeDocument/2006/relationships/theme" Target="/xl/theme/theme1.xml" Id="R15b24275c29544bd" /><Relationship Type="http://schemas.openxmlformats.org/officeDocument/2006/relationships/sharedStrings" Target="/xl/sharedStrings.xml" Id="R083453e892d149b2" /><Relationship Type="http://schemas.openxmlformats.org/officeDocument/2006/relationships/worksheet" Target="/xl/worksheets/sheet1.xml" Id="Rf2dcd8c330ae4400" /><Relationship Type="http://schemas.openxmlformats.org/officeDocument/2006/relationships/worksheet" Target="/xl/worksheets/sheet2.xml" Id="Rc760ca16b8384d31" /><Relationship Type="http://schemas.openxmlformats.org/officeDocument/2006/relationships/worksheet" Target="/xl/worksheets/sheet3.xml" Id="R7836b82c660f42e8" /><Relationship Type="http://schemas.openxmlformats.org/officeDocument/2006/relationships/worksheet" Target="/xl/worksheets/sheet4.xml" Id="R1ad77d46a3134b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4" hidden="0" customWidth="1"/>
    <x:col min="15" max="15" width="64" hidden="0" customWidth="1"/>
    <x:col min="16" max="16" width="64" hidden="0" customWidth="1"/>
    <x:col min="17" max="17" width="78"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MAR</x:v>
      </x:c>
      <x:c r="C2" s="15" t="str">
        <x:v>Marriott International</x:v>
      </x:c>
      <x:c r="D2" s="15" t="str">
        <x:v>2016q2</x:v>
      </x:c>
      <x:c r="E2" s="15" t="str">
        <x:v>2016-04-27</x:v>
      </x:c>
      <x:c r="F2" s="18" t="n">
        <x:v>2.24</x:v>
      </x:c>
      <x:c r="G2" s="18" t="n">
        <x:v>1.67</x:v>
      </x:c>
      <x:c r="H2" s="18" t="n">
        <x:v>3.95</x:v>
      </x:c>
      <x:c r="I2" s="18" t="n">
        <x:v>3.63</x:v>
      </x:c>
      <x:c r="J2" s="18" t="n">
        <x:v>4.58</x:v>
      </x:c>
      <x:c r="K2" s="15" t="str">
        <x:v>ret_1daypost_pct</x:v>
      </x:c>
      <x:c r="L2" s="15" t="str">
        <x:v>UP</x:v>
      </x:c>
      <x:c r="M2" s="15" t="str">
        <x:v>## Prior Context
The quarter arrived while Marriott was still fighting to complete the Starwood acquisition. In March it had revised the merger terms after a competing bid from Anbang, so investors were judging both the standalone hotel business and the economics of the pending combination.
### Verified prior source
2016-03-21 | Marriott International | Marriott International and Starwood Sign Amended Merger Agreement | https://marriott.gcs-web.com/news-releases/news-release-details/marriott-international-and-starwood-hotels-resorts-worldwide
## Current Earnings Release
Marriott reported **adjusted EPS of $0.87**, up 19% year over year and about $0.03 above consensus. Revenue increased more than 7% to roughly **$3.77 billion**. Worldwide comparable systemwide RevPAR rose **2.6%**, including **2.4% in North America**, while adjusted operating margin improved to 52%.
The operating quarter was solid rather than spectacular, but it demonstrated that Marriott's asset-light fee model continued to generate earnings growth before Starwood was added. The company also added more than 10,000 rooms and kept a development pipeline above 275,000 rooms. Q2 EPS guidance of $0.96-$1.00 was slightly below the then-consensus level, so the positive post-release reaction reflected the current-quarter beat and confidence in the Starwood transaction more than an aggressive near-term guide.
### Verified release source
2016-04-27 | Marriott International | Marriott International Reports First Quarter 2016 Results | https://marriott.gcs-web.com/node/14461
## Possible Drivers
**First-order driver.** Shares rose because adjusted EPS and revenue exceeded expectations while core RevPAR remained positive.
**Second-order driver.** Progress toward the Starwood combination strengthened the long-term scale and synergy thesis.
**Third-order driver.** Slightly cautious Q2 EPS guidance limited the size of the upside.
### Verified reaction source
2016-04-27 | The Motley Fool | Marriott Celebrates Sales Gains in Advance of Starwood Deal | https://www.fool.com/investing/general/2016/04/27/marriott-celebrates-sales-gains-in-advance-of-star.aspx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2" s="15" t="str">
        <x:v>2016-03-21 | Marriott International | Marriott International and Starwood Sign Amended Merger Agreement | https://marriott.gcs-web.com/news-releases/news-release-details/marriott-international-and-starwood-hotels-resorts-worldwide</x:v>
      </x:c>
      <x:c r="O2" s="15" t="str">
        <x:v>2016-04-27 | Marriott International | Marriott International Reports First Quarter 2016 Results | https://marriott.gcs-web.com/node/14461</x:v>
      </x:c>
      <x:c r="P2" s="15" t="str">
        <x:v>2016-04-27 | The Motley Fool | Marriott Celebrates Sales Gains in Advance of Starwood Deal | https://www.fool.com/investing/general/2016/04/27/marriott-celebrates-sales-gains-in-advance-of-star.aspx</x:v>
      </x:c>
      <x:c r="Q2" s="15" t="str">
        <x:v>2016-03-21 | Marriott International | Marriott International and Starwood Sign Amended Merger Agreement | https://marriott.gcs-web.com/news-releases/news-release-details/marriott-international-and-starwood-hotels-resorts-worldwide
2016-04-27 | Marriott International | Marriott International Reports First Quarter 2016 Results | https://marriott.gcs-web.com/node/14461
2016-04-27 | The Motley Fool | Marriott Celebrates Sales Gains in Advance of Starwood Deal | https://www.fool.com/investing/general/2016/04/27/marriott-celebrates-sales-gains-in-advance-of-star.aspx</x:v>
      </x:c>
      <x:c r="R2" s="15" t="n">
        <x:v>3</x:v>
      </x:c>
      <x:c r="S2" s="15" t="str">
        <x:v>PASS</x:v>
      </x:c>
    </x:row>
    <x:row r="3" ht="340" customHeight="1">
      <x:c r="A3" s="15" t="n">
        <x:v>1</x:v>
      </x:c>
      <x:c r="B3" s="15" t="str">
        <x:v>MAR</x:v>
      </x:c>
      <x:c r="C3" s="15" t="str">
        <x:v>Marriott International</x:v>
      </x:c>
      <x:c r="D3" s="15" t="str">
        <x:v>2016q3</x:v>
      </x:c>
      <x:c r="E3" s="15" t="str">
        <x:v>2016-07-27</x:v>
      </x:c>
      <x:c r="F3" s="18" t="n">
        <x:v>-1.45</x:v>
      </x:c>
      <x:c r="G3" s="18" t="n">
        <x:v>1.24</x:v>
      </x:c>
      <x:c r="H3" s="18" t="n">
        <x:v>-0.23</x:v>
      </x:c>
      <x:c r="I3" s="18" t="n">
        <x:v>0.25</x:v>
      </x:c>
      <x:c r="J3" s="18" t="n">
        <x:v>-0.26</x:v>
      </x:c>
      <x:c r="K3" s="15" t="str">
        <x:v>ret_1daypost_pct</x:v>
      </x:c>
      <x:c r="L3" s="15" t="str">
        <x:v>UP</x:v>
      </x:c>
      <x:c r="M3" s="15" t="str">
        <x:v>## Prior Context
Marriott was approaching the Starwood closing while lodging demand had begun to soften in several markets. The central question was whether the asset-light model could preserve profit growth despite slower RevPAR.
### Verified prior source
2016-04-27 | Marriott International | Marriott International Reports First Quarter 2016 Results | https://marriott.gcs-web.com/node/14461
## Current Earnings Release
Q2 adjusted EPS reached **$1.03**, an 18% year-over-year increase and above Marriott's prior forecast. Revenue was about **$3.9 billion**, up 5%. North American comparable RevPAR increased roughly **3.2%**, and worldwide RevPAR rose **2.9%**.
The less favorable part of the release was the outlook. Marriott reduced its full-year RevPAR expectation to about **3% from 4%** and lowered its room-growth target because of opening delays. Management cited generally slower economic growth, even while leisure and group demand remained resilient. The next-session gain was therefore modest: investors rewarded the current earnings beat but recognized that underlying lodging growth was slowing.
### Verified release source
2016-07-27 | Marriott International | Marriott International Reports Second Quarter 2016 Results | https://marriott.gcs-web.com/news-releases/news-release-details/marriott-international-reports-second-quarter-2016-results
## Possible Drivers
**First-order driver.** The stock rose modestly because adjusted earnings beat expectations despite a softer growth backdrop.
**Second-order driver.** Lower full-year RevPAR guidance signaled slower industry demand.
**Third-order driver.** The imminent Starwood merger kept the longer-term scale and synergy story intact.
### Verified reaction source
2016-07-28 | The Motley Fool | Marriott Lowers Growth Outlook Ahead of Its Starwood Merger | https://www.fool.com/investing/2016/07/28/marriott-lowers-growth-outlook-ahead-of-is-starwoo.aspx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3" s="15" t="str">
        <x:v>2016-04-27 | Marriott International | Marriott International Reports First Quarter 2016 Results | https://marriott.gcs-web.com/node/14461</x:v>
      </x:c>
      <x:c r="O3" s="15" t="str">
        <x:v>2016-07-27 | Marriott International | Marriott International Reports Second Quarter 2016 Results | https://marriott.gcs-web.com/news-releases/news-release-details/marriott-international-reports-second-quarter-2016-results</x:v>
      </x:c>
      <x:c r="P3" s="15" t="str">
        <x:v>2016-07-28 | The Motley Fool | Marriott Lowers Growth Outlook Ahead of Its Starwood Merger | https://www.fool.com/investing/2016/07/28/marriott-lowers-growth-outlook-ahead-of-is-starwoo.aspx</x:v>
      </x:c>
      <x:c r="Q3" s="15" t="str">
        <x:v>2016-04-27 | Marriott International | Marriott International Reports First Quarter 2016 Results | https://marriott.gcs-web.com/node/14461
2016-07-27 | Marriott International | Marriott International Reports Second Quarter 2016 Results | https://marriott.gcs-web.com/news-releases/news-release-details/marriott-international-reports-second-quarter-2016-results
2016-07-28 | The Motley Fool | Marriott Lowers Growth Outlook Ahead of Its Starwood Merger | https://www.fool.com/investing/2016/07/28/marriott-lowers-growth-outlook-ahead-of-is-starwoo.aspx</x:v>
      </x:c>
      <x:c r="R3" s="15" t="n">
        <x:v>3</x:v>
      </x:c>
      <x:c r="S3" s="15" t="str">
        <x:v>PASS</x:v>
      </x:c>
    </x:row>
    <x:row r="4" ht="340" customHeight="1">
      <x:c r="A4" s="15" t="n">
        <x:v>2</x:v>
      </x:c>
      <x:c r="B4" s="15" t="str">
        <x:v>MAR</x:v>
      </x:c>
      <x:c r="C4" s="15" t="str">
        <x:v>Marriott International</x:v>
      </x:c>
      <x:c r="D4" s="15" t="str">
        <x:v>2016q4</x:v>
      </x:c>
      <x:c r="E4" s="15" t="str">
        <x:v>2016-11-07</x:v>
      </x:c>
      <x:c r="F4" s="18" t="n">
        <x:v>0.05</x:v>
      </x:c>
      <x:c r="G4" s="18" t="n">
        <x:v>2.31</x:v>
      </x:c>
      <x:c r="H4" s="18" t="n">
        <x:v>2.36</x:v>
      </x:c>
      <x:c r="I4" s="18" t="n">
        <x:v>3.03</x:v>
      </x:c>
      <x:c r="J4" s="18" t="n">
        <x:v>2.16</x:v>
      </x:c>
      <x:c r="K4" s="15" t="str">
        <x:v>ret_1daypost_pct</x:v>
      </x:c>
      <x:c r="L4" s="15" t="str">
        <x:v>UP</x:v>
      </x:c>
      <x:c r="M4" s="15" t="str">
        <x:v>## Prior Context
Marriott completed the Starwood acquisition on September 23, creating the world's largest hotel company. Q3 was therefore the first earnings event in which investors could evaluate the combined system and the early integration framework.
### Verified prior source
2016-09-23 | Marriott International | Marriott International Completes Acquisition of Starwood Hotels &amp; Resorts Worldwide | https://marriott.gcs-web.com/news-releases/news-release-details/marriott-international-completes-acquisition-starwood-hotels
## Current Earnings Release
Adjusted Q3 EPS was **$0.91**, up 17% year over year and roughly $0.03 above consensus. Marriott reported **2.2% worldwide pro-forma RevPAR growth** and **2.6% in North America**. The combined development pipeline approached **420,000 rooms**, including about 130,000 rooms from legacy Starwood.
The reported GAAP numbers were distorted by merger costs and only eight days of Starwood operations, so adjusted and pro-forma metrics were more informative. Management's near-term guidance was somewhat cautious, reflecting integration costs and a slower lodging environment, but the initial combined-company economics and pipeline were stronger than feared.
### Verified release source
2016-11-07 | Marriott International | Marriott International Reports Third Quarter 2016 Results | https://marriott.gcs-web.com/news-releases/news-release-details/marriott-international-reports-third-quarter-2016-results
## Possible Drivers
**First-order driver.** Shares rose because adjusted EPS beat expectations and the first combined-company metrics were reassuring.
**Second-order driver.** The much larger development pipeline highlighted the strategic value of Starwood.
**Third-order driver.** Integration costs and cautious near-term guidance tempered enthusiasm.
### Verified reaction source
2016-11-08 | The Motley Fool | Marriott Looks Ahead to Its Future With Starwood | https://www.fool.com/investing/2016/11/08/marriott-looks-ahead-to-its-future-with-starwood.aspx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4" s="15" t="str">
        <x:v>2016-09-23 | Marriott International | Marriott International Completes Acquisition of Starwood Hotels &amp; Resorts Worldwide | https://marriott.gcs-web.com/news-releases/news-release-details/marriott-international-completes-acquisition-starwood-hotels</x:v>
      </x:c>
      <x:c r="O4" s="15" t="str">
        <x:v>2016-11-07 | Marriott International | Marriott International Reports Third Quarter 2016 Results | https://marriott.gcs-web.com/news-releases/news-release-details/marriott-international-reports-third-quarter-2016-results</x:v>
      </x:c>
      <x:c r="P4" s="15" t="str">
        <x:v>2016-11-08 | The Motley Fool | Marriott Looks Ahead to Its Future With Starwood | https://www.fool.com/investing/2016/11/08/marriott-looks-ahead-to-its-future-with-starwood.aspx</x:v>
      </x:c>
      <x:c r="Q4" s="15" t="str">
        <x:v>2016-09-23 | Marriott International | Marriott International Completes Acquisition of Starwood Hotels &amp; Resorts Worldwide | https://marriott.gcs-web.com/news-releases/news-release-details/marriott-international-completes-acquisition-starwood-hotels
2016-11-07 | Marriott International | Marriott International Reports Third Quarter 2016 Results | https://marriott.gcs-web.com/news-releases/news-release-details/marriott-international-reports-third-quarter-2016-results
2016-11-08 | The Motley Fool | Marriott Looks Ahead to Its Future With Starwood | https://www.fool.com/investing/2016/11/08/marriott-looks-ahead-to-its-future-with-starwood.aspx</x:v>
      </x:c>
      <x:c r="R4" s="15" t="n">
        <x:v>3</x:v>
      </x:c>
      <x:c r="S4" s="15" t="str">
        <x:v>PASS</x:v>
      </x:c>
    </x:row>
    <x:row r="5" ht="340" customHeight="1">
      <x:c r="A5" s="15" t="n">
        <x:v>3</x:v>
      </x:c>
      <x:c r="B5" s="15" t="str">
        <x:v>MAR</x:v>
      </x:c>
      <x:c r="C5" s="15" t="str">
        <x:v>Marriott International</x:v>
      </x:c>
      <x:c r="D5" s="15" t="str">
        <x:v>2017q1</x:v>
      </x:c>
      <x:c r="E5" s="15" t="str">
        <x:v>2017-02-15</x:v>
      </x:c>
      <x:c r="F5" s="18" t="n">
        <x:v>1.31</x:v>
      </x:c>
      <x:c r="G5" s="18" t="n">
        <x:v>0.1</x:v>
      </x:c>
      <x:c r="H5" s="18" t="n">
        <x:v>1.41</x:v>
      </x:c>
      <x:c r="I5" s="18" t="n">
        <x:v>1.61</x:v>
      </x:c>
      <x:c r="J5" s="18" t="n">
        <x:v>-0.82</x:v>
      </x:c>
      <x:c r="K5" s="15" t="str">
        <x:v>ret_1daypost_pct</x:v>
      </x:c>
      <x:c r="L5" s="15" t="str">
        <x:v>FLAT</x:v>
      </x:c>
      <x:c r="M5" s="15" t="str">
        <x:v>## Prior Context
This was Marriott's first full quarter with Starwood included. Investors wanted evidence that integration savings, fee growth and the enlarged loyalty ecosystem could offset sluggish North American RevPAR.
### Verified prior source
2016-11-07 | Marriott International | Marriott International Reports Third Quarter 2016 Results | https://marriott.gcs-web.com/news-releases/news-release-details/marriott-international-reports-third-quarter-2016-results
## Current Earnings Release
Q4 adjusted EPS was **$0.85**, up 20% from the comparable combined prior-year result. Worldwide RevPAR increased only **0.8%**, with North America at **1.1%**, but fee revenue was better than Marriott had forecast and adjusted EBITDA increased **11%**.
Management projected 2017 net room growth of about **6%**, worldwide RevPAR growth of **0.5%-2.5%**, and **$175-$185 million of G&amp;A synergies** during the year on the way to a $250 million run-rate target. The report therefore combined weak industry growth with improving merger economics. The next-session return was essentially flat, consistent with investors balancing those two signals.
### Verified release source
2017-02-15 | Marriott International | Marriott International Reports Fourth Quarter 2016 Results | https://marriott.gcs-web.com/news-releases/news-release-details/marriott-international-reports-fourth-quarter-2016-results
## Possible Drivers
**First-order driver.** The reaction was essentially flat because solid earnings and merger synergies were offset by subdued RevPAR growth.
**Second-order driver.** Better-than-expected fee revenue demonstrated the benefits of the enlarged system.
**Third-order driver.** Conservative 2017 lodging-growth assumptions prevented a stronger rerating.
### Verified reaction source
2017-02-15 | The Motley Fool | Marriott Sees a Strong 2017 With Starwood Under Its Belt | https://www.fool.com/investing/2017/02/15/premium-earnings-marriott-sees-a-strong-2017-with.aspx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5" s="15" t="str">
        <x:v>2016-11-07 | Marriott International | Marriott International Reports Third Quarter 2016 Results | https://marriott.gcs-web.com/news-releases/news-release-details/marriott-international-reports-third-quarter-2016-results</x:v>
      </x:c>
      <x:c r="O5" s="15" t="str">
        <x:v>2017-02-15 | Marriott International | Marriott International Reports Fourth Quarter 2016 Results | https://marriott.gcs-web.com/news-releases/news-release-details/marriott-international-reports-fourth-quarter-2016-results</x:v>
      </x:c>
      <x:c r="P5" s="15" t="str">
        <x:v>2017-02-15 | The Motley Fool | Marriott Sees a Strong 2017 With Starwood Under Its Belt | https://www.fool.com/investing/2017/02/15/premium-earnings-marriott-sees-a-strong-2017-with.aspx</x:v>
      </x:c>
      <x:c r="Q5" s="15" t="str">
        <x:v>2016-11-07 | Marriott International | Marriott International Reports Third Quarter 2016 Results | https://marriott.gcs-web.com/news-releases/news-release-details/marriott-international-reports-third-quarter-2016-results
2017-02-15 | Marriott International | Marriott International Reports Fourth Quarter 2016 Results | https://marriott.gcs-web.com/news-releases/news-release-details/marriott-international-reports-fourth-quarter-2016-results
2017-02-15 | The Motley Fool | Marriott Sees a Strong 2017 With Starwood Under Its Belt | https://www.fool.com/investing/2017/02/15/premium-earnings-marriott-sees-a-strong-2017-with.aspx</x:v>
      </x:c>
      <x:c r="R5" s="15" t="n">
        <x:v>3</x:v>
      </x:c>
      <x:c r="S5" s="15" t="str">
        <x:v>PASS</x:v>
      </x:c>
    </x:row>
    <x:row r="6" ht="340" customHeight="1">
      <x:c r="A6" s="15" t="n">
        <x:v>4</x:v>
      </x:c>
      <x:c r="B6" s="15" t="str">
        <x:v>MAR</x:v>
      </x:c>
      <x:c r="C6" s="15" t="str">
        <x:v>Marriott International</x:v>
      </x:c>
      <x:c r="D6" s="15" t="str">
        <x:v>2017q2</x:v>
      </x:c>
      <x:c r="E6" s="15" t="str">
        <x:v>2017-05-08</x:v>
      </x:c>
      <x:c r="F6" s="18" t="n">
        <x:v>-0.62</x:v>
      </x:c>
      <x:c r="G6" s="18" t="n">
        <x:v>6.46</x:v>
      </x:c>
      <x:c r="H6" s="18" t="n">
        <x:v>5.8</x:v>
      </x:c>
      <x:c r="I6" s="18" t="n">
        <x:v>5.37</x:v>
      </x:c>
      <x:c r="J6" s="18" t="n">
        <x:v>5.72</x:v>
      </x:c>
      <x:c r="K6" s="15" t="str">
        <x:v>ret_1daypost_pct</x:v>
      </x:c>
      <x:c r="L6" s="15" t="str">
        <x:v>UP</x:v>
      </x:c>
      <x:c r="M6" s="15" t="str">
        <x:v>## Prior Context
By Q1, the Starwood integration was moving from a cost-synergy story toward revenue and fee growth. Investors were particularly focused on whether the combined company could lift room rates and occupancy at the same time.
### Verified prior source
2017-02-15 | Marriott International | Marriott International Reports Fourth Quarter 2016 Results | https://marriott.gcs-web.com/news-releases/news-release-details/marriott-international-reports-fourth-quarter-2016-results
## Current Earnings Release
Marriott reported **adjusted EPS of $1.01**, far above consensus near $0.91. Revenue reached about **$5.56 billion**, also above expectations. Worldwide and North American RevPAR both increased **3.1%**, while the company added more than **17,000 rooms** during the quarter.
The quality of the beat was strong: higher room rates, occupancy, fee revenue and integration progress all contributed. Marriott also had a development pipeline exceeding **430,000 rooms** and was returning substantial cash through repurchases. The next-session surge of more than 6% in the supplied data is directly consistent with the broad earnings and operating beat.
### Verified release source
2017-05-08 | Marriott International | Marriott International Reports First Quarter 2017 Results Highlights | https://marriott.gcs-web.com/news-releases/news-release-details/marriott-international-reports-first-quarter-2017-results
## Possible Drivers
**First-order driver.** Shares surged because EPS, revenue and RevPAR all exceeded expectations.
**Second-order driver.** Starwood integration was translating into stronger fees and system scale.
**Third-order driver.** A large room pipeline reinforced the durability of Marriott's asset-light growth.
### Verified reaction source
2017-05-09 | The Motley Fool | Why Marriott International Inc's Shares Popped 7% Today | https://www.fool.com/investing/2017/05/09/why-marriott-international-incs-shares-popped-7-to.aspx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6" s="15" t="str">
        <x:v>2017-02-15 | Marriott International | Marriott International Reports Fourth Quarter 2016 Results | https://marriott.gcs-web.com/news-releases/news-release-details/marriott-international-reports-fourth-quarter-2016-results</x:v>
      </x:c>
      <x:c r="O6" s="15" t="str">
        <x:v>2017-05-08 | Marriott International | Marriott International Reports First Quarter 2017 Results Highlights | https://marriott.gcs-web.com/news-releases/news-release-details/marriott-international-reports-first-quarter-2017-results</x:v>
      </x:c>
      <x:c r="P6" s="15" t="str">
        <x:v>2017-05-09 | The Motley Fool | Why Marriott International Inc's Shares Popped 7% Today | https://www.fool.com/investing/2017/05/09/why-marriott-international-incs-shares-popped-7-to.aspx</x:v>
      </x:c>
      <x:c r="Q6" s="15" t="str">
        <x:v>2017-02-15 | Marriott International | Marriott International Reports Fourth Quarter 2016 Results | https://marriott.gcs-web.com/news-releases/news-release-details/marriott-international-reports-fourth-quarter-2016-results
2017-05-08 | Marriott International | Marriott International Reports First Quarter 2017 Results Highlights | https://marriott.gcs-web.com/news-releases/news-release-details/marriott-international-reports-first-quarter-2017-results
2017-05-09 | The Motley Fool | Why Marriott International Inc's Shares Popped 7% Today | https://www.fool.com/investing/2017/05/09/why-marriott-international-incs-shares-popped-7-to.aspx</x:v>
      </x:c>
      <x:c r="R6" s="15" t="n">
        <x:v>3</x:v>
      </x:c>
      <x:c r="S6" s="15" t="str">
        <x:v>PASS</x:v>
      </x:c>
    </x:row>
    <x:row r="7" ht="340" customHeight="1">
      <x:c r="A7" s="15" t="n">
        <x:v>5</x:v>
      </x:c>
      <x:c r="B7" s="15" t="str">
        <x:v>MAR</x:v>
      </x:c>
      <x:c r="C7" s="15" t="str">
        <x:v>Marriott International</x:v>
      </x:c>
      <x:c r="D7" s="15" t="str">
        <x:v>2017q3</x:v>
      </x:c>
      <x:c r="E7" s="15" t="str">
        <x:v>2017-08-07</x:v>
      </x:c>
      <x:c r="F7" s="18" t="n">
        <x:v>0.95</x:v>
      </x:c>
      <x:c r="G7" s="18" t="n">
        <x:v>-1.81</x:v>
      </x:c>
      <x:c r="H7" s="18" t="n">
        <x:v>-0.88</x:v>
      </x:c>
      <x:c r="I7" s="18" t="n">
        <x:v>0.22</x:v>
      </x:c>
      <x:c r="J7" s="18" t="n">
        <x:v>-2.49</x:v>
      </x:c>
      <x:c r="K7" s="15" t="str">
        <x:v>ret_1daypost_pct</x:v>
      </x:c>
      <x:c r="L7" s="15" t="str">
        <x:v>DOWN</x:v>
      </x:c>
      <x:c r="M7" s="15" t="str">
        <x:v>## Prior Context
After the large May rally, Marriott carried a higher expectations bar. The market wanted another strong quarter but was also watching North American RevPAR, which had been lagging faster international growth.
### Verified prior source
2017-05-08 | Marriott International | Marriott International Reports First Quarter 2017 Results Highlights | https://marriott.gcs-web.com/news-releases/news-release-details/marriott-international-reports-first-quarter-2017-results
## Current Earnings Release
Q2 adjusted EPS was **$1.13**, comfortably above consensus near $1.02, and revenue of about **$5.8 billion** also beat expectations. Worldwide RevPAR rose **2.2%**, but North American RevPAR increased only **0.9%**. Fee growth remained strong and Marriott continued adding rooms.
The decisive negative information was the **Q3 EPS guide of $0.96-$0.99**, below the roughly $1.01 consensus expectation. That near-term guide mattered more than the current-quarter beat. The weak North American RevPAR number reinforced concern that U.S. lodging growth was slowing just as the stock had become more expensive.
### Verified release source
2017-08-07 | Marriott International | Marriott International Reports Second Quarter 2017 Results Highlights | https://marriott.gcs-web.com/node/14661
## Possible Drivers
**First-order driver.** Shares fell because Q3 EPS guidance came in below expectations despite a strong Q2 beat.
**Second-order driver.** North American RevPAR of only 0.9% signaled a softer domestic lodging market.
**Third-order driver.** Continued international and fee growth prevented the report from looking broadly weak.
### Verified reaction source
2017-08-07 | Zacks / Investing.com | Marriott (MAR) Stock Falls Despite Q2 Earnings &amp; Sales Beat | https://www.investing.com/analysis/marriott-mar-stock-falls-despite-q2-earnings--sales-beat-200205976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7" s="15" t="str">
        <x:v>2017-05-08 | Marriott International | Marriott International Reports First Quarter 2017 Results Highlights | https://marriott.gcs-web.com/news-releases/news-release-details/marriott-international-reports-first-quarter-2017-results</x:v>
      </x:c>
      <x:c r="O7" s="15" t="str">
        <x:v>2017-08-07 | Marriott International | Marriott International Reports Second Quarter 2017 Results Highlights | https://marriott.gcs-web.com/node/14661</x:v>
      </x:c>
      <x:c r="P7" s="15" t="str">
        <x:v>2017-08-07 | Zacks / Investing.com | Marriott (MAR) Stock Falls Despite Q2 Earnings &amp; Sales Beat | https://www.investing.com/analysis/marriott-mar-stock-falls-despite-q2-earnings--sales-beat-200205976</x:v>
      </x:c>
      <x:c r="Q7" s="15" t="str">
        <x:v>2017-05-08 | Marriott International | Marriott International Reports First Quarter 2017 Results Highlights | https://marriott.gcs-web.com/news-releases/news-release-details/marriott-international-reports-first-quarter-2017-results
2017-08-07 | Marriott International | Marriott International Reports Second Quarter 2017 Results Highlights | https://marriott.gcs-web.com/node/14661
2017-08-07 | Zacks / Investing.com | Marriott (MAR) Stock Falls Despite Q2 Earnings &amp; Sales Beat | https://www.investing.com/analysis/marriott-mar-stock-falls-despite-q2-earnings--sales-beat-200205976</x:v>
      </x:c>
      <x:c r="R7" s="15" t="n">
        <x:v>3</x:v>
      </x:c>
      <x:c r="S7" s="15" t="str">
        <x:v>PASS</x:v>
      </x:c>
    </x:row>
    <x:row r="8" ht="340" customHeight="1">
      <x:c r="A8" s="15" t="n">
        <x:v>6</x:v>
      </x:c>
      <x:c r="B8" s="15" t="str">
        <x:v>MAR</x:v>
      </x:c>
      <x:c r="C8" s="15" t="str">
        <x:v>Marriott International</x:v>
      </x:c>
      <x:c r="D8" s="15" t="str">
        <x:v>2017q4</x:v>
      </x:c>
      <x:c r="E8" s="15" t="str">
        <x:v>2017-11-07</x:v>
      </x:c>
      <x:c r="F8" s="18" t="n">
        <x:v>-0.71</x:v>
      </x:c>
      <x:c r="G8" s="18" t="n">
        <x:v>-0.89</x:v>
      </x:c>
      <x:c r="H8" s="18" t="n">
        <x:v>-1.59</x:v>
      </x:c>
      <x:c r="I8" s="18" t="n">
        <x:v>-1.45</x:v>
      </x:c>
      <x:c r="J8" s="18" t="n">
        <x:v>-0.96</x:v>
      </x:c>
      <x:c r="K8" s="15" t="str">
        <x:v>ret_1daypost_pct</x:v>
      </x:c>
      <x:c r="L8" s="15" t="str">
        <x:v>DOWN</x:v>
      </x:c>
      <x:c r="M8" s="15" t="str">
        <x:v>## Prior Context
The quarter included major hurricanes in the Caribbean, Texas and Florida, making it important to separate one-time disruption from underlying lodging demand. Investors were also watching whether international growth could offset a nearly flat North American market.
### Verified prior source
2017-08-07 | Marriott International | Marriott International Reports Second Quarter 2017 Results Highlights | https://marriott.gcs-web.com/node/14661
## Current Earnings Release
Q3 adjusted EPS was **$1.10**, above consensus around $0.99, while revenue reached about **$5.66 billion**. Worldwide RevPAR increased **2.1%**, but North American RevPAR was only **0.4%**; international properties remained much stronger. Marriott added nearly **22,800 rooms** and its pipeline reached roughly **450,000 rooms**.
Management's 2018 outlook called for only **0%-2% North American RevPAR growth** versus 3%-5% internationally. The stock eased lower rather than rallying on the beat because the report reinforced a growing geographic divergence: the combined company was executing well, but its largest market was maturing.
### Verified release source
2017-11-07 | Marriott International | Marriott International Reports Third Quarter 2017 Results Highlights | https://marriott.gcs-web.com/news-releases/news-release-details/marriott-international-reports-third-quarter-2017-results
## Possible Drivers
**First-order driver.** Shares slipped because the strong earnings beat was offset by very weak North American RevPAR and a modest 2018 domestic outlook.
**Second-order driver.** International growth remained healthy and supported overall fee earnings.
**Third-order driver.** Hurricane effects complicated the quarter but did not explain the broader North American slowdown.
### Verified reaction source
2017-11-08 | The Motley Fool | Marriott Expects a Stronger Future | https://www.fool.com/investing/2017/11/08/marriott-expects-a-stronger-future.aspx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8" s="15" t="str">
        <x:v>2017-08-07 | Marriott International | Marriott International Reports Second Quarter 2017 Results Highlights | https://marriott.gcs-web.com/node/14661</x:v>
      </x:c>
      <x:c r="O8" s="15" t="str">
        <x:v>2017-11-07 | Marriott International | Marriott International Reports Third Quarter 2017 Results Highlights | https://marriott.gcs-web.com/news-releases/news-release-details/marriott-international-reports-third-quarter-2017-results</x:v>
      </x:c>
      <x:c r="P8" s="15" t="str">
        <x:v>2017-11-08 | The Motley Fool | Marriott Expects a Stronger Future | https://www.fool.com/investing/2017/11/08/marriott-expects-a-stronger-future.aspx</x:v>
      </x:c>
      <x:c r="Q8" s="15" t="str">
        <x:v>2017-08-07 | Marriott International | Marriott International Reports Second Quarter 2017 Results Highlights | https://marriott.gcs-web.com/node/14661
2017-11-07 | Marriott International | Marriott International Reports Third Quarter 2017 Results Highlights | https://marriott.gcs-web.com/news-releases/news-release-details/marriott-international-reports-third-quarter-2017-results
2017-11-08 | The Motley Fool | Marriott Expects a Stronger Future | https://www.fool.com/investing/2017/11/08/marriott-expects-a-stronger-future.aspx</x:v>
      </x:c>
      <x:c r="R8" s="15" t="n">
        <x:v>3</x:v>
      </x:c>
      <x:c r="S8" s="15" t="str">
        <x:v>PASS</x:v>
      </x:c>
    </x:row>
    <x:row r="9" ht="340" customHeight="1">
      <x:c r="A9" s="15" t="n">
        <x:v>7</x:v>
      </x:c>
      <x:c r="B9" s="15" t="str">
        <x:v>MAR</x:v>
      </x:c>
      <x:c r="C9" s="15" t="str">
        <x:v>Marriott International</x:v>
      </x:c>
      <x:c r="D9" s="15" t="str">
        <x:v>2018q1</x:v>
      </x:c>
      <x:c r="E9" s="15" t="str">
        <x:v>2018-02-14</x:v>
      </x:c>
      <x:c r="F9" s="18" t="n">
        <x:v>1.86</x:v>
      </x:c>
      <x:c r="G9" s="18" t="n">
        <x:v>-3.83</x:v>
      </x:c>
      <x:c r="H9" s="18" t="n">
        <x:v>-2.05</x:v>
      </x:c>
      <x:c r="I9" s="18" t="n">
        <x:v>-1.27</x:v>
      </x:c>
      <x:c r="J9" s="18" t="n">
        <x:v>-1.29</x:v>
      </x:c>
      <x:c r="K9" s="15" t="str">
        <x:v>ret_1daypost_pct</x:v>
      </x:c>
      <x:c r="L9" s="15" t="str">
        <x:v>DOWN</x:v>
      </x:c>
      <x:c r="M9" s="15" t="str">
        <x:v>## Prior Context
Marriott entered 2018 after a strong integration year and with expectations for continued fee growth. The main question was whether stronger global demand would justify the stock's valuation while North America remained slower than international markets.
### Verified prior source
2017-11-07 | Marriott International | Marriott International Reports Third Quarter 2017 Results Highlights | https://marriott.gcs-web.com/news-releases/news-release-details/marriott-international-reports-third-quarter-2017-results
## Current Earnings Release
Q4 adjusted EPS reached **$1.12**, above consensus near $1.00, and revenue grew about **8% to $5.88 billion**. Worldwide RevPAR increased **4.6%**, including **3.9% in North America**, while base management/franchise fees and incentive fees both grew at double-digit rates.
Despite the strong reported quarter, Marriott's 2018 outlook was comparatively restrained: worldwide RevPAR was expected to grow only **1%-3%**, and adjusted EPS guidance was **$5.22-$5.45** under the comparable accounting presentation. The stock fell sharply in the first full post-release session because investors had expected more acceleration after the strong Q4 performance.
### Verified release source
2018-02-14 | Marriott International | Marriott International Reports Strong Fourth Quarter 2017 Results | https://marriott.gcs-web.com/news-releases/news-release-details/marriott-international-reports-strong-fourth-quarter-2017
## Possible Drivers
**First-order driver.** The stock fell because conservative 2018 guidance outweighed a strong Q4 earnings beat.
**Second-order driver.** RevPAR and fee growth were healthy, so the selloff was forward-looking rather than a weak-current-quarter reaction.
**Third-order driver.** Starwood integration progress remained positive but was already well recognized in the valuation.
### Verified reaction source
2018-02-14 | The Motley Fool | Marriott Finishes a Terrific Year | https://www.fool.com/investing/2018/02/14/marriott-finishes-a-terrific-year.aspx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9" s="15" t="str">
        <x:v>2017-11-07 | Marriott International | Marriott International Reports Third Quarter 2017 Results Highlights | https://marriott.gcs-web.com/news-releases/news-release-details/marriott-international-reports-third-quarter-2017-results</x:v>
      </x:c>
      <x:c r="O9" s="15" t="str">
        <x:v>2018-02-14 | Marriott International | Marriott International Reports Strong Fourth Quarter 2017 Results | https://marriott.gcs-web.com/news-releases/news-release-details/marriott-international-reports-strong-fourth-quarter-2017</x:v>
      </x:c>
      <x:c r="P9" s="15" t="str">
        <x:v>2018-02-14 | The Motley Fool | Marriott Finishes a Terrific Year | https://www.fool.com/investing/2018/02/14/marriott-finishes-a-terrific-year.aspx</x:v>
      </x:c>
      <x:c r="Q9" s="15" t="str">
        <x:v>2017-11-07 | Marriott International | Marriott International Reports Third Quarter 2017 Results Highlights | https://marriott.gcs-web.com/news-releases/news-release-details/marriott-international-reports-third-quarter-2017-results
2018-02-14 | Marriott International | Marriott International Reports Strong Fourth Quarter 2017 Results | https://marriott.gcs-web.com/news-releases/news-release-details/marriott-international-reports-strong-fourth-quarter-2017
2018-02-14 | The Motley Fool | Marriott Finishes a Terrific Year | https://www.fool.com/investing/2018/02/14/marriott-finishes-a-terrific-year.aspx</x:v>
      </x:c>
      <x:c r="R9" s="15" t="n">
        <x:v>3</x:v>
      </x:c>
      <x:c r="S9" s="15" t="str">
        <x:v>PASS</x:v>
      </x:c>
    </x:row>
    <x:row r="10" ht="340" customHeight="1">
      <x:c r="A10" s="15" t="n">
        <x:v>8</x:v>
      </x:c>
      <x:c r="B10" s="15" t="str">
        <x:v>MAR</x:v>
      </x:c>
      <x:c r="C10" s="15" t="str">
        <x:v>Marriott International</x:v>
      </x:c>
      <x:c r="D10" s="15" t="str">
        <x:v>2018q2</x:v>
      </x:c>
      <x:c r="E10" s="15" t="str">
        <x:v>2018-05-08</x:v>
      </x:c>
      <x:c r="F10" s="18" t="n">
        <x:v>1.91</x:v>
      </x:c>
      <x:c r="G10" s="18" t="n">
        <x:v>-1.87</x:v>
      </x:c>
      <x:c r="H10" s="18" t="n">
        <x:v>0</x:v>
      </x:c>
      <x:c r="I10" s="18" t="n">
        <x:v>0.17</x:v>
      </x:c>
      <x:c r="J10" s="18" t="n">
        <x:v>0.54</x:v>
      </x:c>
      <x:c r="K10" s="15" t="str">
        <x:v>ret_1daypost_pct</x:v>
      </x:c>
      <x:c r="L10" s="15" t="str">
        <x:v>DOWN</x:v>
      </x:c>
      <x:c r="M10" s="15" t="str">
        <x:v>## Prior Context
Global lodging demand had strengthened early in 2018, and Marriott had begun unifying the Marriott, Ritz-Carlton and SPG loyalty programs. Investors expected both better RevPAR and higher full-year guidance.
### Verified prior source
2018-02-14 | Marriott International | Marriott International Reports Strong Fourth Quarter 2017 Results | https://marriott.gcs-web.com/news-releases/news-release-details/marriott-international-reports-strong-fourth-quarter-2017
## Current Earnings Release
Q1 adjusted EPS was **$1.34**, about $0.12 above consensus, while adjusted revenue growth also exceeded expectations. Worldwide RevPAR increased **3.6%**, with **7.5% growth outside North America** versus 2.0% in North America. Fee revenues grew strongly and the development pipeline remained near **465,000 rooms**.
Marriott raised full-year worldwide RevPAR guidance to **3%-4%** and increased its full-year EPS outlook. However, Q2 EPS guidance of **$1.34-$1.36** was slightly below consensus near $1.38. Investors focused on that near-term guide, producing a negative next-session reaction despite the strong quarter and higher annual outlook.
### Verified release source
2018-05-08 | Marriott International | Marriott International Reports First Quarter 2018 Results | https://marriott.gcs-web.com/node/27566
## Possible Drivers
**First-order driver.** Shares fell because Q2 EPS guidance was slightly below consensus despite a strong Q1 beat.
**Second-order driver.** The raised full-year RevPAR outlook confirmed improving global travel demand.
**Third-order driver.** International growth remained much stronger than North America, reinforcing the geographic mix shift.
### Verified reaction source
2018-05-09 | The Motley Fool | Here's What Has Marriott More Excited Than Ever | https://www.fool.com/investing/2018/05/09/heres-what-has-marriott-more-excited-than-ever.aspx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10" s="15" t="str">
        <x:v>2018-02-14 | Marriott International | Marriott International Reports Strong Fourth Quarter 2017 Results | https://marriott.gcs-web.com/news-releases/news-release-details/marriott-international-reports-strong-fourth-quarter-2017</x:v>
      </x:c>
      <x:c r="O10" s="15" t="str">
        <x:v>2018-05-08 | Marriott International | Marriott International Reports First Quarter 2018 Results | https://marriott.gcs-web.com/node/27566</x:v>
      </x:c>
      <x:c r="P10" s="15" t="str">
        <x:v>2018-05-09 | The Motley Fool | Here's What Has Marriott More Excited Than Ever | https://www.fool.com/investing/2018/05/09/heres-what-has-marriott-more-excited-than-ever.aspx</x:v>
      </x:c>
      <x:c r="Q10" s="15" t="str">
        <x:v>2018-02-14 | Marriott International | Marriott International Reports Strong Fourth Quarter 2017 Results | https://marriott.gcs-web.com/news-releases/news-release-details/marriott-international-reports-strong-fourth-quarter-2017
2018-05-08 | Marriott International | Marriott International Reports First Quarter 2018 Results | https://marriott.gcs-web.com/node/27566
2018-05-09 | The Motley Fool | Here's What Has Marriott More Excited Than Ever | https://www.fool.com/investing/2018/05/09/heres-what-has-marriott-more-excited-than-ever.aspx</x:v>
      </x:c>
      <x:c r="R10" s="15" t="n">
        <x:v>3</x:v>
      </x:c>
      <x:c r="S10" s="15" t="str">
        <x:v>PASS</x:v>
      </x:c>
    </x:row>
    <x:row r="11" ht="340" customHeight="1">
      <x:c r="A11" s="15" t="n">
        <x:v>9</x:v>
      </x:c>
      <x:c r="B11" s="15" t="str">
        <x:v>MAR</x:v>
      </x:c>
      <x:c r="C11" s="15" t="str">
        <x:v>Marriott International</x:v>
      </x:c>
      <x:c r="D11" s="15" t="str">
        <x:v>2018q3</x:v>
      </x:c>
      <x:c r="E11" s="15" t="str">
        <x:v>2018-08-06</x:v>
      </x:c>
      <x:c r="F11" s="18" t="n">
        <x:v>0.46</x:v>
      </x:c>
      <x:c r="G11" s="18" t="n">
        <x:v>-3.98</x:v>
      </x:c>
      <x:c r="H11" s="18" t="n">
        <x:v>-3.53</x:v>
      </x:c>
      <x:c r="I11" s="18" t="n">
        <x:v>-4.55</x:v>
      </x:c>
      <x:c r="J11" s="18" t="n">
        <x:v>-7.29</x:v>
      </x:c>
      <x:c r="K11" s="15" t="str">
        <x:v>ret_1daypost_pct</x:v>
      </x:c>
      <x:c r="L11" s="15" t="str">
        <x:v>DOWN</x:v>
      </x:c>
      <x:c r="M11" s="15" t="str">
        <x:v>## Prior Context
Marriott entered Q2 with stronger global demand and was days away from unifying the Marriott Rewards, Ritz-Carlton Rewards and SPG programs. The major risk was whether North American RevPAR could sustain the stronger first-half pace.
### Verified prior source
2018-05-08 | Marriott International | Marriott International Reports First Quarter 2018 Results | https://marriott.gcs-web.com/node/27566
## Current Earnings Release
Q2 adjusted EPS reached **$1.73**, far above consensus near $1.38, while worldwide RevPAR increased **3.8%**. North American RevPAR rose **3.1%**, international RevPAR **5.7%**, and gross fee revenue climbed 12%. Free cash generation and asset recycling also supported a higher full-year EPS outlook.
Yet management projected only **1.5%-2.0% North American RevPAR growth in Q3** and roughly 2.5%-3.0% worldwide, citing difficult hurricane-related comparisons and the midweek July 4 holiday. The weak near-term RevPAR outlook dominated the otherwise excellent earnings result, leading to the roughly 4% next-session decline in the supplied data.
### Verified release source
2018-08-06 | Marriott International | Marriott International Reports Second Quarter 2018 Results | https://marriott.gcs-web.com/node/27911/pdf
## Possible Drivers
**First-order driver.** Shares fell because weak Q3 North American RevPAR guidance outweighed a very large EPS beat.
**Second-order driver.** Current-quarter fee growth and international RevPAR remained strong.
**Third-order driver.** Unified loyalty benefits and higher full-year EPS guidance supported the longer-term integration thesis.
### Verified reaction source
2018-08-06 | The Motley Fool | This Milestone Moment Could Vault Marriott Higher | https://www.fool.com/investing/2018/08/06/this-milestone-moment-could-vault-marriott-higher.aspx
## Verification Status
The included sources were web-verified for Marriott/MAR identity, the correct earnings event or directly relevant pre-event setup, publication date, timing window, and source origin. Marriott Investor Relations is the factual anchor. No WSJ, Reuters, Dow Jones, or MarketWatch-syndicated article is included.
</x:v>
      </x:c>
      <x:c r="N11" s="15" t="str">
        <x:v>2018-05-08 | Marriott International | Marriott International Reports First Quarter 2018 Results | https://marriott.gcs-web.com/node/27566</x:v>
      </x:c>
      <x:c r="O11" s="15" t="str">
        <x:v>2018-08-06 | Marriott International | Marriott International Reports Second Quarter 2018 Results | https://marriott.gcs-web.com/node/27911/pdf</x:v>
      </x:c>
      <x:c r="P11" s="15" t="str">
        <x:v>2018-08-06 | The Motley Fool | This Milestone Moment Could Vault Marriott Higher | https://www.fool.com/investing/2018/08/06/this-milestone-moment-could-vault-marriott-higher.aspx</x:v>
      </x:c>
      <x:c r="Q11" s="15" t="str">
        <x:v>2018-05-08 | Marriott International | Marriott International Reports First Quarter 2018 Results | https://marriott.gcs-web.com/node/27566
2018-08-06 | Marriott International | Marriott International Reports Second Quarter 2018 Results | https://marriott.gcs-web.com/node/27911/pdf
2018-08-06 | The Motley Fool | This Milestone Moment Could Vault Marriott Higher | https://www.fool.com/investing/2018/08/06/this-milestone-moment-could-vault-marriott-higher.aspx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4"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2016-04-27</x:v>
      </x:c>
      <x:c r="B2" s="12" t="str">
        <x:v>MAR</x:v>
      </x:c>
      <x:c r="C2" s="12" t="str">
        <x:v>prior</x:v>
      </x:c>
      <x:c r="D2" s="12" t="str">
        <x:v>2016-03-21</x:v>
      </x:c>
      <x:c r="E2" s="12" t="n">
        <x:v>-37</x:v>
      </x:c>
      <x:c r="F2" s="12" t="str">
        <x:v>Marriott International</x:v>
      </x:c>
      <x:c r="G2" s="12" t="str">
        <x:v>Marriott International and Starwood Sign Amended Merger Agreement</x:v>
      </x:c>
      <x:c r="H2" s="12" t="str">
        <x:v>https://marriott.gcs-web.com/news-releases/news-release-details/marriott-international-and-starwood-hotels-resorts-worldwide</x:v>
      </x:c>
      <x:c r="I2" s="12" t="str">
        <x:v>WEB_VERIFIED</x:v>
      </x:c>
      <x:c r="J2" s="12" t="str">
        <x:v>PASS</x:v>
      </x:c>
      <x:c r="K2" s="12" t="str">
        <x:v>PASS</x:v>
      </x:c>
      <x:c r="L2" s="12" t="str">
        <x:v>PASS</x:v>
      </x:c>
      <x:c r="M2" s="12" t="str">
        <x:v>NO</x:v>
      </x:c>
      <x:c r="N2" s="12" t="str">
        <x:v>PASS</x:v>
      </x:c>
      <x:c r="O2" s="12" t="str">
        <x:v>FACTUAL</x:v>
      </x:c>
      <x:c r="P2" s="12" t="str">
        <x:v>PASS</x:v>
      </x:c>
      <x:c r="Q2" s="12" t="str">
        <x:v>URL returned in web verification and was matched to Marriott/MAR, the exact event or directly relevant pre-event catalyst, publication date, timing window, and source-origin rule.</x:v>
      </x:c>
    </x:row>
    <x:row r="3">
      <x:c r="A3" s="12" t="str">
        <x:v>2016-04-27</x:v>
      </x:c>
      <x:c r="B3" s="12" t="str">
        <x:v>MAR</x:v>
      </x:c>
      <x:c r="C3" s="12" t="str">
        <x:v>release</x:v>
      </x:c>
      <x:c r="D3" s="12" t="str">
        <x:v>2016-04-27</x:v>
      </x:c>
      <x:c r="E3" s="12" t="n">
        <x:v>0</x:v>
      </x:c>
      <x:c r="F3" s="12" t="str">
        <x:v>Marriott International</x:v>
      </x:c>
      <x:c r="G3" s="12" t="str">
        <x:v>Marriott International Reports First Quarter 2016 Results</x:v>
      </x:c>
      <x:c r="H3" s="12" t="str">
        <x:v>https://marriott.gcs-web.com/node/14461</x:v>
      </x:c>
      <x:c r="I3" s="12" t="str">
        <x:v>WEB_VERIFIED</x:v>
      </x:c>
      <x:c r="J3" s="12" t="str">
        <x:v>PASS</x:v>
      </x:c>
      <x:c r="K3" s="12" t="str">
        <x:v>PASS</x:v>
      </x:c>
      <x:c r="L3" s="12" t="str">
        <x:v>PASS</x:v>
      </x:c>
      <x:c r="M3" s="12" t="str">
        <x:v>NO</x:v>
      </x:c>
      <x:c r="N3" s="12" t="str">
        <x:v>PASS</x:v>
      </x:c>
      <x:c r="O3" s="12" t="str">
        <x:v>FACTUAL</x:v>
      </x:c>
      <x:c r="P3" s="12" t="str">
        <x:v>PASS</x:v>
      </x:c>
      <x:c r="Q3" s="12" t="str">
        <x:v>URL returned in web verification and was matched to Marriott/MAR, the exact event or directly relevant pre-event catalyst, publication date, timing window, and source-origin rule.</x:v>
      </x:c>
    </x:row>
    <x:row r="4">
      <x:c r="A4" s="12" t="str">
        <x:v>2016-04-27</x:v>
      </x:c>
      <x:c r="B4" s="12" t="str">
        <x:v>MAR</x:v>
      </x:c>
      <x:c r="C4" s="12" t="str">
        <x:v>reaction</x:v>
      </x:c>
      <x:c r="D4" s="12" t="str">
        <x:v>2016-04-27</x:v>
      </x:c>
      <x:c r="E4" s="12" t="n">
        <x:v>0</x:v>
      </x:c>
      <x:c r="F4" s="12" t="str">
        <x:v>The Motley Fool</x:v>
      </x:c>
      <x:c r="G4" s="12" t="str">
        <x:v>Marriott Celebrates Sales Gains in Advance of Starwood Deal</x:v>
      </x:c>
      <x:c r="H4" s="12" t="str">
        <x:v>https://www.fool.com/investing/general/2016/04/27/marriott-celebrates-sales-gains-in-advance-of-star.aspx</x:v>
      </x:c>
      <x:c r="I4" s="12" t="str">
        <x:v>WEB_VERIFIED</x:v>
      </x:c>
      <x:c r="J4" s="12" t="str">
        <x:v>PASS</x:v>
      </x:c>
      <x:c r="K4" s="12" t="str">
        <x:v>PASS</x:v>
      </x:c>
      <x:c r="L4" s="12" t="str">
        <x:v>PASS</x:v>
      </x:c>
      <x:c r="M4" s="12" t="str">
        <x:v>NO</x:v>
      </x:c>
      <x:c r="N4" s="12" t="str">
        <x:v>PASS</x:v>
      </x:c>
      <x:c r="O4" s="12" t="str">
        <x:v>CONTEMPORANEOUS_ATTRIBUTION</x:v>
      </x:c>
      <x:c r="P4" s="12" t="str">
        <x:v>PASS</x:v>
      </x:c>
      <x:c r="Q4" s="12" t="str">
        <x:v>URL returned in web verification and was matched to Marriott/MAR, the exact event or directly relevant pre-event catalyst, publication date, timing window, and source-origin rule.</x:v>
      </x:c>
    </x:row>
    <x:row r="5">
      <x:c r="A5" s="12" t="str">
        <x:v>2016-07-27</x:v>
      </x:c>
      <x:c r="B5" s="12" t="str">
        <x:v>MAR</x:v>
      </x:c>
      <x:c r="C5" s="12" t="str">
        <x:v>prior</x:v>
      </x:c>
      <x:c r="D5" s="12" t="str">
        <x:v>2016-04-27</x:v>
      </x:c>
      <x:c r="E5" s="12" t="n">
        <x:v>-91</x:v>
      </x:c>
      <x:c r="F5" s="12" t="str">
        <x:v>Marriott International</x:v>
      </x:c>
      <x:c r="G5" s="12" t="str">
        <x:v>Marriott International Reports First Quarter 2016 Results</x:v>
      </x:c>
      <x:c r="H5" s="12" t="str">
        <x:v>https://marriott.gcs-web.com/node/14461</x:v>
      </x:c>
      <x:c r="I5" s="12" t="str">
        <x:v>WEB_VERIFIED</x:v>
      </x:c>
      <x:c r="J5" s="12" t="str">
        <x:v>PASS</x:v>
      </x:c>
      <x:c r="K5" s="12" t="str">
        <x:v>PASS</x:v>
      </x:c>
      <x:c r="L5" s="12" t="str">
        <x:v>PASS</x:v>
      </x:c>
      <x:c r="M5" s="12" t="str">
        <x:v>NO</x:v>
      </x:c>
      <x:c r="N5" s="12" t="str">
        <x:v>PASS</x:v>
      </x:c>
      <x:c r="O5" s="12" t="str">
        <x:v>FACTUAL</x:v>
      </x:c>
      <x:c r="P5" s="12" t="str">
        <x:v>PASS</x:v>
      </x:c>
      <x:c r="Q5" s="12" t="str">
        <x:v>URL returned in web verification and was matched to Marriott/MAR, the exact event or directly relevant pre-event catalyst, publication date, timing window, and source-origin rule.</x:v>
      </x:c>
    </x:row>
    <x:row r="6">
      <x:c r="A6" s="12" t="str">
        <x:v>2016-07-27</x:v>
      </x:c>
      <x:c r="B6" s="12" t="str">
        <x:v>MAR</x:v>
      </x:c>
      <x:c r="C6" s="12" t="str">
        <x:v>release</x:v>
      </x:c>
      <x:c r="D6" s="12" t="str">
        <x:v>2016-07-27</x:v>
      </x:c>
      <x:c r="E6" s="12" t="n">
        <x:v>0</x:v>
      </x:c>
      <x:c r="F6" s="12" t="str">
        <x:v>Marriott International</x:v>
      </x:c>
      <x:c r="G6" s="12" t="str">
        <x:v>Marriott International Reports Second Quarter 2016 Results</x:v>
      </x:c>
      <x:c r="H6" s="12" t="str">
        <x:v>https://marriott.gcs-web.com/news-releases/news-release-details/marriott-international-reports-second-quarter-2016-results</x:v>
      </x:c>
      <x:c r="I6" s="12" t="str">
        <x:v>WEB_VERIFIED</x:v>
      </x:c>
      <x:c r="J6" s="12" t="str">
        <x:v>PASS</x:v>
      </x:c>
      <x:c r="K6" s="12" t="str">
        <x:v>PASS</x:v>
      </x:c>
      <x:c r="L6" s="12" t="str">
        <x:v>PASS</x:v>
      </x:c>
      <x:c r="M6" s="12" t="str">
        <x:v>NO</x:v>
      </x:c>
      <x:c r="N6" s="12" t="str">
        <x:v>PASS</x:v>
      </x:c>
      <x:c r="O6" s="12" t="str">
        <x:v>FACTUAL</x:v>
      </x:c>
      <x:c r="P6" s="12" t="str">
        <x:v>PASS</x:v>
      </x:c>
      <x:c r="Q6" s="12" t="str">
        <x:v>URL returned in web verification and was matched to Marriott/MAR, the exact event or directly relevant pre-event catalyst, publication date, timing window, and source-origin rule.</x:v>
      </x:c>
    </x:row>
    <x:row r="7">
      <x:c r="A7" s="12" t="str">
        <x:v>2016-07-27</x:v>
      </x:c>
      <x:c r="B7" s="12" t="str">
        <x:v>MAR</x:v>
      </x:c>
      <x:c r="C7" s="12" t="str">
        <x:v>reaction</x:v>
      </x:c>
      <x:c r="D7" s="12" t="str">
        <x:v>2016-07-28</x:v>
      </x:c>
      <x:c r="E7" s="12" t="n">
        <x:v>1</x:v>
      </x:c>
      <x:c r="F7" s="12" t="str">
        <x:v>The Motley Fool</x:v>
      </x:c>
      <x:c r="G7" s="12" t="str">
        <x:v>Marriott Lowers Growth Outlook Ahead of Its Starwood Merger</x:v>
      </x:c>
      <x:c r="H7" s="12" t="str">
        <x:v>https://www.fool.com/investing/2016/07/28/marriott-lowers-growth-outlook-ahead-of-is-starwoo.aspx</x:v>
      </x:c>
      <x:c r="I7" s="12" t="str">
        <x:v>WEB_VERIFIED</x:v>
      </x:c>
      <x:c r="J7" s="12" t="str">
        <x:v>PASS</x:v>
      </x:c>
      <x:c r="K7" s="12" t="str">
        <x:v>PASS</x:v>
      </x:c>
      <x:c r="L7" s="12" t="str">
        <x:v>PASS</x:v>
      </x:c>
      <x:c r="M7" s="12" t="str">
        <x:v>NO</x:v>
      </x:c>
      <x:c r="N7" s="12" t="str">
        <x:v>PASS</x:v>
      </x:c>
      <x:c r="O7" s="12" t="str">
        <x:v>CONTEMPORANEOUS_ATTRIBUTION</x:v>
      </x:c>
      <x:c r="P7" s="12" t="str">
        <x:v>PASS</x:v>
      </x:c>
      <x:c r="Q7" s="12" t="str">
        <x:v>URL returned in web verification and was matched to Marriott/MAR, the exact event or directly relevant pre-event catalyst, publication date, timing window, and source-origin rule.</x:v>
      </x:c>
    </x:row>
    <x:row r="8">
      <x:c r="A8" s="12" t="str">
        <x:v>2016-11-07</x:v>
      </x:c>
      <x:c r="B8" s="12" t="str">
        <x:v>MAR</x:v>
      </x:c>
      <x:c r="C8" s="12" t="str">
        <x:v>prior</x:v>
      </x:c>
      <x:c r="D8" s="12" t="str">
        <x:v>2016-09-23</x:v>
      </x:c>
      <x:c r="E8" s="12" t="n">
        <x:v>-45</x:v>
      </x:c>
      <x:c r="F8" s="12" t="str">
        <x:v>Marriott International</x:v>
      </x:c>
      <x:c r="G8" s="12" t="str">
        <x:v>Marriott International Completes Acquisition of Starwood Hotels &amp; Resorts Worldwide</x:v>
      </x:c>
      <x:c r="H8" s="12" t="str">
        <x:v>https://marriott.gcs-web.com/news-releases/news-release-details/marriott-international-completes-acquisition-starwood-hotels</x:v>
      </x:c>
      <x:c r="I8" s="12" t="str">
        <x:v>WEB_VERIFIED</x:v>
      </x:c>
      <x:c r="J8" s="12" t="str">
        <x:v>PASS</x:v>
      </x:c>
      <x:c r="K8" s="12" t="str">
        <x:v>PASS</x:v>
      </x:c>
      <x:c r="L8" s="12" t="str">
        <x:v>PASS</x:v>
      </x:c>
      <x:c r="M8" s="12" t="str">
        <x:v>NO</x:v>
      </x:c>
      <x:c r="N8" s="12" t="str">
        <x:v>PASS</x:v>
      </x:c>
      <x:c r="O8" s="12" t="str">
        <x:v>FACTUAL</x:v>
      </x:c>
      <x:c r="P8" s="12" t="str">
        <x:v>PASS</x:v>
      </x:c>
      <x:c r="Q8" s="12" t="str">
        <x:v>URL returned in web verification and was matched to Marriott/MAR, the exact event or directly relevant pre-event catalyst, publication date, timing window, and source-origin rule.</x:v>
      </x:c>
    </x:row>
    <x:row r="9">
      <x:c r="A9" s="12" t="str">
        <x:v>2016-11-07</x:v>
      </x:c>
      <x:c r="B9" s="12" t="str">
        <x:v>MAR</x:v>
      </x:c>
      <x:c r="C9" s="12" t="str">
        <x:v>release</x:v>
      </x:c>
      <x:c r="D9" s="12" t="str">
        <x:v>2016-11-07</x:v>
      </x:c>
      <x:c r="E9" s="12" t="n">
        <x:v>0</x:v>
      </x:c>
      <x:c r="F9" s="12" t="str">
        <x:v>Marriott International</x:v>
      </x:c>
      <x:c r="G9" s="12" t="str">
        <x:v>Marriott International Reports Third Quarter 2016 Results</x:v>
      </x:c>
      <x:c r="H9" s="12" t="str">
        <x:v>https://marriott.gcs-web.com/news-releases/news-release-details/marriott-international-reports-third-quarter-2016-results</x:v>
      </x:c>
      <x:c r="I9" s="12" t="str">
        <x:v>WEB_VERIFIED</x:v>
      </x:c>
      <x:c r="J9" s="12" t="str">
        <x:v>PASS</x:v>
      </x:c>
      <x:c r="K9" s="12" t="str">
        <x:v>PASS</x:v>
      </x:c>
      <x:c r="L9" s="12" t="str">
        <x:v>PASS</x:v>
      </x:c>
      <x:c r="M9" s="12" t="str">
        <x:v>NO</x:v>
      </x:c>
      <x:c r="N9" s="12" t="str">
        <x:v>PASS</x:v>
      </x:c>
      <x:c r="O9" s="12" t="str">
        <x:v>FACTUAL</x:v>
      </x:c>
      <x:c r="P9" s="12" t="str">
        <x:v>PASS</x:v>
      </x:c>
      <x:c r="Q9" s="12" t="str">
        <x:v>URL returned in web verification and was matched to Marriott/MAR, the exact event or directly relevant pre-event catalyst, publication date, timing window, and source-origin rule.</x:v>
      </x:c>
    </x:row>
    <x:row r="10">
      <x:c r="A10" s="12" t="str">
        <x:v>2016-11-07</x:v>
      </x:c>
      <x:c r="B10" s="12" t="str">
        <x:v>MAR</x:v>
      </x:c>
      <x:c r="C10" s="12" t="str">
        <x:v>reaction</x:v>
      </x:c>
      <x:c r="D10" s="12" t="str">
        <x:v>2016-11-08</x:v>
      </x:c>
      <x:c r="E10" s="12" t="n">
        <x:v>1</x:v>
      </x:c>
      <x:c r="F10" s="12" t="str">
        <x:v>The Motley Fool</x:v>
      </x:c>
      <x:c r="G10" s="12" t="str">
        <x:v>Marriott Looks Ahead to Its Future With Starwood</x:v>
      </x:c>
      <x:c r="H10" s="12" t="str">
        <x:v>https://www.fool.com/investing/2016/11/08/marriott-looks-ahead-to-its-future-with-starwood.aspx</x:v>
      </x:c>
      <x:c r="I10" s="12" t="str">
        <x:v>WEB_VERIFIED</x:v>
      </x:c>
      <x:c r="J10" s="12" t="str">
        <x:v>PASS</x:v>
      </x:c>
      <x:c r="K10" s="12" t="str">
        <x:v>PASS</x:v>
      </x:c>
      <x:c r="L10" s="12" t="str">
        <x:v>PASS</x:v>
      </x:c>
      <x:c r="M10" s="12" t="str">
        <x:v>NO</x:v>
      </x:c>
      <x:c r="N10" s="12" t="str">
        <x:v>PASS</x:v>
      </x:c>
      <x:c r="O10" s="12" t="str">
        <x:v>CONTEMPORANEOUS_ATTRIBUTION</x:v>
      </x:c>
      <x:c r="P10" s="12" t="str">
        <x:v>PASS</x:v>
      </x:c>
      <x:c r="Q10" s="12" t="str">
        <x:v>URL returned in web verification and was matched to Marriott/MAR, the exact event or directly relevant pre-event catalyst, publication date, timing window, and source-origin rule.</x:v>
      </x:c>
    </x:row>
    <x:row r="11">
      <x:c r="A11" s="12" t="str">
        <x:v>2017-02-15</x:v>
      </x:c>
      <x:c r="B11" s="12" t="str">
        <x:v>MAR</x:v>
      </x:c>
      <x:c r="C11" s="12" t="str">
        <x:v>prior</x:v>
      </x:c>
      <x:c r="D11" s="12" t="str">
        <x:v>2016-11-07</x:v>
      </x:c>
      <x:c r="E11" s="12" t="n">
        <x:v>-100</x:v>
      </x:c>
      <x:c r="F11" s="12" t="str">
        <x:v>Marriott International</x:v>
      </x:c>
      <x:c r="G11" s="12" t="str">
        <x:v>Marriott International Reports Third Quarter 2016 Results</x:v>
      </x:c>
      <x:c r="H11" s="12" t="str">
        <x:v>https://marriott.gcs-web.com/news-releases/news-release-details/marriott-international-reports-third-quarter-2016-results</x:v>
      </x:c>
      <x:c r="I11" s="12" t="str">
        <x:v>WEB_VERIFIED</x:v>
      </x:c>
      <x:c r="J11" s="12" t="str">
        <x:v>PASS</x:v>
      </x:c>
      <x:c r="K11" s="12" t="str">
        <x:v>PASS</x:v>
      </x:c>
      <x:c r="L11" s="12" t="str">
        <x:v>PASS</x:v>
      </x:c>
      <x:c r="M11" s="12" t="str">
        <x:v>NO</x:v>
      </x:c>
      <x:c r="N11" s="12" t="str">
        <x:v>PASS</x:v>
      </x:c>
      <x:c r="O11" s="12" t="str">
        <x:v>FACTUAL</x:v>
      </x:c>
      <x:c r="P11" s="12" t="str">
        <x:v>PASS</x:v>
      </x:c>
      <x:c r="Q11" s="12" t="str">
        <x:v>URL returned in web verification and was matched to Marriott/MAR, the exact event or directly relevant pre-event catalyst, publication date, timing window, and source-origin rule.</x:v>
      </x:c>
    </x:row>
    <x:row r="12">
      <x:c r="A12" s="12" t="str">
        <x:v>2017-02-15</x:v>
      </x:c>
      <x:c r="B12" s="12" t="str">
        <x:v>MAR</x:v>
      </x:c>
      <x:c r="C12" s="12" t="str">
        <x:v>release</x:v>
      </x:c>
      <x:c r="D12" s="12" t="str">
        <x:v>2017-02-15</x:v>
      </x:c>
      <x:c r="E12" s="12" t="n">
        <x:v>0</x:v>
      </x:c>
      <x:c r="F12" s="12" t="str">
        <x:v>Marriott International</x:v>
      </x:c>
      <x:c r="G12" s="12" t="str">
        <x:v>Marriott International Reports Fourth Quarter 2016 Results</x:v>
      </x:c>
      <x:c r="H12" s="12" t="str">
        <x:v>https://marriott.gcs-web.com/news-releases/news-release-details/marriott-international-reports-fourth-quarter-2016-results</x:v>
      </x:c>
      <x:c r="I12" s="12" t="str">
        <x:v>WEB_VERIFIED</x:v>
      </x:c>
      <x:c r="J12" s="12" t="str">
        <x:v>PASS</x:v>
      </x:c>
      <x:c r="K12" s="12" t="str">
        <x:v>PASS</x:v>
      </x:c>
      <x:c r="L12" s="12" t="str">
        <x:v>PASS</x:v>
      </x:c>
      <x:c r="M12" s="12" t="str">
        <x:v>NO</x:v>
      </x:c>
      <x:c r="N12" s="12" t="str">
        <x:v>PASS</x:v>
      </x:c>
      <x:c r="O12" s="12" t="str">
        <x:v>FACTUAL</x:v>
      </x:c>
      <x:c r="P12" s="12" t="str">
        <x:v>PASS</x:v>
      </x:c>
      <x:c r="Q12" s="12" t="str">
        <x:v>URL returned in web verification and was matched to Marriott/MAR, the exact event or directly relevant pre-event catalyst, publication date, timing window, and source-origin rule.</x:v>
      </x:c>
    </x:row>
    <x:row r="13">
      <x:c r="A13" s="12" t="str">
        <x:v>2017-02-15</x:v>
      </x:c>
      <x:c r="B13" s="12" t="str">
        <x:v>MAR</x:v>
      </x:c>
      <x:c r="C13" s="12" t="str">
        <x:v>reaction</x:v>
      </x:c>
      <x:c r="D13" s="12" t="str">
        <x:v>2017-02-15</x:v>
      </x:c>
      <x:c r="E13" s="12" t="n">
        <x:v>0</x:v>
      </x:c>
      <x:c r="F13" s="12" t="str">
        <x:v>The Motley Fool</x:v>
      </x:c>
      <x:c r="G13" s="12" t="str">
        <x:v>Marriott Sees a Strong 2017 With Starwood Under Its Belt</x:v>
      </x:c>
      <x:c r="H13" s="12" t="str">
        <x:v>https://www.fool.com/investing/2017/02/15/premium-earnings-marriott-sees-a-strong-2017-with.aspx</x:v>
      </x:c>
      <x:c r="I13" s="12" t="str">
        <x:v>WEB_VERIFIED</x:v>
      </x:c>
      <x:c r="J13" s="12" t="str">
        <x:v>PASS</x:v>
      </x:c>
      <x:c r="K13" s="12" t="str">
        <x:v>PASS</x:v>
      </x:c>
      <x:c r="L13" s="12" t="str">
        <x:v>PASS</x:v>
      </x:c>
      <x:c r="M13" s="12" t="str">
        <x:v>NO</x:v>
      </x:c>
      <x:c r="N13" s="12" t="str">
        <x:v>PASS</x:v>
      </x:c>
      <x:c r="O13" s="12" t="str">
        <x:v>CONTEMPORANEOUS_ATTRIBUTION</x:v>
      </x:c>
      <x:c r="P13" s="12" t="str">
        <x:v>PASS</x:v>
      </x:c>
      <x:c r="Q13" s="12" t="str">
        <x:v>URL returned in web verification and was matched to Marriott/MAR, the exact event or directly relevant pre-event catalyst, publication date, timing window, and source-origin rule.</x:v>
      </x:c>
    </x:row>
    <x:row r="14">
      <x:c r="A14" s="12" t="str">
        <x:v>2017-05-08</x:v>
      </x:c>
      <x:c r="B14" s="12" t="str">
        <x:v>MAR</x:v>
      </x:c>
      <x:c r="C14" s="12" t="str">
        <x:v>prior</x:v>
      </x:c>
      <x:c r="D14" s="12" t="str">
        <x:v>2017-02-15</x:v>
      </x:c>
      <x:c r="E14" s="12" t="n">
        <x:v>-82</x:v>
      </x:c>
      <x:c r="F14" s="12" t="str">
        <x:v>Marriott International</x:v>
      </x:c>
      <x:c r="G14" s="12" t="str">
        <x:v>Marriott International Reports Fourth Quarter 2016 Results</x:v>
      </x:c>
      <x:c r="H14" s="12" t="str">
        <x:v>https://marriott.gcs-web.com/news-releases/news-release-details/marriott-international-reports-fourth-quarter-2016-results</x:v>
      </x:c>
      <x:c r="I14" s="12" t="str">
        <x:v>WEB_VERIFIED</x:v>
      </x:c>
      <x:c r="J14" s="12" t="str">
        <x:v>PASS</x:v>
      </x:c>
      <x:c r="K14" s="12" t="str">
        <x:v>PASS</x:v>
      </x:c>
      <x:c r="L14" s="12" t="str">
        <x:v>PASS</x:v>
      </x:c>
      <x:c r="M14" s="12" t="str">
        <x:v>NO</x:v>
      </x:c>
      <x:c r="N14" s="12" t="str">
        <x:v>PASS</x:v>
      </x:c>
      <x:c r="O14" s="12" t="str">
        <x:v>FACTUAL</x:v>
      </x:c>
      <x:c r="P14" s="12" t="str">
        <x:v>PASS</x:v>
      </x:c>
      <x:c r="Q14" s="12" t="str">
        <x:v>URL returned in web verification and was matched to Marriott/MAR, the exact event or directly relevant pre-event catalyst, publication date, timing window, and source-origin rule.</x:v>
      </x:c>
    </x:row>
    <x:row r="15">
      <x:c r="A15" s="12" t="str">
        <x:v>2017-05-08</x:v>
      </x:c>
      <x:c r="B15" s="12" t="str">
        <x:v>MAR</x:v>
      </x:c>
      <x:c r="C15" s="12" t="str">
        <x:v>release</x:v>
      </x:c>
      <x:c r="D15" s="12" t="str">
        <x:v>2017-05-08</x:v>
      </x:c>
      <x:c r="E15" s="12" t="n">
        <x:v>0</x:v>
      </x:c>
      <x:c r="F15" s="12" t="str">
        <x:v>Marriott International</x:v>
      </x:c>
      <x:c r="G15" s="12" t="str">
        <x:v>Marriott International Reports First Quarter 2017 Results Highlights</x:v>
      </x:c>
      <x:c r="H15" s="12" t="str">
        <x:v>https://marriott.gcs-web.com/news-releases/news-release-details/marriott-international-reports-first-quarter-2017-results</x:v>
      </x:c>
      <x:c r="I15" s="12" t="str">
        <x:v>WEB_VERIFIED</x:v>
      </x:c>
      <x:c r="J15" s="12" t="str">
        <x:v>PASS</x:v>
      </x:c>
      <x:c r="K15" s="12" t="str">
        <x:v>PASS</x:v>
      </x:c>
      <x:c r="L15" s="12" t="str">
        <x:v>PASS</x:v>
      </x:c>
      <x:c r="M15" s="12" t="str">
        <x:v>NO</x:v>
      </x:c>
      <x:c r="N15" s="12" t="str">
        <x:v>PASS</x:v>
      </x:c>
      <x:c r="O15" s="12" t="str">
        <x:v>FACTUAL</x:v>
      </x:c>
      <x:c r="P15" s="12" t="str">
        <x:v>PASS</x:v>
      </x:c>
      <x:c r="Q15" s="12" t="str">
        <x:v>URL returned in web verification and was matched to Marriott/MAR, the exact event or directly relevant pre-event catalyst, publication date, timing window, and source-origin rule.</x:v>
      </x:c>
    </x:row>
    <x:row r="16">
      <x:c r="A16" s="12" t="str">
        <x:v>2017-05-08</x:v>
      </x:c>
      <x:c r="B16" s="12" t="str">
        <x:v>MAR</x:v>
      </x:c>
      <x:c r="C16" s="12" t="str">
        <x:v>reaction</x:v>
      </x:c>
      <x:c r="D16" s="12" t="str">
        <x:v>2017-05-09</x:v>
      </x:c>
      <x:c r="E16" s="12" t="n">
        <x:v>1</x:v>
      </x:c>
      <x:c r="F16" s="12" t="str">
        <x:v>The Motley Fool</x:v>
      </x:c>
      <x:c r="G16" s="12" t="str">
        <x:v>Why Marriott International Inc's Shares Popped 7% Today</x:v>
      </x:c>
      <x:c r="H16" s="12" t="str">
        <x:v>https://www.fool.com/investing/2017/05/09/why-marriott-international-incs-shares-popped-7-to.aspx</x:v>
      </x:c>
      <x:c r="I16" s="12" t="str">
        <x:v>WEB_VERIFIED</x:v>
      </x:c>
      <x:c r="J16" s="12" t="str">
        <x:v>PASS</x:v>
      </x:c>
      <x:c r="K16" s="12" t="str">
        <x:v>PASS</x:v>
      </x:c>
      <x:c r="L16" s="12" t="str">
        <x:v>PASS</x:v>
      </x:c>
      <x:c r="M16" s="12" t="str">
        <x:v>NO</x:v>
      </x:c>
      <x:c r="N16" s="12" t="str">
        <x:v>PASS</x:v>
      </x:c>
      <x:c r="O16" s="12" t="str">
        <x:v>CONTEMPORANEOUS_ATTRIBUTION</x:v>
      </x:c>
      <x:c r="P16" s="12" t="str">
        <x:v>PASS</x:v>
      </x:c>
      <x:c r="Q16" s="12" t="str">
        <x:v>URL returned in web verification and was matched to Marriott/MAR, the exact event or directly relevant pre-event catalyst, publication date, timing window, and source-origin rule.</x:v>
      </x:c>
    </x:row>
    <x:row r="17">
      <x:c r="A17" s="12" t="str">
        <x:v>2017-08-07</x:v>
      </x:c>
      <x:c r="B17" s="12" t="str">
        <x:v>MAR</x:v>
      </x:c>
      <x:c r="C17" s="12" t="str">
        <x:v>prior</x:v>
      </x:c>
      <x:c r="D17" s="12" t="str">
        <x:v>2017-05-08</x:v>
      </x:c>
      <x:c r="E17" s="12" t="n">
        <x:v>-91</x:v>
      </x:c>
      <x:c r="F17" s="12" t="str">
        <x:v>Marriott International</x:v>
      </x:c>
      <x:c r="G17" s="12" t="str">
        <x:v>Marriott International Reports First Quarter 2017 Results Highlights</x:v>
      </x:c>
      <x:c r="H17" s="12" t="str">
        <x:v>https://marriott.gcs-web.com/news-releases/news-release-details/marriott-international-reports-first-quarter-2017-results</x:v>
      </x:c>
      <x:c r="I17" s="12" t="str">
        <x:v>WEB_VERIFIED</x:v>
      </x:c>
      <x:c r="J17" s="12" t="str">
        <x:v>PASS</x:v>
      </x:c>
      <x:c r="K17" s="12" t="str">
        <x:v>PASS</x:v>
      </x:c>
      <x:c r="L17" s="12" t="str">
        <x:v>PASS</x:v>
      </x:c>
      <x:c r="M17" s="12" t="str">
        <x:v>NO</x:v>
      </x:c>
      <x:c r="N17" s="12" t="str">
        <x:v>PASS</x:v>
      </x:c>
      <x:c r="O17" s="12" t="str">
        <x:v>FACTUAL</x:v>
      </x:c>
      <x:c r="P17" s="12" t="str">
        <x:v>PASS</x:v>
      </x:c>
      <x:c r="Q17" s="12" t="str">
        <x:v>URL returned in web verification and was matched to Marriott/MAR, the exact event or directly relevant pre-event catalyst, publication date, timing window, and source-origin rule.</x:v>
      </x:c>
    </x:row>
    <x:row r="18">
      <x:c r="A18" s="12" t="str">
        <x:v>2017-08-07</x:v>
      </x:c>
      <x:c r="B18" s="12" t="str">
        <x:v>MAR</x:v>
      </x:c>
      <x:c r="C18" s="12" t="str">
        <x:v>release</x:v>
      </x:c>
      <x:c r="D18" s="12" t="str">
        <x:v>2017-08-07</x:v>
      </x:c>
      <x:c r="E18" s="12" t="n">
        <x:v>0</x:v>
      </x:c>
      <x:c r="F18" s="12" t="str">
        <x:v>Marriott International</x:v>
      </x:c>
      <x:c r="G18" s="12" t="str">
        <x:v>Marriott International Reports Second Quarter 2017 Results Highlights</x:v>
      </x:c>
      <x:c r="H18" s="12" t="str">
        <x:v>https://marriott.gcs-web.com/node/14661</x:v>
      </x:c>
      <x:c r="I18" s="12" t="str">
        <x:v>WEB_VERIFIED</x:v>
      </x:c>
      <x:c r="J18" s="12" t="str">
        <x:v>PASS</x:v>
      </x:c>
      <x:c r="K18" s="12" t="str">
        <x:v>PASS</x:v>
      </x:c>
      <x:c r="L18" s="12" t="str">
        <x:v>PASS</x:v>
      </x:c>
      <x:c r="M18" s="12" t="str">
        <x:v>NO</x:v>
      </x:c>
      <x:c r="N18" s="12" t="str">
        <x:v>PASS</x:v>
      </x:c>
      <x:c r="O18" s="12" t="str">
        <x:v>FACTUAL</x:v>
      </x:c>
      <x:c r="P18" s="12" t="str">
        <x:v>PASS</x:v>
      </x:c>
      <x:c r="Q18" s="12" t="str">
        <x:v>URL returned in web verification and was matched to Marriott/MAR, the exact event or directly relevant pre-event catalyst, publication date, timing window, and source-origin rule.</x:v>
      </x:c>
    </x:row>
    <x:row r="19">
      <x:c r="A19" s="12" t="str">
        <x:v>2017-08-07</x:v>
      </x:c>
      <x:c r="B19" s="12" t="str">
        <x:v>MAR</x:v>
      </x:c>
      <x:c r="C19" s="12" t="str">
        <x:v>reaction</x:v>
      </x:c>
      <x:c r="D19" s="12" t="str">
        <x:v>2017-08-07</x:v>
      </x:c>
      <x:c r="E19" s="12" t="n">
        <x:v>0</x:v>
      </x:c>
      <x:c r="F19" s="12" t="str">
        <x:v>Zacks / Investing.com</x:v>
      </x:c>
      <x:c r="G19" s="12" t="str">
        <x:v>Marriott (MAR) Stock Falls Despite Q2 Earnings &amp; Sales Beat</x:v>
      </x:c>
      <x:c r="H19" s="12" t="str">
        <x:v>https://www.investing.com/analysis/marriott-mar-stock-falls-despite-q2-earnings--sales-beat-200205976</x:v>
      </x:c>
      <x:c r="I19" s="12" t="str">
        <x:v>WEB_VERIFIED</x:v>
      </x:c>
      <x:c r="J19" s="12" t="str">
        <x:v>PASS</x:v>
      </x:c>
      <x:c r="K19" s="12" t="str">
        <x:v>PASS</x:v>
      </x:c>
      <x:c r="L19" s="12" t="str">
        <x:v>PASS</x:v>
      </x:c>
      <x:c r="M19" s="12" t="str">
        <x:v>NO</x:v>
      </x:c>
      <x:c r="N19" s="12" t="str">
        <x:v>PASS</x:v>
      </x:c>
      <x:c r="O19" s="12" t="str">
        <x:v>CONTEMPORANEOUS_ATTRIBUTION</x:v>
      </x:c>
      <x:c r="P19" s="12" t="str">
        <x:v>PASS</x:v>
      </x:c>
      <x:c r="Q19" s="12" t="str">
        <x:v>URL returned in web verification and was matched to Marriott/MAR, the exact event or directly relevant pre-event catalyst, publication date, timing window, and source-origin rule.</x:v>
      </x:c>
    </x:row>
    <x:row r="20">
      <x:c r="A20" s="12" t="str">
        <x:v>2017-11-07</x:v>
      </x:c>
      <x:c r="B20" s="12" t="str">
        <x:v>MAR</x:v>
      </x:c>
      <x:c r="C20" s="12" t="str">
        <x:v>prior</x:v>
      </x:c>
      <x:c r="D20" s="12" t="str">
        <x:v>2017-08-07</x:v>
      </x:c>
      <x:c r="E20" s="12" t="n">
        <x:v>-92</x:v>
      </x:c>
      <x:c r="F20" s="12" t="str">
        <x:v>Marriott International</x:v>
      </x:c>
      <x:c r="G20" s="12" t="str">
        <x:v>Marriott International Reports Second Quarter 2017 Results Highlights</x:v>
      </x:c>
      <x:c r="H20" s="12" t="str">
        <x:v>https://marriott.gcs-web.com/node/14661</x:v>
      </x:c>
      <x:c r="I20" s="12" t="str">
        <x:v>WEB_VERIFIED</x:v>
      </x:c>
      <x:c r="J20" s="12" t="str">
        <x:v>PASS</x:v>
      </x:c>
      <x:c r="K20" s="12" t="str">
        <x:v>PASS</x:v>
      </x:c>
      <x:c r="L20" s="12" t="str">
        <x:v>PASS</x:v>
      </x:c>
      <x:c r="M20" s="12" t="str">
        <x:v>NO</x:v>
      </x:c>
      <x:c r="N20" s="12" t="str">
        <x:v>PASS</x:v>
      </x:c>
      <x:c r="O20" s="12" t="str">
        <x:v>FACTUAL</x:v>
      </x:c>
      <x:c r="P20" s="12" t="str">
        <x:v>PASS</x:v>
      </x:c>
      <x:c r="Q20" s="12" t="str">
        <x:v>URL returned in web verification and was matched to Marriott/MAR, the exact event or directly relevant pre-event catalyst, publication date, timing window, and source-origin rule.</x:v>
      </x:c>
    </x:row>
    <x:row r="21">
      <x:c r="A21" s="12" t="str">
        <x:v>2017-11-07</x:v>
      </x:c>
      <x:c r="B21" s="12" t="str">
        <x:v>MAR</x:v>
      </x:c>
      <x:c r="C21" s="12" t="str">
        <x:v>release</x:v>
      </x:c>
      <x:c r="D21" s="12" t="str">
        <x:v>2017-11-07</x:v>
      </x:c>
      <x:c r="E21" s="12" t="n">
        <x:v>0</x:v>
      </x:c>
      <x:c r="F21" s="12" t="str">
        <x:v>Marriott International</x:v>
      </x:c>
      <x:c r="G21" s="12" t="str">
        <x:v>Marriott International Reports Third Quarter 2017 Results Highlights</x:v>
      </x:c>
      <x:c r="H21" s="12" t="str">
        <x:v>https://marriott.gcs-web.com/news-releases/news-release-details/marriott-international-reports-third-quarter-2017-results</x:v>
      </x:c>
      <x:c r="I21" s="12" t="str">
        <x:v>WEB_VERIFIED</x:v>
      </x:c>
      <x:c r="J21" s="12" t="str">
        <x:v>PASS</x:v>
      </x:c>
      <x:c r="K21" s="12" t="str">
        <x:v>PASS</x:v>
      </x:c>
      <x:c r="L21" s="12" t="str">
        <x:v>PASS</x:v>
      </x:c>
      <x:c r="M21" s="12" t="str">
        <x:v>NO</x:v>
      </x:c>
      <x:c r="N21" s="12" t="str">
        <x:v>PASS</x:v>
      </x:c>
      <x:c r="O21" s="12" t="str">
        <x:v>FACTUAL</x:v>
      </x:c>
      <x:c r="P21" s="12" t="str">
        <x:v>PASS</x:v>
      </x:c>
      <x:c r="Q21" s="12" t="str">
        <x:v>URL returned in web verification and was matched to Marriott/MAR, the exact event or directly relevant pre-event catalyst, publication date, timing window, and source-origin rule.</x:v>
      </x:c>
    </x:row>
    <x:row r="22">
      <x:c r="A22" s="12" t="str">
        <x:v>2017-11-07</x:v>
      </x:c>
      <x:c r="B22" s="12" t="str">
        <x:v>MAR</x:v>
      </x:c>
      <x:c r="C22" s="12" t="str">
        <x:v>reaction</x:v>
      </x:c>
      <x:c r="D22" s="12" t="str">
        <x:v>2017-11-08</x:v>
      </x:c>
      <x:c r="E22" s="12" t="n">
        <x:v>1</x:v>
      </x:c>
      <x:c r="F22" s="12" t="str">
        <x:v>The Motley Fool</x:v>
      </x:c>
      <x:c r="G22" s="12" t="str">
        <x:v>Marriott Expects a Stronger Future</x:v>
      </x:c>
      <x:c r="H22" s="12" t="str">
        <x:v>https://www.fool.com/investing/2017/11/08/marriott-expects-a-stronger-future.aspx</x:v>
      </x:c>
      <x:c r="I22" s="12" t="str">
        <x:v>WEB_VERIFIED</x:v>
      </x:c>
      <x:c r="J22" s="12" t="str">
        <x:v>PASS</x:v>
      </x:c>
      <x:c r="K22" s="12" t="str">
        <x:v>PASS</x:v>
      </x:c>
      <x:c r="L22" s="12" t="str">
        <x:v>PASS</x:v>
      </x:c>
      <x:c r="M22" s="12" t="str">
        <x:v>NO</x:v>
      </x:c>
      <x:c r="N22" s="12" t="str">
        <x:v>PASS</x:v>
      </x:c>
      <x:c r="O22" s="12" t="str">
        <x:v>CONTEMPORANEOUS_ATTRIBUTION</x:v>
      </x:c>
      <x:c r="P22" s="12" t="str">
        <x:v>PASS</x:v>
      </x:c>
      <x:c r="Q22" s="12" t="str">
        <x:v>URL returned in web verification and was matched to Marriott/MAR, the exact event or directly relevant pre-event catalyst, publication date, timing window, and source-origin rule.</x:v>
      </x:c>
    </x:row>
    <x:row r="23">
      <x:c r="A23" s="12" t="str">
        <x:v>2018-02-14</x:v>
      </x:c>
      <x:c r="B23" s="12" t="str">
        <x:v>MAR</x:v>
      </x:c>
      <x:c r="C23" s="12" t="str">
        <x:v>prior</x:v>
      </x:c>
      <x:c r="D23" s="12" t="str">
        <x:v>2017-11-07</x:v>
      </x:c>
      <x:c r="E23" s="12" t="n">
        <x:v>-99</x:v>
      </x:c>
      <x:c r="F23" s="12" t="str">
        <x:v>Marriott International</x:v>
      </x:c>
      <x:c r="G23" s="12" t="str">
        <x:v>Marriott International Reports Third Quarter 2017 Results Highlights</x:v>
      </x:c>
      <x:c r="H23" s="12" t="str">
        <x:v>https://marriott.gcs-web.com/news-releases/news-release-details/marriott-international-reports-third-quarter-2017-results</x:v>
      </x:c>
      <x:c r="I23" s="12" t="str">
        <x:v>WEB_VERIFIED</x:v>
      </x:c>
      <x:c r="J23" s="12" t="str">
        <x:v>PASS</x:v>
      </x:c>
      <x:c r="K23" s="12" t="str">
        <x:v>PASS</x:v>
      </x:c>
      <x:c r="L23" s="12" t="str">
        <x:v>PASS</x:v>
      </x:c>
      <x:c r="M23" s="12" t="str">
        <x:v>NO</x:v>
      </x:c>
      <x:c r="N23" s="12" t="str">
        <x:v>PASS</x:v>
      </x:c>
      <x:c r="O23" s="12" t="str">
        <x:v>FACTUAL</x:v>
      </x:c>
      <x:c r="P23" s="12" t="str">
        <x:v>PASS</x:v>
      </x:c>
      <x:c r="Q23" s="12" t="str">
        <x:v>URL returned in web verification and was matched to Marriott/MAR, the exact event or directly relevant pre-event catalyst, publication date, timing window, and source-origin rule.</x:v>
      </x:c>
    </x:row>
    <x:row r="24">
      <x:c r="A24" s="12" t="str">
        <x:v>2018-02-14</x:v>
      </x:c>
      <x:c r="B24" s="12" t="str">
        <x:v>MAR</x:v>
      </x:c>
      <x:c r="C24" s="12" t="str">
        <x:v>release</x:v>
      </x:c>
      <x:c r="D24" s="12" t="str">
        <x:v>2018-02-14</x:v>
      </x:c>
      <x:c r="E24" s="12" t="n">
        <x:v>0</x:v>
      </x:c>
      <x:c r="F24" s="12" t="str">
        <x:v>Marriott International</x:v>
      </x:c>
      <x:c r="G24" s="12" t="str">
        <x:v>Marriott International Reports Strong Fourth Quarter 2017 Results</x:v>
      </x:c>
      <x:c r="H24" s="12" t="str">
        <x:v>https://marriott.gcs-web.com/news-releases/news-release-details/marriott-international-reports-strong-fourth-quarter-2017</x:v>
      </x:c>
      <x:c r="I24" s="12" t="str">
        <x:v>WEB_VERIFIED</x:v>
      </x:c>
      <x:c r="J24" s="12" t="str">
        <x:v>PASS</x:v>
      </x:c>
      <x:c r="K24" s="12" t="str">
        <x:v>PASS</x:v>
      </x:c>
      <x:c r="L24" s="12" t="str">
        <x:v>PASS</x:v>
      </x:c>
      <x:c r="M24" s="12" t="str">
        <x:v>NO</x:v>
      </x:c>
      <x:c r="N24" s="12" t="str">
        <x:v>PASS</x:v>
      </x:c>
      <x:c r="O24" s="12" t="str">
        <x:v>FACTUAL</x:v>
      </x:c>
      <x:c r="P24" s="12" t="str">
        <x:v>PASS</x:v>
      </x:c>
      <x:c r="Q24" s="12" t="str">
        <x:v>URL returned in web verification and was matched to Marriott/MAR, the exact event or directly relevant pre-event catalyst, publication date, timing window, and source-origin rule.</x:v>
      </x:c>
    </x:row>
    <x:row r="25">
      <x:c r="A25" s="12" t="str">
        <x:v>2018-02-14</x:v>
      </x:c>
      <x:c r="B25" s="12" t="str">
        <x:v>MAR</x:v>
      </x:c>
      <x:c r="C25" s="12" t="str">
        <x:v>reaction</x:v>
      </x:c>
      <x:c r="D25" s="12" t="str">
        <x:v>2018-02-14</x:v>
      </x:c>
      <x:c r="E25" s="12" t="n">
        <x:v>0</x:v>
      </x:c>
      <x:c r="F25" s="12" t="str">
        <x:v>The Motley Fool</x:v>
      </x:c>
      <x:c r="G25" s="12" t="str">
        <x:v>Marriott Finishes a Terrific Year</x:v>
      </x:c>
      <x:c r="H25" s="12" t="str">
        <x:v>https://www.fool.com/investing/2018/02/14/marriott-finishes-a-terrific-year.aspx</x:v>
      </x:c>
      <x:c r="I25" s="12" t="str">
        <x:v>WEB_VERIFIED</x:v>
      </x:c>
      <x:c r="J25" s="12" t="str">
        <x:v>PASS</x:v>
      </x:c>
      <x:c r="K25" s="12" t="str">
        <x:v>PASS</x:v>
      </x:c>
      <x:c r="L25" s="12" t="str">
        <x:v>PASS</x:v>
      </x:c>
      <x:c r="M25" s="12" t="str">
        <x:v>NO</x:v>
      </x:c>
      <x:c r="N25" s="12" t="str">
        <x:v>PASS</x:v>
      </x:c>
      <x:c r="O25" s="12" t="str">
        <x:v>CONTEMPORANEOUS_ATTRIBUTION</x:v>
      </x:c>
      <x:c r="P25" s="12" t="str">
        <x:v>PASS</x:v>
      </x:c>
      <x:c r="Q25" s="12" t="str">
        <x:v>URL returned in web verification and was matched to Marriott/MAR, the exact event or directly relevant pre-event catalyst, publication date, timing window, and source-origin rule.</x:v>
      </x:c>
    </x:row>
    <x:row r="26">
      <x:c r="A26" s="12" t="str">
        <x:v>2018-05-08</x:v>
      </x:c>
      <x:c r="B26" s="12" t="str">
        <x:v>MAR</x:v>
      </x:c>
      <x:c r="C26" s="12" t="str">
        <x:v>prior</x:v>
      </x:c>
      <x:c r="D26" s="12" t="str">
        <x:v>2018-02-14</x:v>
      </x:c>
      <x:c r="E26" s="12" t="n">
        <x:v>-83</x:v>
      </x:c>
      <x:c r="F26" s="12" t="str">
        <x:v>Marriott International</x:v>
      </x:c>
      <x:c r="G26" s="12" t="str">
        <x:v>Marriott International Reports Strong Fourth Quarter 2017 Results</x:v>
      </x:c>
      <x:c r="H26" s="12" t="str">
        <x:v>https://marriott.gcs-web.com/news-releases/news-release-details/marriott-international-reports-strong-fourth-quarter-2017</x:v>
      </x:c>
      <x:c r="I26" s="12" t="str">
        <x:v>WEB_VERIFIED</x:v>
      </x:c>
      <x:c r="J26" s="12" t="str">
        <x:v>PASS</x:v>
      </x:c>
      <x:c r="K26" s="12" t="str">
        <x:v>PASS</x:v>
      </x:c>
      <x:c r="L26" s="12" t="str">
        <x:v>PASS</x:v>
      </x:c>
      <x:c r="M26" s="12" t="str">
        <x:v>NO</x:v>
      </x:c>
      <x:c r="N26" s="12" t="str">
        <x:v>PASS</x:v>
      </x:c>
      <x:c r="O26" s="12" t="str">
        <x:v>FACTUAL</x:v>
      </x:c>
      <x:c r="P26" s="12" t="str">
        <x:v>PASS</x:v>
      </x:c>
      <x:c r="Q26" s="12" t="str">
        <x:v>URL returned in web verification and was matched to Marriott/MAR, the exact event or directly relevant pre-event catalyst, publication date, timing window, and source-origin rule.</x:v>
      </x:c>
    </x:row>
    <x:row r="27">
      <x:c r="A27" s="12" t="str">
        <x:v>2018-05-08</x:v>
      </x:c>
      <x:c r="B27" s="12" t="str">
        <x:v>MAR</x:v>
      </x:c>
      <x:c r="C27" s="12" t="str">
        <x:v>release</x:v>
      </x:c>
      <x:c r="D27" s="12" t="str">
        <x:v>2018-05-08</x:v>
      </x:c>
      <x:c r="E27" s="12" t="n">
        <x:v>0</x:v>
      </x:c>
      <x:c r="F27" s="12" t="str">
        <x:v>Marriott International</x:v>
      </x:c>
      <x:c r="G27" s="12" t="str">
        <x:v>Marriott International Reports First Quarter 2018 Results</x:v>
      </x:c>
      <x:c r="H27" s="12" t="str">
        <x:v>https://marriott.gcs-web.com/node/27566</x:v>
      </x:c>
      <x:c r="I27" s="12" t="str">
        <x:v>WEB_VERIFIED</x:v>
      </x:c>
      <x:c r="J27" s="12" t="str">
        <x:v>PASS</x:v>
      </x:c>
      <x:c r="K27" s="12" t="str">
        <x:v>PASS</x:v>
      </x:c>
      <x:c r="L27" s="12" t="str">
        <x:v>PASS</x:v>
      </x:c>
      <x:c r="M27" s="12" t="str">
        <x:v>NO</x:v>
      </x:c>
      <x:c r="N27" s="12" t="str">
        <x:v>PASS</x:v>
      </x:c>
      <x:c r="O27" s="12" t="str">
        <x:v>FACTUAL</x:v>
      </x:c>
      <x:c r="P27" s="12" t="str">
        <x:v>PASS</x:v>
      </x:c>
      <x:c r="Q27" s="12" t="str">
        <x:v>URL returned in web verification and was matched to Marriott/MAR, the exact event or directly relevant pre-event catalyst, publication date, timing window, and source-origin rule.</x:v>
      </x:c>
    </x:row>
    <x:row r="28">
      <x:c r="A28" s="12" t="str">
        <x:v>2018-05-08</x:v>
      </x:c>
      <x:c r="B28" s="12" t="str">
        <x:v>MAR</x:v>
      </x:c>
      <x:c r="C28" s="12" t="str">
        <x:v>reaction</x:v>
      </x:c>
      <x:c r="D28" s="12" t="str">
        <x:v>2018-05-09</x:v>
      </x:c>
      <x:c r="E28" s="12" t="n">
        <x:v>1</x:v>
      </x:c>
      <x:c r="F28" s="12" t="str">
        <x:v>The Motley Fool</x:v>
      </x:c>
      <x:c r="G28" s="12" t="str">
        <x:v>Here's What Has Marriott More Excited Than Ever</x:v>
      </x:c>
      <x:c r="H28" s="12" t="str">
        <x:v>https://www.fool.com/investing/2018/05/09/heres-what-has-marriott-more-excited-than-ever.aspx</x:v>
      </x:c>
      <x:c r="I28" s="12" t="str">
        <x:v>WEB_VERIFIED</x:v>
      </x:c>
      <x:c r="J28" s="12" t="str">
        <x:v>PASS</x:v>
      </x:c>
      <x:c r="K28" s="12" t="str">
        <x:v>PASS</x:v>
      </x:c>
      <x:c r="L28" s="12" t="str">
        <x:v>PASS</x:v>
      </x:c>
      <x:c r="M28" s="12" t="str">
        <x:v>NO</x:v>
      </x:c>
      <x:c r="N28" s="12" t="str">
        <x:v>PASS</x:v>
      </x:c>
      <x:c r="O28" s="12" t="str">
        <x:v>CONTEMPORANEOUS_ATTRIBUTION</x:v>
      </x:c>
      <x:c r="P28" s="12" t="str">
        <x:v>PASS</x:v>
      </x:c>
      <x:c r="Q28" s="12" t="str">
        <x:v>URL returned in web verification and was matched to Marriott/MAR, the exact event or directly relevant pre-event catalyst, publication date, timing window, and source-origin rule.</x:v>
      </x:c>
    </x:row>
    <x:row r="29">
      <x:c r="A29" s="12" t="str">
        <x:v>2018-08-06</x:v>
      </x:c>
      <x:c r="B29" s="12" t="str">
        <x:v>MAR</x:v>
      </x:c>
      <x:c r="C29" s="12" t="str">
        <x:v>prior</x:v>
      </x:c>
      <x:c r="D29" s="12" t="str">
        <x:v>2018-05-08</x:v>
      </x:c>
      <x:c r="E29" s="12" t="n">
        <x:v>-90</x:v>
      </x:c>
      <x:c r="F29" s="12" t="str">
        <x:v>Marriott International</x:v>
      </x:c>
      <x:c r="G29" s="12" t="str">
        <x:v>Marriott International Reports First Quarter 2018 Results</x:v>
      </x:c>
      <x:c r="H29" s="12" t="str">
        <x:v>https://marriott.gcs-web.com/node/27566</x:v>
      </x:c>
      <x:c r="I29" s="12" t="str">
        <x:v>WEB_VERIFIED</x:v>
      </x:c>
      <x:c r="J29" s="12" t="str">
        <x:v>PASS</x:v>
      </x:c>
      <x:c r="K29" s="12" t="str">
        <x:v>PASS</x:v>
      </x:c>
      <x:c r="L29" s="12" t="str">
        <x:v>PASS</x:v>
      </x:c>
      <x:c r="M29" s="12" t="str">
        <x:v>NO</x:v>
      </x:c>
      <x:c r="N29" s="12" t="str">
        <x:v>PASS</x:v>
      </x:c>
      <x:c r="O29" s="12" t="str">
        <x:v>FACTUAL</x:v>
      </x:c>
      <x:c r="P29" s="12" t="str">
        <x:v>PASS</x:v>
      </x:c>
      <x:c r="Q29" s="12" t="str">
        <x:v>URL returned in web verification and was matched to Marriott/MAR, the exact event or directly relevant pre-event catalyst, publication date, timing window, and source-origin rule.</x:v>
      </x:c>
    </x:row>
    <x:row r="30">
      <x:c r="A30" s="12" t="str">
        <x:v>2018-08-06</x:v>
      </x:c>
      <x:c r="B30" s="12" t="str">
        <x:v>MAR</x:v>
      </x:c>
      <x:c r="C30" s="12" t="str">
        <x:v>release</x:v>
      </x:c>
      <x:c r="D30" s="12" t="str">
        <x:v>2018-08-06</x:v>
      </x:c>
      <x:c r="E30" s="12" t="n">
        <x:v>0</x:v>
      </x:c>
      <x:c r="F30" s="12" t="str">
        <x:v>Marriott International</x:v>
      </x:c>
      <x:c r="G30" s="12" t="str">
        <x:v>Marriott International Reports Second Quarter 2018 Results</x:v>
      </x:c>
      <x:c r="H30" s="12" t="str">
        <x:v>https://marriott.gcs-web.com/node/27911/pdf</x:v>
      </x:c>
      <x:c r="I30" s="12" t="str">
        <x:v>WEB_VERIFIED</x:v>
      </x:c>
      <x:c r="J30" s="12" t="str">
        <x:v>PASS</x:v>
      </x:c>
      <x:c r="K30" s="12" t="str">
        <x:v>PASS</x:v>
      </x:c>
      <x:c r="L30" s="12" t="str">
        <x:v>PASS</x:v>
      </x:c>
      <x:c r="M30" s="12" t="str">
        <x:v>NO</x:v>
      </x:c>
      <x:c r="N30" s="12" t="str">
        <x:v>PASS</x:v>
      </x:c>
      <x:c r="O30" s="12" t="str">
        <x:v>FACTUAL</x:v>
      </x:c>
      <x:c r="P30" s="12" t="str">
        <x:v>PASS</x:v>
      </x:c>
      <x:c r="Q30" s="12" t="str">
        <x:v>URL returned in web verification and was matched to Marriott/MAR, the exact event or directly relevant pre-event catalyst, publication date, timing window, and source-origin rule.</x:v>
      </x:c>
    </x:row>
    <x:row r="31">
      <x:c r="A31" s="12" t="str">
        <x:v>2018-08-06</x:v>
      </x:c>
      <x:c r="B31" s="12" t="str">
        <x:v>MAR</x:v>
      </x:c>
      <x:c r="C31" s="12" t="str">
        <x:v>reaction</x:v>
      </x:c>
      <x:c r="D31" s="12" t="str">
        <x:v>2018-08-06</x:v>
      </x:c>
      <x:c r="E31" s="12" t="n">
        <x:v>0</x:v>
      </x:c>
      <x:c r="F31" s="12" t="str">
        <x:v>The Motley Fool</x:v>
      </x:c>
      <x:c r="G31" s="12" t="str">
        <x:v>This Milestone Moment Could Vault Marriott Higher</x:v>
      </x:c>
      <x:c r="H31" s="12" t="str">
        <x:v>https://www.fool.com/investing/2018/08/06/this-milestone-moment-could-vault-marriott-higher.aspx</x:v>
      </x:c>
      <x:c r="I31" s="12" t="str">
        <x:v>WEB_VERIFIED</x:v>
      </x:c>
      <x:c r="J31" s="12" t="str">
        <x:v>PASS</x:v>
      </x:c>
      <x:c r="K31" s="12" t="str">
        <x:v>PASS</x:v>
      </x:c>
      <x:c r="L31" s="12" t="str">
        <x:v>PASS</x:v>
      </x:c>
      <x:c r="M31" s="12" t="str">
        <x:v>NO</x:v>
      </x:c>
      <x:c r="N31" s="12" t="str">
        <x:v>PASS</x:v>
      </x:c>
      <x:c r="O31" s="12" t="str">
        <x:v>CONTEMPORANEOUS_ATTRIBUTION</x:v>
      </x:c>
      <x:c r="P31" s="12" t="str">
        <x:v>PASS</x:v>
      </x:c>
      <x:c r="Q31" s="12" t="str">
        <x:v>URL returned in web verification and was matched to Marriott/MAR, the exact event or directly relevant pre-event catalyst, publication date, timing window, and source-origin rule.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2016-04-27</x:v>
      </x:c>
      <x:c r="B2" t="str">
        <x:v>MAR</x:v>
      </x:c>
      <x:c r="C2" s="20" t="n">
        <x:v>2.24</x:v>
      </x:c>
      <x:c r="D2" s="20" t="n">
        <x:v>1.67</x:v>
      </x:c>
      <x:c r="E2" t="str">
        <x:v>ret_1daypost_pct</x:v>
      </x:c>
      <x:c r="F2" t="str">
        <x:f>IF(D2&gt;0.1,"UP",IF(D2&lt;-0.1,"DOWN","FLAT"))</x:f>
        <x:v>UP</x:v>
      </x:c>
      <x:c r="G2" t="str">
        <x:v>UP</x:v>
      </x:c>
      <x:c r="H2" t="str">
        <x:f>IF(F2=G2,"PASS","FAIL")</x:f>
        <x:v>PASS</x:v>
      </x:c>
      <x:c r="I2" t="n">
        <x:v>3</x:v>
      </x:c>
      <x:c r="J2" t="n">
        <x:f>COUNTIFS('Source Audit'!$A:$A,A2,'Source Audit'!$P:$P,"PASS")</x:f>
        <x:v>3</x:v>
      </x:c>
      <x:c r="K2" t="str">
        <x:f>IF(AND(H2="PASS",J2=I2),"PASS","FAIL")</x:f>
        <x:v>PASS</x:v>
      </x:c>
    </x:row>
    <x:row r="3">
      <x:c r="A3" t="str">
        <x:v>2016-07-27</x:v>
      </x:c>
      <x:c r="B3" t="str">
        <x:v>MAR</x:v>
      </x:c>
      <x:c r="C3" s="20" t="n">
        <x:v>-1.45</x:v>
      </x:c>
      <x:c r="D3" s="20" t="n">
        <x:v>1.24</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2016-11-07</x:v>
      </x:c>
      <x:c r="B4" t="str">
        <x:v>MAR</x:v>
      </x:c>
      <x:c r="C4" s="20" t="n">
        <x:v>0.05</x:v>
      </x:c>
      <x:c r="D4" s="20" t="n">
        <x:v>2.31</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2017-02-15</x:v>
      </x:c>
      <x:c r="B5" t="str">
        <x:v>MAR</x:v>
      </x:c>
      <x:c r="C5" s="20" t="n">
        <x:v>1.31</x:v>
      </x:c>
      <x:c r="D5" s="20" t="n">
        <x:v>0.1</x:v>
      </x:c>
      <x:c r="E5" t="str">
        <x:v>ret_1daypost_pct</x:v>
      </x:c>
      <x:c r="F5" t="str">
        <x:f>IF(D5&gt;0.1,"UP",IF(D5&lt;-0.1,"DOWN","FLAT"))</x:f>
        <x:v>FLAT</x:v>
      </x:c>
      <x:c r="G5" t="str">
        <x:v>FLAT</x:v>
      </x:c>
      <x:c r="H5" t="str">
        <x:f>IF(F5=G5,"PASS","FAIL")</x:f>
        <x:v>PASS</x:v>
      </x:c>
      <x:c r="I5" t="n">
        <x:v>3</x:v>
      </x:c>
      <x:c r="J5" t="n">
        <x:f>COUNTIFS('Source Audit'!$A:$A,A5,'Source Audit'!$P:$P,"PASS")</x:f>
        <x:v>3</x:v>
      </x:c>
      <x:c r="K5" t="str">
        <x:f>IF(AND(H5="PASS",J5=I5),"PASS","FAIL")</x:f>
        <x:v>PASS</x:v>
      </x:c>
    </x:row>
    <x:row r="6">
      <x:c r="A6" t="str">
        <x:v>2017-05-08</x:v>
      </x:c>
      <x:c r="B6" t="str">
        <x:v>MAR</x:v>
      </x:c>
      <x:c r="C6" s="20" t="n">
        <x:v>-0.62</x:v>
      </x:c>
      <x:c r="D6" s="20" t="n">
        <x:v>6.46</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2017-08-07</x:v>
      </x:c>
      <x:c r="B7" t="str">
        <x:v>MAR</x:v>
      </x:c>
      <x:c r="C7" s="20" t="n">
        <x:v>0.95</x:v>
      </x:c>
      <x:c r="D7" s="20" t="n">
        <x:v>-1.81</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2017-11-07</x:v>
      </x:c>
      <x:c r="B8" t="str">
        <x:v>MAR</x:v>
      </x:c>
      <x:c r="C8" s="20" t="n">
        <x:v>-0.71</x:v>
      </x:c>
      <x:c r="D8" s="20" t="n">
        <x:v>-0.89</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2018-02-14</x:v>
      </x:c>
      <x:c r="B9" t="str">
        <x:v>MAR</x:v>
      </x:c>
      <x:c r="C9" s="20" t="n">
        <x:v>1.86</x:v>
      </x:c>
      <x:c r="D9" s="20" t="n">
        <x:v>-3.83</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2018-05-08</x:v>
      </x:c>
      <x:c r="B10" t="str">
        <x:v>MAR</x:v>
      </x:c>
      <x:c r="C10" s="20" t="n">
        <x:v>1.91</x:v>
      </x:c>
      <x:c r="D10" s="20" t="n">
        <x:v>-1.87</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2018-08-06</x:v>
      </x:c>
      <x:c r="B11" t="str">
        <x:v>MAR</x:v>
      </x:c>
      <x:c r="C11" s="20" t="n">
        <x:v>0.46</x:v>
      </x:c>
      <x:c r="D11" s="20" t="n">
        <x:v>-3.98</x:v>
      </x:c>
      <x:c r="E11" t="str">
        <x:v>ret_1daypost_pct</x:v>
      </x:c>
      <x:c r="F11" t="str">
        <x:f>IF(D11&gt;0.1,"UP",IF(D11&lt;-0.1,"DOWN","FLAT"))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MAR rebuilt from scratch under the corrected verification protocol.</x:v>
      </x:c>
    </x:row>
    <x:row r="3">
      <x:c r="A3" s="12" t="str">
        <x:v>Identity source</x:v>
      </x:c>
      <x:c r="B3" s="12" t="str">
        <x:v>Ticker/company, exact earnings dates and return fields come directly from group_observations.csv.</x:v>
      </x:c>
    </x:row>
    <x:row r="4">
      <x:c r="A4" s="12" t="str">
        <x:v>Reaction basis</x:v>
      </x:c>
      <x:c r="B4" s="12" t="str">
        <x:v>Marriott's sampled earnings releases were issued after the U.S. market close, generally around 5:00 p.m. ET, with calls the following morning. ret_1daypost_pct is therefore used for mechanical direction QA.</x:v>
      </x:c>
    </x:row>
    <x:row r="5">
      <x:c r="A5" s="12" t="str">
        <x:v>Narrative</x:v>
      </x:c>
      <x:c r="B5" s="12" t="str">
        <x:v>Short Prior Context, detailed Current Earnings Release, three concise event-specific Possible Drivers.</x:v>
      </x:c>
    </x:row>
    <x:row r="6">
      <x:c r="A6" s="12" t="str">
        <x:v>Sources</x:v>
      </x:c>
      <x:c r="B6" s="12" t="str">
        <x:v>Marriott Investor Relations anchors results. Reaction sources are exact contemporaneous open pages from Motley Fool or original Zacks/Investing.com coverage.</x:v>
      </x:c>
    </x:row>
    <x:row r="7">
      <x:c r="A7" s="12" t="str">
        <x:v>Timing</x:v>
      </x:c>
      <x:c r="B7" s="12" t="str">
        <x:v>Prior = -100..-1 days; release = day 0; reaction = day 0..+3.</x:v>
      </x:c>
    </x:row>
    <x:row r="8">
      <x:c r="A8" s="12" t="str">
        <x:v>Restrictions</x:v>
      </x:c>
      <x:c r="B8" s="12" t="str">
        <x:v>No WSJ, Reuters, Dow Jones, or MarketWatch-syndicated article is included. Reuters-syndicated coverage found during verification was deliberately excluded.</x:v>
      </x:c>
    </x:row>
    <x:row r="9">
      <x:c r="A9" s="12" t="str">
        <x:v>QA</x:v>
      </x:c>
      <x:c r="B9" s="12" t="str">
        <x:v>Event QA mechanically recomputes direction from ret_1daypost_pct and checks each event's exact PASS source count.</x:v>
      </x:c>
    </x:row>
  </x:sheetData>
  <x:pageMargins left="0.7" right="0.7" top="0.75" bottom="0.75" header="0.3" footer="0.3"/>
</x:worksheet>
</file>