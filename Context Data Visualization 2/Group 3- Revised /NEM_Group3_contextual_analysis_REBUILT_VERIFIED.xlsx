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06f9d32e254d36" /></Relationships>
</file>

<file path=xl/workbook.xml><?xml version="1.0" encoding="utf-8"?>
<x:workbook xmlns:x="http://schemas.openxmlformats.org/spreadsheetml/2006/main">
  <x:sheets>
    <x:sheet xmlns:r="http://schemas.openxmlformats.org/officeDocument/2006/relationships" name="NEM" sheetId="1" r:id="Rdf66bfea80174b6b"/>
    <x:sheet xmlns:r="http://schemas.openxmlformats.org/officeDocument/2006/relationships" name="Source Audit" sheetId="2" r:id="Rbf19d5cf462148ba"/>
    <x:sheet xmlns:r="http://schemas.openxmlformats.org/officeDocument/2006/relationships" name="Event QA" sheetId="3" r:id="R80d38a17c16d4961"/>
    <x:sheet xmlns:r="http://schemas.openxmlformats.org/officeDocument/2006/relationships" name="Methodology" sheetId="4" r:id="Rcc583ca0201b404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b72167ab64460d" /><Relationship Type="http://schemas.openxmlformats.org/officeDocument/2006/relationships/theme" Target="/xl/theme/theme1.xml" Id="R5605d209f66c42e2" /><Relationship Type="http://schemas.openxmlformats.org/officeDocument/2006/relationships/sharedStrings" Target="/xl/sharedStrings.xml" Id="R619888e5a2244e25" /><Relationship Type="http://schemas.openxmlformats.org/officeDocument/2006/relationships/worksheet" Target="/xl/worksheets/sheet1.xml" Id="Rdf66bfea80174b6b" /><Relationship Type="http://schemas.openxmlformats.org/officeDocument/2006/relationships/worksheet" Target="/xl/worksheets/sheet2.xml" Id="Rbf19d5cf462148ba" /><Relationship Type="http://schemas.openxmlformats.org/officeDocument/2006/relationships/worksheet" Target="/xl/worksheets/sheet3.xml" Id="R80d38a17c16d4961" /><Relationship Type="http://schemas.openxmlformats.org/officeDocument/2006/relationships/worksheet" Target="/xl/worksheets/sheet4.xml" Id="Rcc583ca0201b404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6" hidden="0" customWidth="1"/>
    <x:col min="15" max="15" width="66" hidden="0" customWidth="1"/>
    <x:col min="16" max="16" width="70" hidden="0" customWidth="1"/>
    <x:col min="17" max="17" width="82"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50" customHeight="1">
      <x:c r="A2" s="15" t="n">
        <x:v>0</x:v>
      </x:c>
      <x:c r="B2" s="15" t="str">
        <x:v>NEM</x:v>
      </x:c>
      <x:c r="C2" s="15" t="str">
        <x:v>Newmont</x:v>
      </x:c>
      <x:c r="D2" s="15" t="str">
        <x:v>2016q2</x:v>
      </x:c>
      <x:c r="E2" s="15" t="str">
        <x:v>2016-04-20</x:v>
      </x:c>
      <x:c r="F2" s="18" t="n">
        <x:v>-1.61</x:v>
      </x:c>
      <x:c r="G2" s="18" t="n">
        <x:v>6.24</x:v>
      </x:c>
      <x:c r="H2" s="18" t="n">
        <x:v>4.53</x:v>
      </x:c>
      <x:c r="I2" s="18" t="n">
        <x:v>9.21</x:v>
      </x:c>
      <x:c r="J2" s="18" t="n">
        <x:v>5.64</x:v>
      </x:c>
      <x:c r="K2" s="15" t="str">
        <x:v>ret_1daypost_pct</x:v>
      </x:c>
      <x:c r="L2" s="15" t="str">
        <x:v>UP</x:v>
      </x:c>
      <x:c r="M2" s="15" t="str">
        <x:v>## Prior Context
Newmont entered Q1 with gold prices recovering from the late-2015 lows and with management focused on lowering costs, reducing leverage and advancing Merian, Long Canyon and Tanami. For a miner, the key distinction is between changes caused by gold prices and changes caused by company-specific production, cost and project execution.
### Verified prior source
None — no source was added solely to satisfy a source-count target.
## Current Earnings Release
Newmont reported **adjusted net income of $182 million, or $0.34 per share**, adjusted EBITDA of **$803 million**, operating cash flow of **$524 million** and free cash flow of **$227 million**. Attributable gold production was about **1.23 million ounces**. Gold CAS fell to roughly **$638/oz** and AISC to **$828/oz**, improving from the prior-year period.
Revenue was roughly flat near $2.0 billion because a lower realized gold price offset stronger operating performance. Management also improved the 2016 cost outlook and maintained production guidance of roughly **4.8–5.3 million ounces**. Merian was about 80% complete and major growth projects were progressing, so the release combined a near-term earnings beat with improving cost and project execution.
### Verified release source
2016-04-20 | Newmont | Newmont Announces First Quarter Operating and Financial Results | https://s24.q4cdn.com/382246808/files/document_library/Q1-2016-Earnings-Release_Final.pdf
## Possible Drivers
**First-order driver.** The post-release rise was supported by better-than-expected earnings and lower gold costs.
**Second-order driver.** Strong free cash flow and improved cost guidance strengthened the balance-sheet story.
**Third-order driver.** Merian and other projects reduced concern that lower costs were being achieved by sacrificing future production.
### Verified reaction source
2016-04-21 | The Motley Fool | Copper Puts a Shine on Newmont Mining Corp.'s Earnings | https://www.fool.com/investing/general/2016/04/21/copper-puts-a-shine-on-newmont-mining-corps-earnin.aspx
## Verification Status
Sources were checked for Newmont/NEM identity, the correct earnings event, publication date, timing window and source origin. The reaction basis is **ret_1daypost_pct** because the release timing for this event was after the market close. No WSJ, Reuters, Dow Jones or MarketWatch-syndicated article is included.
</x:v>
      </x:c>
      <x:c r="N2" s="15" t="str">
        <x:v>None — no source was added solely to satisfy a source-count target.</x:v>
      </x:c>
      <x:c r="O2" s="15" t="str">
        <x:v>2016-04-20 | Newmont | Newmont Announces First Quarter Operating and Financial Results | https://s24.q4cdn.com/382246808/files/document_library/Q1-2016-Earnings-Release_Final.pdf</x:v>
      </x:c>
      <x:c r="P2" s="15" t="str">
        <x:v>2016-04-21 | The Motley Fool | Copper Puts a Shine on Newmont Mining Corp.'s Earnings | https://www.fool.com/investing/general/2016/04/21/copper-puts-a-shine-on-newmont-mining-corps-earnin.aspx</x:v>
      </x:c>
      <x:c r="Q2" s="15" t="str">
        <x:v>2016-04-20 | Newmont | Newmont Announces First Quarter Operating and Financial Results | https://s24.q4cdn.com/382246808/files/document_library/Q1-2016-Earnings-Release_Final.pdf
2016-04-21 | The Motley Fool | Copper Puts a Shine on Newmont Mining Corp.'s Earnings | https://www.fool.com/investing/general/2016/04/21/copper-puts-a-shine-on-newmont-mining-corps-earnin.aspx</x:v>
      </x:c>
      <x:c r="R2" s="15" t="n">
        <x:v>2</x:v>
      </x:c>
      <x:c r="S2" s="15" t="str">
        <x:v>PASS</x:v>
      </x:c>
    </x:row>
    <x:row r="3" ht="350" customHeight="1">
      <x:c r="A3" s="15" t="n">
        <x:v>1</x:v>
      </x:c>
      <x:c r="B3" s="15" t="str">
        <x:v>NEM</x:v>
      </x:c>
      <x:c r="C3" s="15" t="str">
        <x:v>Newmont</x:v>
      </x:c>
      <x:c r="D3" s="15" t="str">
        <x:v>2016q3</x:v>
      </x:c>
      <x:c r="E3" s="15" t="str">
        <x:v>2016-07-20</x:v>
      </x:c>
      <x:c r="F3" s="18" t="n">
        <x:v>-5.54</x:v>
      </x:c>
      <x:c r="G3" s="18" t="n">
        <x:v>3.46</x:v>
      </x:c>
      <x:c r="H3" s="18" t="n">
        <x:v>-2.27</x:v>
      </x:c>
      <x:c r="I3" s="18" t="n">
        <x:v>-2.6</x:v>
      </x:c>
      <x:c r="J3" s="18" t="n">
        <x:v>-3.65</x:v>
      </x:c>
      <x:c r="K3" s="15" t="str">
        <x:v>ret_1daypost_pct</x:v>
      </x:c>
      <x:c r="L3" s="15" t="str">
        <x:v>UP</x:v>
      </x:c>
      <x:c r="M3" s="15" t="str">
        <x:v>## Prior Context
By Q2, investors were looking for continued cost discipline and free-cash-flow generation while gold prices had improved. The Batu Hijau divestiture also made portfolio simplification and debt reduction important parts of the thesis.
### Verified prior source
2016-04-20 | Newmont | Newmont Announces First Quarter Operating and Financial Results | https://s24.q4cdn.com/382246808/files/document_library/Q1-2016-Earnings-Release_Final.pdf
## Current Earnings Release
Newmont reported **adjusted net income of $231 million, or $0.44 per share**, adjusted EBITDA of **$804 million**, operating cash flow of **$780 million** and free cash flow of **$486 million**. Attributable gold production was about **1.3 million ounces**, with CAS around **$637/oz** and AISC around **$876/oz**.
The result beat contemporaneous earnings and revenue expectations. Management also improved its 2016 outlook and longer-term cost expectations while moving forward with the Batu Hijau sale and major growth projects. The quarter therefore improved both the operating and balance-sheet narratives.
### Verified release source
2016-07-20 | SEC / Newmont | Newmont Announces Second Quarter Operating and Financial Results | https://www.sec.gov/Archives/edgar/data/1164727/000115752316006130/a51385438ex99-1.htm
## Possible Drivers
**First-order driver.** Shares rose because both earnings and revenue beat expectations.
**Second-order driver.** Strong free cash flow and lower cost guidance improved the quality of the beat.
**Third-order driver.** The Batu Hijau sale reinforced deleveraging and portfolio simplification.
### Verified reaction source
2016-07-21 | TheStreet | Newmont Mining (NEM) Stock Climbs on Q2 Earnings, Revenue Beat | https://www.thestreet.com/markets/newmont-mining-nem-stock-climbs-on-q2-earnings-revenue-beat-13647761
## Verification Status
Sources were checked for Newmont/NEM identity, the correct earnings event, publication date, timing window and source origin. The reaction basis is **ret_1daypost_pct** because the release timing for this event was after the market close. No WSJ, Reuters, Dow Jones or MarketWatch-syndicated article is included.
</x:v>
      </x:c>
      <x:c r="N3" s="15" t="str">
        <x:v>2016-04-20 | Newmont | Newmont Announces First Quarter Operating and Financial Results | https://s24.q4cdn.com/382246808/files/document_library/Q1-2016-Earnings-Release_Final.pdf</x:v>
      </x:c>
      <x:c r="O3" s="15" t="str">
        <x:v>2016-07-20 | SEC / Newmont | Newmont Announces Second Quarter Operating and Financial Results | https://www.sec.gov/Archives/edgar/data/1164727/000115752316006130/a51385438ex99-1.htm</x:v>
      </x:c>
      <x:c r="P3" s="15" t="str">
        <x:v>2016-07-21 | TheStreet | Newmont Mining (NEM) Stock Climbs on Q2 Earnings, Revenue Beat | https://www.thestreet.com/markets/newmont-mining-nem-stock-climbs-on-q2-earnings-revenue-beat-13647761</x:v>
      </x:c>
      <x:c r="Q3" s="15" t="str">
        <x:v>2016-04-20 | Newmont | Newmont Announces First Quarter Operating and Financial Results | https://s24.q4cdn.com/382246808/files/document_library/Q1-2016-Earnings-Release_Final.pdf
2016-07-20 | SEC / Newmont | Newmont Announces Second Quarter Operating and Financial Results | https://www.sec.gov/Archives/edgar/data/1164727/000115752316006130/a51385438ex99-1.htm
2016-07-21 | TheStreet | Newmont Mining (NEM) Stock Climbs on Q2 Earnings, Revenue Beat | https://www.thestreet.com/markets/newmont-mining-nem-stock-climbs-on-q2-earnings-revenue-beat-13647761</x:v>
      </x:c>
      <x:c r="R3" s="15" t="n">
        <x:v>3</x:v>
      </x:c>
      <x:c r="S3" s="15" t="str">
        <x:v>PASS</x:v>
      </x:c>
    </x:row>
    <x:row r="4" ht="350" customHeight="1">
      <x:c r="A4" s="15" t="n">
        <x:v>2</x:v>
      </x:c>
      <x:c r="B4" s="15" t="str">
        <x:v>NEM</x:v>
      </x:c>
      <x:c r="C4" s="15" t="str">
        <x:v>Newmont</x:v>
      </x:c>
      <x:c r="D4" s="15" t="str">
        <x:v>2016q4</x:v>
      </x:c>
      <x:c r="E4" s="15" t="str">
        <x:v>2016-10-26</x:v>
      </x:c>
      <x:c r="F4" s="18" t="n">
        <x:v>-0.84</x:v>
      </x:c>
      <x:c r="G4" s="18" t="n">
        <x:v>-3.44</x:v>
      </x:c>
      <x:c r="H4" s="18" t="n">
        <x:v>-4.26</x:v>
      </x:c>
      <x:c r="I4" s="18" t="n">
        <x:v>-1.84</x:v>
      </x:c>
      <x:c r="J4" s="18" t="n">
        <x:v>4.73</x:v>
      </x:c>
      <x:c r="K4" s="15" t="str">
        <x:v>ret_1daypost_pct</x:v>
      </x:c>
      <x:c r="L4" s="15" t="str">
        <x:v>DOWN</x:v>
      </x:c>
      <x:c r="M4" s="15" t="str">
        <x:v>## Prior Context
Newmont entered Q3 after a strong first half, but the gold-equity sector had become more volatile as gold prices pulled back. Investors were watching whether Newmont could maintain cost discipline as new mines entered production.
### Verified prior source
2016-07-20 | SEC / Newmont | Newmont Announces Second Quarter Operating and Financial Results | https://www.sec.gov/Archives/edgar/data/1164727/000115752316006130/a51385438ex99-1.htm
## Current Earnings Release
Newmont reported **adjusted net income of $202 million, or $0.38 per share**, adjusted EBITDA of **$666 million**, operating cash flow of **$509 million** and free cash flow of **$240 million**. Production was about **1.25 million ounces**.
The less favorable part of the quarter was cost inflation: gold CAS increased to about **$706/oz** and AISC to roughly **$925/oz** from $645 and $879 a year earlier. At the same time, Merian reached commercial production on time and about $150 million below budget, Long Canyon was ahead of schedule, and Newmont doubled its quarterly dividend. The report was therefore mixed—good project execution and capital returns, but weaker unit-cost economics.
### Verified release source
2016-10-26 | Newmont | Newmont Announces Third Quarter Operating and Financial Results | https://s24.q4cdn.com/382246808/files/document_library/financial_earnings/Q3EarningsRls.Oct2016.pdf
## Possible Drivers
**First-order driver.** The post-release decline is best treated as a supported inference from higher CAS/AISC and a weaker gold-equity backdrop; no compliant source isolated one cause.
**Second-order driver.** Merian and Long Canyon execution were clear positives and limited the negative read-through.
**Third-order driver.** The dividend increase improved capital returns but did not offset concern about unit-cost pressure.
### Verified reaction source
2016-10-27 | TheStreet Pro | Base Metals Rise, Gold Equities 'Misbehave' | https://pro.thestreet.com/trade-ideas/base-metals-rise-gold-equities-misbehave
## Verification Status
Sources were checked for Newmont/NEM identity, the correct earnings event, publication date, timing window and source origin. The reaction basis is **ret_1daypost_pct** because the release timing for this event was after the market close. No WSJ, Reuters, Dow Jones or MarketWatch-syndicated article is included.
</x:v>
      </x:c>
      <x:c r="N4" s="15" t="str">
        <x:v>2016-07-20 | SEC / Newmont | Newmont Announces Second Quarter Operating and Financial Results | https://www.sec.gov/Archives/edgar/data/1164727/000115752316006130/a51385438ex99-1.htm</x:v>
      </x:c>
      <x:c r="O4" s="15" t="str">
        <x:v>2016-10-26 | Newmont | Newmont Announces Third Quarter Operating and Financial Results | https://s24.q4cdn.com/382246808/files/document_library/financial_earnings/Q3EarningsRls.Oct2016.pdf</x:v>
      </x:c>
      <x:c r="P4" s="15" t="str">
        <x:v>2016-10-27 | TheStreet Pro | Base Metals Rise, Gold Equities 'Misbehave' | https://pro.thestreet.com/trade-ideas/base-metals-rise-gold-equities-misbehave</x:v>
      </x:c>
      <x:c r="Q4" s="15" t="str">
        <x:v>2016-07-20 | SEC / Newmont | Newmont Announces Second Quarter Operating and Financial Results | https://www.sec.gov/Archives/edgar/data/1164727/000115752316006130/a51385438ex99-1.htm
2016-10-26 | Newmont | Newmont Announces Third Quarter Operating and Financial Results | https://s24.q4cdn.com/382246808/files/document_library/financial_earnings/Q3EarningsRls.Oct2016.pdf
2016-10-27 | TheStreet Pro | Base Metals Rise, Gold Equities 'Misbehave' | https://pro.thestreet.com/trade-ideas/base-metals-rise-gold-equities-misbehave</x:v>
      </x:c>
      <x:c r="R4" s="15" t="n">
        <x:v>3</x:v>
      </x:c>
      <x:c r="S4" s="15" t="str">
        <x:v>PASS</x:v>
      </x:c>
    </x:row>
    <x:row r="5" ht="350" customHeight="1">
      <x:c r="A5" s="15" t="n">
        <x:v>3</x:v>
      </x:c>
      <x:c r="B5" s="15" t="str">
        <x:v>NEM</x:v>
      </x:c>
      <x:c r="C5" s="15" t="str">
        <x:v>Newmont</x:v>
      </x:c>
      <x:c r="D5" s="15" t="str">
        <x:v>2017q1</x:v>
      </x:c>
      <x:c r="E5" s="15" t="str">
        <x:v>2017-02-21</x:v>
      </x:c>
      <x:c r="F5" s="18" t="n">
        <x:v>0.58</x:v>
      </x:c>
      <x:c r="G5" s="18" t="n">
        <x:v>-3.67</x:v>
      </x:c>
      <x:c r="H5" s="18" t="n">
        <x:v>-3.11</x:v>
      </x:c>
      <x:c r="I5" s="18" t="n">
        <x:v>-4.74</x:v>
      </x:c>
      <x:c r="J5" s="18" t="n">
        <x:v>-4.48</x:v>
      </x:c>
      <x:c r="K5" s="15" t="str">
        <x:v>ret_1daypost_pct</x:v>
      </x:c>
      <x:c r="L5" s="15" t="str">
        <x:v>DOWN</x:v>
      </x:c>
      <x:c r="M5" s="15" t="str">
        <x:v>## Prior Context
The year-end event followed substantial portfolio restructuring, including the Batu Hijau sale, and a difficult quarter for gold equities. Investors wanted evidence that the cleaner portfolio was translating into stronger normalized earnings and cash flow.
### Verified prior source
None — no source was added solely to satisfy a source-count target.
## Current Earnings Release
Newmont’s full-year numbers were strong, but the **fourth quarter was hit by higher closure and reclamation costs and a Yanacocha impairment**. Contemporaneous coverage cited adjusted Q4 EPS of about **$0.25**, below consensus near $0.33, with revenue around **$1.79 billion**.
For full-year 2016, adjusted net income was about **$619 million**, adjusted EBITDA roughly **$2.4 billion**, operating cash flow **$1.9 billion** and free cash flow approximately **$784 million**. The release therefore juxtaposed a healthier full-year financial profile with a weaker-than-expected final quarter driven by non-routine mine-closure and impairment charges.
### Verified release source
2017-02-21 | Newmont | Newmont Announces Full Year and Fourth Quarter 2016 Results | https://www.newmont.com/investors/news-release/news-details/2017/Newmont-Announces-Full-Year-and-Fourth-Quarter-2016-Results/default.aspx
## Possible Drivers
**First-order driver.** The post-release decline was tied to an adjusted EPS miss and unexpectedly high closure/impairment costs.
**Second-order driver.** Full-year cash flow and leverage improvement remained constructive despite the weak Q4.
**Third-order driver.** The market treated the quarter-specific charges as material enough to outweigh the broader portfolio cleanup.
### Verified reaction source
2017-02-21 | 24/7 Wall St. via Yahoo Finance | Newmont Earnings Hit by High Closure Costs, Impairment Charge | https://finance.yahoo.com/news/newmont-earnings-hit-high-closure-214431823.html
## Verification Status
Sources were checked for Newmont/NEM identity, the correct earnings event, publication date, timing window and source origin. The reaction basis is **ret_1daypost_pct** because the release timing for this event was after the market close. No WSJ, Reuters, Dow Jones or MarketWatch-syndicated article is included.
</x:v>
      </x:c>
      <x:c r="N5" s="15" t="str">
        <x:v>None — no source was added solely to satisfy a source-count target.</x:v>
      </x:c>
      <x:c r="O5" s="15" t="str">
        <x:v>2017-02-21 | Newmont | Newmont Announces Full Year and Fourth Quarter 2016 Results | https://www.newmont.com/investors/news-release/news-details/2017/Newmont-Announces-Full-Year-and-Fourth-Quarter-2016-Results/default.aspx</x:v>
      </x:c>
      <x:c r="P5" s="15" t="str">
        <x:v>2017-02-21 | 24/7 Wall St. via Yahoo Finance | Newmont Earnings Hit by High Closure Costs, Impairment Charge | https://finance.yahoo.com/news/newmont-earnings-hit-high-closure-214431823.html</x:v>
      </x:c>
      <x:c r="Q5" s="15" t="str">
        <x:v>2017-02-21 | Newmont | Newmont Announces Full Year and Fourth Quarter 2016 Results | https://www.newmont.com/investors/news-release/news-details/2017/Newmont-Announces-Full-Year-and-Fourth-Quarter-2016-Results/default.aspx
2017-02-21 | 24/7 Wall St. via Yahoo Finance | Newmont Earnings Hit by High Closure Costs, Impairment Charge | https://finance.yahoo.com/news/newmont-earnings-hit-high-closure-214431823.html</x:v>
      </x:c>
      <x:c r="R5" s="15" t="n">
        <x:v>2</x:v>
      </x:c>
      <x:c r="S5" s="15" t="str">
        <x:v>PASS</x:v>
      </x:c>
    </x:row>
    <x:row r="6" ht="350" customHeight="1">
      <x:c r="A6" s="15" t="n">
        <x:v>4</x:v>
      </x:c>
      <x:c r="B6" s="15" t="str">
        <x:v>NEM</x:v>
      </x:c>
      <x:c r="C6" s="15" t="str">
        <x:v>Newmont</x:v>
      </x:c>
      <x:c r="D6" s="15" t="str">
        <x:v>2017q2</x:v>
      </x:c>
      <x:c r="E6" s="15" t="str">
        <x:v>2017-04-24</x:v>
      </x:c>
      <x:c r="F6" s="18" t="n">
        <x:v>-2.31</x:v>
      </x:c>
      <x:c r="G6" s="18" t="n">
        <x:v>-3.03</x:v>
      </x:c>
      <x:c r="H6" s="18" t="n">
        <x:v>-5.26</x:v>
      </x:c>
      <x:c r="I6" s="18" t="n">
        <x:v>-3.7</x:v>
      </x:c>
      <x:c r="J6" s="18" t="n">
        <x:v>-3.63</x:v>
      </x:c>
      <x:c r="K6" s="15" t="str">
        <x:v>ret_1daypost_pct</x:v>
      </x:c>
      <x:c r="L6" s="15" t="str">
        <x:v>DOWN</x:v>
      </x:c>
      <x:c r="M6" s="15" t="str">
        <x:v>## Prior Context
After the Q4 disappointment, the question was whether Newmont’s core operations could re-establish growth as Merian and Long Canyon ramped. Gold-price moves remained an important external factor, so company-specific attribution requires caution.
### Verified prior source
2017-02-21 | Newmont | Newmont Announces Full Year and Fourth Quarter 2016 Results | https://www.newmont.com/investors/news-release/news-details/2017/Newmont-Announces-Full-Year-and-Fourth-Quarter-2016-Results/default.aspx
## Current Earnings Release
Newmont reported **adjusted net income of $133 million, or $0.25 per share**, adjusted EBITDA of **$566 million**, operating cash flow of **$379 million** and free cash flow of **$199 million**. Attributable gold production increased about **9% to 1.23 million ounces**.
CAS was roughly **$687/oz** and AISC about **$900/oz**. Operationally, the quarter benefited from new production at Merian and Long Canyon, while management continued funding Ahafo and other projects. The earnings release itself was reasonably solid, which makes the subsequent stock decline difficult to attribute confidently to one company-specific item.
### Verified release source
2017-04-24 | Newmont / Business Wire | Newmont Announces First Quarter 2017 Results | https://minelistings.com/mine-news/newmont-announces-first-quarter-2017-results/
## Possible Drivers
**First-order driver.** No compliant contemporaneous source was found that explicitly explains the decline; a cautious inference is that the market remained concerned about the capital/cost burden of the growth program.
**Second-order driver.** Higher production from new mines was a genuine operating positive.
**Third-order driver.** Because gold prices affect the entire sector, the move should not be assigned solely to Newmont’s earnings without stronger evidence.
### Verified reaction source
None — no compliant contemporaneous reaction article was located; causal language is explicitly labeled as inference.
## Verification Status
Sources were checked for Newmont/NEM identity, the correct earnings event, publication date, timing window and source origin. The reaction basis is **ret_1daypost_pct** because the release timing for this event was after the market close. No WSJ, Reuters, Dow Jones or MarketWatch-syndicated article is included.
</x:v>
      </x:c>
      <x:c r="N6" s="15" t="str">
        <x:v>2017-02-21 | Newmont | Newmont Announces Full Year and Fourth Quarter 2016 Results | https://www.newmont.com/investors/news-release/news-details/2017/Newmont-Announces-Full-Year-and-Fourth-Quarter-2016-Results/default.aspx</x:v>
      </x:c>
      <x:c r="O6" s="15" t="str">
        <x:v>2017-04-24 | Newmont / Business Wire | Newmont Announces First Quarter 2017 Results | https://minelistings.com/mine-news/newmont-announces-first-quarter-2017-results/</x:v>
      </x:c>
      <x:c r="P6" s="15" t="str">
        <x:v>None — no compliant contemporaneous reaction article was located; causal language is explicitly labeled as inference.</x:v>
      </x:c>
      <x:c r="Q6" s="15" t="str">
        <x:v>2017-02-21 | Newmont | Newmont Announces Full Year and Fourth Quarter 2016 Results | https://www.newmont.com/investors/news-release/news-details/2017/Newmont-Announces-Full-Year-and-Fourth-Quarter-2016-Results/default.aspx
2017-04-24 | Newmont / Business Wire | Newmont Announces First Quarter 2017 Results | https://minelistings.com/mine-news/newmont-announces-first-quarter-2017-results/</x:v>
      </x:c>
      <x:c r="R6" s="15" t="n">
        <x:v>2</x:v>
      </x:c>
      <x:c r="S6" s="15" t="str">
        <x:v>PASS</x:v>
      </x:c>
    </x:row>
    <x:row r="7" ht="350" customHeight="1">
      <x:c r="A7" s="15" t="n">
        <x:v>5</x:v>
      </x:c>
      <x:c r="B7" s="15" t="str">
        <x:v>NEM</x:v>
      </x:c>
      <x:c r="C7" s="15" t="str">
        <x:v>Newmont</x:v>
      </x:c>
      <x:c r="D7" s="15" t="str">
        <x:v>2017q3</x:v>
      </x:c>
      <x:c r="E7" s="15" t="str">
        <x:v>2017-07-25</x:v>
      </x:c>
      <x:c r="F7" s="18" t="n">
        <x:v>6.56</x:v>
      </x:c>
      <x:c r="G7" s="18" t="n">
        <x:v>2</x:v>
      </x:c>
      <x:c r="H7" s="18" t="n">
        <x:v>8.68</x:v>
      </x:c>
      <x:c r="I7" s="18" t="n">
        <x:v>7.15</x:v>
      </x:c>
      <x:c r="J7" s="18" t="n">
        <x:v>7.78</x:v>
      </x:c>
      <x:c r="K7" s="15" t="str">
        <x:v>ret_1day_pct</x:v>
      </x:c>
      <x:c r="L7" s="15" t="str">
        <x:v>UP</x:v>
      </x:c>
      <x:c r="M7" s="15" t="str">
        <x:v>## Prior Context
By Q2, the Merian and Long Canyon ramps were visible in production, while investors wanted proof that higher volumes would also improve unit costs and free cash flow.
### Verified prior source
2017-04-24 | Newmont / Business Wire | Newmont Announces First Quarter 2017 Results | https://minelistings.com/mine-news/newmont-announces-first-quarter-2017-results/
## Current Earnings Release
Newmont reported **adjusted net income of $248 million, or $0.46 per share**, adjusted EBITDA of **$698 million**, operating cash flow of **$529 million** and free cash flow of **$346 million**. Attributable gold production increased **13% to about 1.4 million ounces**.
The quality of the quarter was especially strong: CAS was about **$664/oz**, AISC improved to approximately **$884/oz**, and management raised the lower end of its production outlook while improving cost and capital expectations. This was a volume-and-cost beat rather than a result driven only by the gold price.
### Verified release source
2017-07-25 | SEC / Newmont | Newmont Announces Second Quarter 2017 Results | https://www.sec.gov/Archives/edgar/data/1164727/000115752317002051/a51595059ex99_1.htm
## Possible Drivers
**First-order driver.** The same-day surge reflected a clear earnings/revenue beat plus improved production and cost guidance.
**Second-order driver.** Higher output and lower AISC showed that the new-mine ramp was producing operating leverage.
**Third-order driver.** Strong free cash flow made the growth more valuable because it was not consuming the balance sheet.
### Verified reaction source
2017-07-25 | Zacks / Investing.com archive | Newmont (NEM) Beats Earnings And Revenue Estimates In Q2 | https://www.investing.com/equities/newmont-mining-opinion/50
## Verification Status
Sources were checked for Newmont/NEM identity, the correct earnings event, publication date, timing window and source origin. The reaction basis is **ret_1day_pct** because the release timing for this event was before the market open. No WSJ, Reuters, Dow Jones or MarketWatch-syndicated article is included.
</x:v>
      </x:c>
      <x:c r="N7" s="15" t="str">
        <x:v>2017-04-24 | Newmont / Business Wire | Newmont Announces First Quarter 2017 Results | https://minelistings.com/mine-news/newmont-announces-first-quarter-2017-results/</x:v>
      </x:c>
      <x:c r="O7" s="15" t="str">
        <x:v>2017-07-25 | SEC / Newmont | Newmont Announces Second Quarter 2017 Results | https://www.sec.gov/Archives/edgar/data/1164727/000115752317002051/a51595059ex99_1.htm</x:v>
      </x:c>
      <x:c r="P7" s="15" t="str">
        <x:v>2017-07-25 | Zacks / Investing.com archive | Newmont (NEM) Beats Earnings And Revenue Estimates In Q2 | https://www.investing.com/equities/newmont-mining-opinion/50</x:v>
      </x:c>
      <x:c r="Q7" s="15" t="str">
        <x:v>2017-04-24 | Newmont / Business Wire | Newmont Announces First Quarter 2017 Results | https://minelistings.com/mine-news/newmont-announces-first-quarter-2017-results/
2017-07-25 | SEC / Newmont | Newmont Announces Second Quarter 2017 Results | https://www.sec.gov/Archives/edgar/data/1164727/000115752317002051/a51595059ex99_1.htm
2017-07-25 | Zacks / Investing.com archive | Newmont (NEM) Beats Earnings And Revenue Estimates In Q2 | https://www.investing.com/equities/newmont-mining-opinion/50</x:v>
      </x:c>
      <x:c r="R7" s="15" t="n">
        <x:v>3</x:v>
      </x:c>
      <x:c r="S7" s="15" t="str">
        <x:v>PASS</x:v>
      </x:c>
    </x:row>
    <x:row r="8" ht="350" customHeight="1">
      <x:c r="A8" s="15" t="n">
        <x:v>6</x:v>
      </x:c>
      <x:c r="B8" s="15" t="str">
        <x:v>NEM</x:v>
      </x:c>
      <x:c r="C8" s="15" t="str">
        <x:v>Newmont</x:v>
      </x:c>
      <x:c r="D8" s="15" t="str">
        <x:v>2017q4</x:v>
      </x:c>
      <x:c r="E8" s="15" t="str">
        <x:v>2017-10-26</x:v>
      </x:c>
      <x:c r="F8" s="18" t="n">
        <x:v>-2.71</x:v>
      </x:c>
      <x:c r="G8" s="18" t="n">
        <x:v>-0.79</x:v>
      </x:c>
      <x:c r="H8" s="18" t="n">
        <x:v>-3.47</x:v>
      </x:c>
      <x:c r="I8" s="18" t="n">
        <x:v>-3.94</x:v>
      </x:c>
      <x:c r="J8" s="18" t="n">
        <x:v>-2.85</x:v>
      </x:c>
      <x:c r="K8" s="15" t="str">
        <x:v>ret_1day_pct</x:v>
      </x:c>
      <x:c r="L8" s="15" t="str">
        <x:v>DOWN</x:v>
      </x:c>
      <x:c r="M8" s="15" t="str">
        <x:v>## Prior Context
Newmont had just delivered a very strong Q2, so expectations for production and costs were elevated. The quarter also occurred against a less favorable realized-gold-price backdrop.
### Verified prior source
2017-07-25 | SEC / Newmont | Newmont Announces Second Quarter 2017 Results | https://www.sec.gov/Archives/edgar/data/1164727/000115752317002051/a51595059ex99_1.htm
## Current Earnings Release
Newmont reported **adjusted net income of $183 million, or $0.35 per share**, adjusted EBITDA of **$653 million**, operating cash flow of **$688 million** and free cash flow of **$494 million**. Production increased about **7% to 1.3 million ounces**.
However, CAS increased to roughly **$721/oz** and AISC to about **$943/oz**, while the realized gold price was approximately **$1,276/oz**, down about 4%. Management maintained full-year guidance rather than materially raising it. The quarter therefore combined strong cash generation and production with noticeably weaker unit economics.
### Verified release source
2017-10-26 | SEC / Newmont | Newmont Announces Third Quarter 2017 Results | https://www.sec.gov/Archives/edgar/data/1164727/000115752317002806/a51705675_ex991.htm
## Possible Drivers
**First-order driver.** With no compliant reaction source isolating causality, the most supported inference is that higher CAS/AISC and a lower realized gold price drove the negative read-through.
**Second-order driver.** Strong production and free cash flow softened the disappointment.
**Third-order driver.** Merely maintaining guidance after a very strong prior quarter offered limited incremental upside.
### Verified reaction source
None — no compliant contemporaneous reaction article was located; causal language is explicitly labeled as inference.
## Verification Status
Sources were checked for Newmont/NEM identity, the correct earnings event, publication date, timing window and source origin. The reaction basis is **ret_1day_pct** because the release timing for this event was before the market open. No WSJ, Reuters, Dow Jones or MarketWatch-syndicated article is included.
</x:v>
      </x:c>
      <x:c r="N8" s="15" t="str">
        <x:v>2017-07-25 | SEC / Newmont | Newmont Announces Second Quarter 2017 Results | https://www.sec.gov/Archives/edgar/data/1164727/000115752317002051/a51595059ex99_1.htm</x:v>
      </x:c>
      <x:c r="O8" s="15" t="str">
        <x:v>2017-10-26 | SEC / Newmont | Newmont Announces Third Quarter 2017 Results | https://www.sec.gov/Archives/edgar/data/1164727/000115752317002806/a51705675_ex991.htm</x:v>
      </x:c>
      <x:c r="P8" s="15" t="str">
        <x:v>None — no compliant contemporaneous reaction article was located; causal language is explicitly labeled as inference.</x:v>
      </x:c>
      <x:c r="Q8" s="15" t="str">
        <x:v>2017-07-25 | SEC / Newmont | Newmont Announces Second Quarter 2017 Results | https://www.sec.gov/Archives/edgar/data/1164727/000115752317002051/a51595059ex99_1.htm
2017-10-26 | SEC / Newmont | Newmont Announces Third Quarter 2017 Results | https://www.sec.gov/Archives/edgar/data/1164727/000115752317002806/a51705675_ex991.htm</x:v>
      </x:c>
      <x:c r="R8" s="15" t="n">
        <x:v>2</x:v>
      </x:c>
      <x:c r="S8" s="15" t="str">
        <x:v>PASS</x:v>
      </x:c>
    </x:row>
    <x:row r="9" ht="350" customHeight="1">
      <x:c r="A9" s="15" t="n">
        <x:v>7</x:v>
      </x:c>
      <x:c r="B9" s="15" t="str">
        <x:v>NEM</x:v>
      </x:c>
      <x:c r="C9" s="15" t="str">
        <x:v>Newmont</x:v>
      </x:c>
      <x:c r="D9" s="15" t="str">
        <x:v>2018q1</x:v>
      </x:c>
      <x:c r="E9" s="15" t="str">
        <x:v>2018-02-22</x:v>
      </x:c>
      <x:c r="F9" s="18" t="n">
        <x:v>-1.41</x:v>
      </x:c>
      <x:c r="G9" s="18" t="n">
        <x:v>1.35</x:v>
      </x:c>
      <x:c r="H9" s="18" t="n">
        <x:v>-0.08</x:v>
      </x:c>
      <x:c r="I9" s="18" t="n">
        <x:v>-0.24</x:v>
      </x:c>
      <x:c r="J9" s="18" t="n">
        <x:v>-0.6</x:v>
      </x:c>
      <x:c r="K9" s="15" t="str">
        <x:v>ret_1day_pct</x:v>
      </x:c>
      <x:c r="L9" s="15" t="str">
        <x:v>DOWN</x:v>
      </x:c>
      <x:c r="M9" s="15" t="str">
        <x:v>## Prior Context
Newmont entered the year with materially lower leverage and strong 2017 free cash flow. Investors were looking for confirmation that the improved balance sheet and project portfolio could sustain returns even if gold prices were not rising sharply.
### Verified prior source
2018-01-11 | Newmont | Newmont Announces Full Year and Fourth Quarter 2017 Earnings Call | https://www.newmont.com/investors/news-release/news-details/2018/Newmont-Announces-Full-Year-and-Fourth-Quarter-2017-Earnings-Call/default.aspx
## Current Earnings Release
For full-year 2017, Newmont reported **adjusted net income of $780 million**, adjusted EBITDA of **$2.7 billion**, operating cash flow of **$2.4 billion** and free cash flow of roughly **$1.5 billion**, an 88% increase. Q4 adjusted net income was about **$216 million, or $0.40 per share**.
Q4 revenue was roughly **$1.94 billion**, up year over year but slightly below the Zacks estimate cited in contemporaneous coverage, while adjusted EPS was essentially in line. GAAP results were distorted by U.S. tax-reform charges. The underlying annual financial position was strong, but the formal quarter contained little upside relative to expectations.
### Verified release source
2018-02-22 | Newmont | Newmont Announces Full Year and Fourth Quarter 2017 Results | https://www.newmont.com/investors/news-release/news-details/2018/Newmont-Announces-Full-Year-and-Fourth-Quarter-2017-Results/default.aspx
## Possible Drivers
**First-order driver.** The modest decline reflected an in-line earnings result and a small revenue miss rather than an operating collapse.
**Second-order driver.** Very strong full-year free cash flow and lower leverage supported the longer-term thesis.
**Third-order driver.** Tax-reform accounting noise made GAAP earnings less informative than adjusted results.
### Verified reaction source
2018-02-23 | Zacks / Investing.com | Is Pain In Store For Gold Mining ETFs On Muted Earnings? | https://www.investing.com/analysis/is-pain-in-store-for-gold-mining-etfs-on-muted-earnings-200293775
## Verification Status
Sources were checked for Newmont/NEM identity, the correct earnings event, publication date, timing window and source origin. The reaction basis is **ret_1day_pct** because the release timing for this event was before the market open. No WSJ, Reuters, Dow Jones or MarketWatch-syndicated article is included.
</x:v>
      </x:c>
      <x:c r="N9" s="15" t="str">
        <x:v>2018-01-11 | Newmont | Newmont Announces Full Year and Fourth Quarter 2017 Earnings Call | https://www.newmont.com/investors/news-release/news-details/2018/Newmont-Announces-Full-Year-and-Fourth-Quarter-2017-Earnings-Call/default.aspx</x:v>
      </x:c>
      <x:c r="O9" s="15" t="str">
        <x:v>2018-02-22 | Newmont | Newmont Announces Full Year and Fourth Quarter 2017 Results | https://www.newmont.com/investors/news-release/news-details/2018/Newmont-Announces-Full-Year-and-Fourth-Quarter-2017-Results/default.aspx</x:v>
      </x:c>
      <x:c r="P9" s="15" t="str">
        <x:v>2018-02-23 | Zacks / Investing.com | Is Pain In Store For Gold Mining ETFs On Muted Earnings? | https://www.investing.com/analysis/is-pain-in-store-for-gold-mining-etfs-on-muted-earnings-200293775</x:v>
      </x:c>
      <x:c r="Q9" s="15" t="str">
        <x:v>2018-01-11 | Newmont | Newmont Announces Full Year and Fourth Quarter 2017 Earnings Call | https://www.newmont.com/investors/news-release/news-details/2018/Newmont-Announces-Full-Year-and-Fourth-Quarter-2017-Earnings-Call/default.aspx
2018-02-22 | Newmont | Newmont Announces Full Year and Fourth Quarter 2017 Results | https://www.newmont.com/investors/news-release/news-details/2018/Newmont-Announces-Full-Year-and-Fourth-Quarter-2017-Results/default.aspx
2018-02-23 | Zacks / Investing.com | Is Pain In Store For Gold Mining ETFs On Muted Earnings? | https://www.investing.com/analysis/is-pain-in-store-for-gold-mining-etfs-on-muted-earnings-200293775</x:v>
      </x:c>
      <x:c r="R9" s="15" t="n">
        <x:v>3</x:v>
      </x:c>
      <x:c r="S9" s="15" t="str">
        <x:v>PASS</x:v>
      </x:c>
    </x:row>
    <x:row r="10" ht="350" customHeight="1">
      <x:c r="A10" s="15" t="n">
        <x:v>8</x:v>
      </x:c>
      <x:c r="B10" s="15" t="str">
        <x:v>NEM</x:v>
      </x:c>
      <x:c r="C10" s="15" t="str">
        <x:v>Newmont</x:v>
      </x:c>
      <x:c r="D10" s="15" t="str">
        <x:v>2018q2</x:v>
      </x:c>
      <x:c r="E10" s="15" t="str">
        <x:v>2018-04-26</x:v>
      </x:c>
      <x:c r="F10" s="18" t="n">
        <x:v>-0.28</x:v>
      </x:c>
      <x:c r="G10" s="18" t="n">
        <x:v>-0.34</x:v>
      </x:c>
      <x:c r="H10" s="18" t="n">
        <x:v>-0.62</x:v>
      </x:c>
      <x:c r="I10" s="18" t="n">
        <x:v>-1.98</x:v>
      </x:c>
      <x:c r="J10" s="18" t="n">
        <x:v>-4.95</x:v>
      </x:c>
      <x:c r="K10" s="15" t="str">
        <x:v>ret_1day_pct</x:v>
      </x:c>
      <x:c r="L10" s="15" t="str">
        <x:v>DOWN</x:v>
      </x:c>
      <x:c r="M10" s="15" t="str">
        <x:v>## Prior Context
After a strong 2017, investors were focused on whether Newmont could preserve cost discipline while several operations moved through different mine phases and capital projects continued.
### Verified prior source
2018-02-22 | Newmont | Newmont Announces Full Year and Fourth Quarter 2017 Results | https://www.newmont.com/investors/news-release/news-details/2018/Newmont-Announces-Full-Year-and-Fourth-Quarter-2017-Results/default.aspx
## Current Earnings Release
Newmont reported **adjusted net income of $185 million, or $0.35 per share**, up roughly 35%, and adjusted EBITDA of **$644 million**. Operating cash flow was **$266 million** and free cash flow only **$35 million**. Attributable gold production was about **1.21 million ounces**, down modestly.
The realized gold price improved to roughly **$1,326/oz**, but CAS rose about 7% and AISC about 8% to approximately **$973/oz**. Management maintained production, cost and capital guidance. The quarter was therefore mixed: higher gold prices and adjusted earnings were offset by weaker production, higher unit costs and much lower free cash flow.
### Verified release source
2018-04-26 | Newmont | Newmont Announces First Quarter 2018 Results | https://www.newmont.com/investors/news-release/news-details/2018/Newmont-Announces-First-Quarter-2018-Results/default.aspx
## Possible Drivers
**First-order driver.** The slight decline is best read as a mixed-quarter response: stronger earnings but weaker production, higher AISC and low free cash flow.
**Second-order driver.** A higher realized gold price supported revenue but masked some deterioration in mine-level costs.
**Third-order driver.** Unchanged guidance gave investors little reason to re-rate the stock after the mixed operating details.
### Verified reaction source
None — no compliant contemporaneous reaction article was located; causal language is explicitly labeled as inference.
## Verification Status
Sources were checked for Newmont/NEM identity, the correct earnings event, publication date, timing window and source origin. The reaction basis is **ret_1day_pct** because the release timing for this event was before the market open. No WSJ, Reuters, Dow Jones or MarketWatch-syndicated article is included.
</x:v>
      </x:c>
      <x:c r="N10" s="15" t="str">
        <x:v>2018-02-22 | Newmont | Newmont Announces Full Year and Fourth Quarter 2017 Results | https://www.newmont.com/investors/news-release/news-details/2018/Newmont-Announces-Full-Year-and-Fourth-Quarter-2017-Results/default.aspx</x:v>
      </x:c>
      <x:c r="O10" s="15" t="str">
        <x:v>2018-04-26 | Newmont | Newmont Announces First Quarter 2018 Results | https://www.newmont.com/investors/news-release/news-details/2018/Newmont-Announces-First-Quarter-2018-Results/default.aspx</x:v>
      </x:c>
      <x:c r="P10" s="15" t="str">
        <x:v>None — no compliant contemporaneous reaction article was located; causal language is explicitly labeled as inference.</x:v>
      </x:c>
      <x:c r="Q10" s="15" t="str">
        <x:v>2018-02-22 | Newmont | Newmont Announces Full Year and Fourth Quarter 2017 Results | https://www.newmont.com/investors/news-release/news-details/2018/Newmont-Announces-Full-Year-and-Fourth-Quarter-2017-Results/default.aspx
2018-04-26 | Newmont | Newmont Announces First Quarter 2018 Results | https://www.newmont.com/investors/news-release/news-details/2018/Newmont-Announces-First-Quarter-2018-Results/default.aspx</x:v>
      </x:c>
      <x:c r="R10" s="15" t="n">
        <x:v>2</x:v>
      </x:c>
      <x:c r="S10" s="15" t="str">
        <x:v>PASS</x:v>
      </x:c>
    </x:row>
    <x:row r="11" ht="350" customHeight="1">
      <x:c r="A11" s="15" t="n">
        <x:v>9</x:v>
      </x:c>
      <x:c r="B11" s="15" t="str">
        <x:v>NEM</x:v>
      </x:c>
      <x:c r="C11" s="15" t="str">
        <x:v>Newmont</x:v>
      </x:c>
      <x:c r="D11" s="15" t="str">
        <x:v>2018q3</x:v>
      </x:c>
      <x:c r="E11" s="15" t="str">
        <x:v>2018-07-26</x:v>
      </x:c>
      <x:c r="F11" s="18" t="n">
        <x:v>1.06</x:v>
      </x:c>
      <x:c r="G11" s="18" t="n">
        <x:v>-1.67</x:v>
      </x:c>
      <x:c r="H11" s="18" t="n">
        <x:v>-0.62</x:v>
      </x:c>
      <x:c r="I11" s="18" t="n">
        <x:v>-0.53</x:v>
      </x:c>
      <x:c r="J11" s="18" t="n">
        <x:v>-1.1</x:v>
      </x:c>
      <x:c r="K11" s="15" t="str">
        <x:v>ret_1day_pct</x:v>
      </x:c>
      <x:c r="L11" s="15" t="str">
        <x:v>UP</x:v>
      </x:c>
      <x:c r="M11" s="15" t="str">
        <x:v>## Prior Context
By Q2, the main question was whether Newmont could maintain full-year targets despite weaker production at several mines and higher industry cost pressure.
### Verified prior source
2018-04-26 | Newmont | Newmont Announces First Quarter 2018 Results | https://www.newmont.com/investors/news-release/news-details/2018/Newmont-Announces-First-Quarter-2018-Results/default.aspx
## Current Earnings Release
Newmont reported **adjusted net income of $144 million, or $0.26 per share**, down sharply year over year, with adjusted EBITDA of **$545 million**. Operating cash flow was **$401 million** and free cash flow **$143 million**. Gold production was about **1.16 million ounces** and AISC rose to roughly **$1,024/oz**.
Lower production at CC&amp;V, Boddington, Akyem and Twin Creeks weighed on adjusted profitability. GAAP income was helped by lower taxes, a royalty-sale gain and a higher gold price, so it overstated the strength of recurring operations. Importantly, management **maintained its full-year production and cost outlook**, indicating that much of the weakness was expected to reverse later in the year.
### Verified release source
2018-07-26 | Newmont | Newmont Announces Second Quarter 2018 Results | https://www.newmont.com/investors/news-release/news-details/2018/Newmont-Announces-Second-Quarter-2018-Results/default.aspx
## Possible Drivers
**First-order driver.** The modest positive reaction is a supported inference that maintaining full-year guidance reassured investors despite weaker adjusted earnings.
**Second-order driver.** Lower production and AISC above $1,000/oz limited enthusiasm.
**Third-order driver.** Stronger GAAP income included non-operating benefits, so adjusted profit and guidance were the more informative signals.
### Verified reaction source
None — no compliant contemporaneous reaction article was located; causal language is explicitly labeled as inference.
## Verification Status
Sources were checked for Newmont/NEM identity, the correct earnings event, publication date, timing window and source origin. The reaction basis is **ret_1day_pct** because the release timing for this event was before the market open. No WSJ, Reuters, Dow Jones or MarketWatch-syndicated article is included.
</x:v>
      </x:c>
      <x:c r="N11" s="15" t="str">
        <x:v>2018-04-26 | Newmont | Newmont Announces First Quarter 2018 Results | https://www.newmont.com/investors/news-release/news-details/2018/Newmont-Announces-First-Quarter-2018-Results/default.aspx</x:v>
      </x:c>
      <x:c r="O11" s="15" t="str">
        <x:v>2018-07-26 | Newmont | Newmont Announces Second Quarter 2018 Results | https://www.newmont.com/investors/news-release/news-details/2018/Newmont-Announces-Second-Quarter-2018-Results/default.aspx</x:v>
      </x:c>
      <x:c r="P11" s="15" t="str">
        <x:v>None — no compliant contemporaneous reaction article was located; causal language is explicitly labeled as inference.</x:v>
      </x:c>
      <x:c r="Q11" s="15" t="str">
        <x:v>2018-04-26 | Newmont | Newmont Announces First Quarter 2018 Results | https://www.newmont.com/investors/news-release/news-details/2018/Newmont-Announces-First-Quarter-2018-Results/default.aspx
2018-07-26 | Newmont | Newmont Announces Second Quarter 2018 Results | https://www.newmont.com/investors/news-release/news-details/2018/Newmont-Announces-Second-Quarter-2018-Results/default.aspx</x:v>
      </x:c>
      <x:c r="R11" s="15" t="n">
        <x:v>2</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6" hidden="0" customWidth="1"/>
    <x:col min="7" max="7" width="62" hidden="0" customWidth="1"/>
    <x:col min="8" max="8" width="92"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8"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2016-04-20</x:v>
      </x:c>
      <x:c r="B2" s="12" t="str">
        <x:v>NEM</x:v>
      </x:c>
      <x:c r="C2" s="12" t="str">
        <x:v>release</x:v>
      </x:c>
      <x:c r="D2" s="12" t="str">
        <x:v>2016-04-20</x:v>
      </x:c>
      <x:c r="E2" s="12" t="n">
        <x:v>0</x:v>
      </x:c>
      <x:c r="F2" s="12" t="str">
        <x:v>Newmont</x:v>
      </x:c>
      <x:c r="G2" s="12" t="str">
        <x:v>Newmont Announces First Quarter Operating and Financial Results</x:v>
      </x:c>
      <x:c r="H2" s="12" t="str">
        <x:v>https://s24.q4cdn.com/382246808/files/document_library/Q1-2016-Earnings-Release_Final.pdf</x:v>
      </x:c>
      <x:c r="I2" s="12" t="str">
        <x:v>VERIFIED</x:v>
      </x:c>
      <x:c r="J2" s="12" t="str">
        <x:v>PASS</x:v>
      </x:c>
      <x:c r="K2" s="12" t="str">
        <x:v>PASS</x:v>
      </x:c>
      <x:c r="L2" s="12" t="str">
        <x:v>PASS</x:v>
      </x:c>
      <x:c r="M2" s="12" t="str">
        <x:v>NO</x:v>
      </x:c>
      <x:c r="N2" s="12" t="str">
        <x:v>PASS</x:v>
      </x:c>
      <x:c r="O2" s="12" t="str">
        <x:v>FACTUAL</x:v>
      </x:c>
      <x:c r="P2" s="12" t="str">
        <x:v>PASS</x:v>
      </x:c>
      <x:c r="Q2" s="12" t="str">
        <x:v>Checked for Newmont/NEM identity, exact event, displayed source date, timing window and prohibited-source origin. No Reuters-derived article is included.</x:v>
      </x:c>
    </x:row>
    <x:row r="3">
      <x:c r="A3" s="12" t="str">
        <x:v>2016-04-20</x:v>
      </x:c>
      <x:c r="B3" s="12" t="str">
        <x:v>NEM</x:v>
      </x:c>
      <x:c r="C3" s="12" t="str">
        <x:v>reaction</x:v>
      </x:c>
      <x:c r="D3" s="12" t="str">
        <x:v>2016-04-21</x:v>
      </x:c>
      <x:c r="E3" s="12" t="n">
        <x:v>1</x:v>
      </x:c>
      <x:c r="F3" s="12" t="str">
        <x:v>The Motley Fool</x:v>
      </x:c>
      <x:c r="G3" s="12" t="str">
        <x:v>Copper Puts a Shine on Newmont Mining Corp.'s Earnings</x:v>
      </x:c>
      <x:c r="H3" s="12" t="str">
        <x:v>https://www.fool.com/investing/general/2016/04/21/copper-puts-a-shine-on-newmont-mining-corps-earnin.aspx</x:v>
      </x:c>
      <x:c r="I3" s="12" t="str">
        <x:v>VERIFIED</x:v>
      </x:c>
      <x:c r="J3" s="12" t="str">
        <x:v>PASS</x:v>
      </x:c>
      <x:c r="K3" s="12" t="str">
        <x:v>PASS</x:v>
      </x:c>
      <x:c r="L3" s="12" t="str">
        <x:v>PASS</x:v>
      </x:c>
      <x:c r="M3" s="12" t="str">
        <x:v>NO</x:v>
      </x:c>
      <x:c r="N3" s="12" t="str">
        <x:v>PASS</x:v>
      </x:c>
      <x:c r="O3" s="12" t="str">
        <x:v>EXPLICIT_OR_CONTEMPORANEOUS</x:v>
      </x:c>
      <x:c r="P3" s="12" t="str">
        <x:v>PASS</x:v>
      </x:c>
      <x:c r="Q3" s="12" t="str">
        <x:v>Checked for Newmont/NEM identity, exact event, displayed source date, timing window and prohibited-source origin. No Reuters-derived article is included.</x:v>
      </x:c>
    </x:row>
    <x:row r="4">
      <x:c r="A4" s="12" t="str">
        <x:v>2016-07-20</x:v>
      </x:c>
      <x:c r="B4" s="12" t="str">
        <x:v>NEM</x:v>
      </x:c>
      <x:c r="C4" s="12" t="str">
        <x:v>prior</x:v>
      </x:c>
      <x:c r="D4" s="12" t="str">
        <x:v>2016-04-20</x:v>
      </x:c>
      <x:c r="E4" s="12" t="n">
        <x:v>-91</x:v>
      </x:c>
      <x:c r="F4" s="12" t="str">
        <x:v>Newmont</x:v>
      </x:c>
      <x:c r="G4" s="12" t="str">
        <x:v>Newmont Announces First Quarter Operating and Financial Results</x:v>
      </x:c>
      <x:c r="H4" s="12" t="str">
        <x:v>https://s24.q4cdn.com/382246808/files/document_library/Q1-2016-Earnings-Release_Final.pdf</x:v>
      </x:c>
      <x:c r="I4" s="12" t="str">
        <x:v>VERIFIED</x:v>
      </x:c>
      <x:c r="J4" s="12" t="str">
        <x:v>PASS</x:v>
      </x:c>
      <x:c r="K4" s="12" t="str">
        <x:v>PASS</x:v>
      </x:c>
      <x:c r="L4" s="12" t="str">
        <x:v>PASS</x:v>
      </x:c>
      <x:c r="M4" s="12" t="str">
        <x:v>NO</x:v>
      </x:c>
      <x:c r="N4" s="12" t="str">
        <x:v>PASS</x:v>
      </x:c>
      <x:c r="O4" s="12" t="str">
        <x:v>FACTUAL</x:v>
      </x:c>
      <x:c r="P4" s="12" t="str">
        <x:v>PASS</x:v>
      </x:c>
      <x:c r="Q4" s="12" t="str">
        <x:v>Checked for Newmont/NEM identity, exact event, displayed source date, timing window and prohibited-source origin. No Reuters-derived article is included.</x:v>
      </x:c>
    </x:row>
    <x:row r="5">
      <x:c r="A5" s="12" t="str">
        <x:v>2016-07-20</x:v>
      </x:c>
      <x:c r="B5" s="12" t="str">
        <x:v>NEM</x:v>
      </x:c>
      <x:c r="C5" s="12" t="str">
        <x:v>release</x:v>
      </x:c>
      <x:c r="D5" s="12" t="str">
        <x:v>2016-07-20</x:v>
      </x:c>
      <x:c r="E5" s="12" t="n">
        <x:v>0</x:v>
      </x:c>
      <x:c r="F5" s="12" t="str">
        <x:v>SEC / Newmont</x:v>
      </x:c>
      <x:c r="G5" s="12" t="str">
        <x:v>Newmont Announces Second Quarter Operating and Financial Results</x:v>
      </x:c>
      <x:c r="H5" s="12" t="str">
        <x:v>https://www.sec.gov/Archives/edgar/data/1164727/000115752316006130/a51385438ex99-1.htm</x:v>
      </x:c>
      <x:c r="I5" s="12" t="str">
        <x:v>VERIFIED</x:v>
      </x:c>
      <x:c r="J5" s="12" t="str">
        <x:v>PASS</x:v>
      </x:c>
      <x:c r="K5" s="12" t="str">
        <x:v>PASS</x:v>
      </x:c>
      <x:c r="L5" s="12" t="str">
        <x:v>PASS</x:v>
      </x:c>
      <x:c r="M5" s="12" t="str">
        <x:v>NO</x:v>
      </x:c>
      <x:c r="N5" s="12" t="str">
        <x:v>PASS</x:v>
      </x:c>
      <x:c r="O5" s="12" t="str">
        <x:v>FACTUAL</x:v>
      </x:c>
      <x:c r="P5" s="12" t="str">
        <x:v>PASS</x:v>
      </x:c>
      <x:c r="Q5" s="12" t="str">
        <x:v>Checked for Newmont/NEM identity, exact event, displayed source date, timing window and prohibited-source origin. No Reuters-derived article is included.</x:v>
      </x:c>
    </x:row>
    <x:row r="6">
      <x:c r="A6" s="12" t="str">
        <x:v>2016-07-20</x:v>
      </x:c>
      <x:c r="B6" s="12" t="str">
        <x:v>NEM</x:v>
      </x:c>
      <x:c r="C6" s="12" t="str">
        <x:v>reaction</x:v>
      </x:c>
      <x:c r="D6" s="12" t="str">
        <x:v>2016-07-21</x:v>
      </x:c>
      <x:c r="E6" s="12" t="n">
        <x:v>1</x:v>
      </x:c>
      <x:c r="F6" s="12" t="str">
        <x:v>TheStreet</x:v>
      </x:c>
      <x:c r="G6" s="12" t="str">
        <x:v>Newmont Mining (NEM) Stock Climbs on Q2 Earnings, Revenue Beat</x:v>
      </x:c>
      <x:c r="H6" s="12" t="str">
        <x:v>https://www.thestreet.com/markets/newmont-mining-nem-stock-climbs-on-q2-earnings-revenue-beat-13647761</x:v>
      </x:c>
      <x:c r="I6" s="12" t="str">
        <x:v>VERIFIED</x:v>
      </x:c>
      <x:c r="J6" s="12" t="str">
        <x:v>PASS</x:v>
      </x:c>
      <x:c r="K6" s="12" t="str">
        <x:v>PASS</x:v>
      </x:c>
      <x:c r="L6" s="12" t="str">
        <x:v>PASS</x:v>
      </x:c>
      <x:c r="M6" s="12" t="str">
        <x:v>NO</x:v>
      </x:c>
      <x:c r="N6" s="12" t="str">
        <x:v>PASS</x:v>
      </x:c>
      <x:c r="O6" s="12" t="str">
        <x:v>EXPLICIT_OR_CONTEMPORANEOUS</x:v>
      </x:c>
      <x:c r="P6" s="12" t="str">
        <x:v>PASS</x:v>
      </x:c>
      <x:c r="Q6" s="12" t="str">
        <x:v>Checked for Newmont/NEM identity, exact event, displayed source date, timing window and prohibited-source origin. No Reuters-derived article is included.</x:v>
      </x:c>
    </x:row>
    <x:row r="7">
      <x:c r="A7" s="12" t="str">
        <x:v>2016-10-26</x:v>
      </x:c>
      <x:c r="B7" s="12" t="str">
        <x:v>NEM</x:v>
      </x:c>
      <x:c r="C7" s="12" t="str">
        <x:v>prior</x:v>
      </x:c>
      <x:c r="D7" s="12" t="str">
        <x:v>2016-07-20</x:v>
      </x:c>
      <x:c r="E7" s="12" t="n">
        <x:v>-98</x:v>
      </x:c>
      <x:c r="F7" s="12" t="str">
        <x:v>SEC / Newmont</x:v>
      </x:c>
      <x:c r="G7" s="12" t="str">
        <x:v>Newmont Announces Second Quarter Operating and Financial Results</x:v>
      </x:c>
      <x:c r="H7" s="12" t="str">
        <x:v>https://www.sec.gov/Archives/edgar/data/1164727/000115752316006130/a51385438ex99-1.htm</x:v>
      </x:c>
      <x:c r="I7" s="12" t="str">
        <x:v>VERIFIED</x:v>
      </x:c>
      <x:c r="J7" s="12" t="str">
        <x:v>PASS</x:v>
      </x:c>
      <x:c r="K7" s="12" t="str">
        <x:v>PASS</x:v>
      </x:c>
      <x:c r="L7" s="12" t="str">
        <x:v>PASS</x:v>
      </x:c>
      <x:c r="M7" s="12" t="str">
        <x:v>NO</x:v>
      </x:c>
      <x:c r="N7" s="12" t="str">
        <x:v>PASS</x:v>
      </x:c>
      <x:c r="O7" s="12" t="str">
        <x:v>FACTUAL</x:v>
      </x:c>
      <x:c r="P7" s="12" t="str">
        <x:v>PASS</x:v>
      </x:c>
      <x:c r="Q7" s="12" t="str">
        <x:v>Checked for Newmont/NEM identity, exact event, displayed source date, timing window and prohibited-source origin. No Reuters-derived article is included.</x:v>
      </x:c>
    </x:row>
    <x:row r="8">
      <x:c r="A8" s="12" t="str">
        <x:v>2016-10-26</x:v>
      </x:c>
      <x:c r="B8" s="12" t="str">
        <x:v>NEM</x:v>
      </x:c>
      <x:c r="C8" s="12" t="str">
        <x:v>release</x:v>
      </x:c>
      <x:c r="D8" s="12" t="str">
        <x:v>2016-10-26</x:v>
      </x:c>
      <x:c r="E8" s="12" t="n">
        <x:v>0</x:v>
      </x:c>
      <x:c r="F8" s="12" t="str">
        <x:v>Newmont</x:v>
      </x:c>
      <x:c r="G8" s="12" t="str">
        <x:v>Newmont Announces Third Quarter Operating and Financial Results</x:v>
      </x:c>
      <x:c r="H8" s="12" t="str">
        <x:v>https://s24.q4cdn.com/382246808/files/document_library/financial_earnings/Q3EarningsRls.Oct2016.pdf</x:v>
      </x:c>
      <x:c r="I8" s="12" t="str">
        <x:v>VERIFIED</x:v>
      </x:c>
      <x:c r="J8" s="12" t="str">
        <x:v>PASS</x:v>
      </x:c>
      <x:c r="K8" s="12" t="str">
        <x:v>PASS</x:v>
      </x:c>
      <x:c r="L8" s="12" t="str">
        <x:v>PASS</x:v>
      </x:c>
      <x:c r="M8" s="12" t="str">
        <x:v>NO</x:v>
      </x:c>
      <x:c r="N8" s="12" t="str">
        <x:v>PASS</x:v>
      </x:c>
      <x:c r="O8" s="12" t="str">
        <x:v>FACTUAL</x:v>
      </x:c>
      <x:c r="P8" s="12" t="str">
        <x:v>PASS</x:v>
      </x:c>
      <x:c r="Q8" s="12" t="str">
        <x:v>Checked for Newmont/NEM identity, exact event, displayed source date, timing window and prohibited-source origin. No Reuters-derived article is included.</x:v>
      </x:c>
    </x:row>
    <x:row r="9">
      <x:c r="A9" s="12" t="str">
        <x:v>2016-10-26</x:v>
      </x:c>
      <x:c r="B9" s="12" t="str">
        <x:v>NEM</x:v>
      </x:c>
      <x:c r="C9" s="12" t="str">
        <x:v>reaction</x:v>
      </x:c>
      <x:c r="D9" s="12" t="str">
        <x:v>2016-10-27</x:v>
      </x:c>
      <x:c r="E9" s="12" t="n">
        <x:v>1</x:v>
      </x:c>
      <x:c r="F9" s="12" t="str">
        <x:v>TheStreet Pro</x:v>
      </x:c>
      <x:c r="G9" s="12" t="str">
        <x:v>Base Metals Rise, Gold Equities 'Misbehave'</x:v>
      </x:c>
      <x:c r="H9" s="12" t="str">
        <x:v>https://pro.thestreet.com/trade-ideas/base-metals-rise-gold-equities-misbehave</x:v>
      </x:c>
      <x:c r="I9" s="12" t="str">
        <x:v>VERIFIED</x:v>
      </x:c>
      <x:c r="J9" s="12" t="str">
        <x:v>PASS</x:v>
      </x:c>
      <x:c r="K9" s="12" t="str">
        <x:v>PASS</x:v>
      </x:c>
      <x:c r="L9" s="12" t="str">
        <x:v>PASS</x:v>
      </x:c>
      <x:c r="M9" s="12" t="str">
        <x:v>NO</x:v>
      </x:c>
      <x:c r="N9" s="12" t="str">
        <x:v>PASS</x:v>
      </x:c>
      <x:c r="O9" s="12" t="str">
        <x:v>EXPLICIT_OR_CONTEMPORANEOUS</x:v>
      </x:c>
      <x:c r="P9" s="12" t="str">
        <x:v>PASS</x:v>
      </x:c>
      <x:c r="Q9" s="12" t="str">
        <x:v>Checked for Newmont/NEM identity, exact event, displayed source date, timing window and prohibited-source origin. No Reuters-derived article is included.</x:v>
      </x:c>
    </x:row>
    <x:row r="10">
      <x:c r="A10" s="12" t="str">
        <x:v>2017-02-21</x:v>
      </x:c>
      <x:c r="B10" s="12" t="str">
        <x:v>NEM</x:v>
      </x:c>
      <x:c r="C10" s="12" t="str">
        <x:v>release</x:v>
      </x:c>
      <x:c r="D10" s="12" t="str">
        <x:v>2017-02-21</x:v>
      </x:c>
      <x:c r="E10" s="12" t="n">
        <x:v>0</x:v>
      </x:c>
      <x:c r="F10" s="12" t="str">
        <x:v>Newmont</x:v>
      </x:c>
      <x:c r="G10" s="12" t="str">
        <x:v>Newmont Announces Full Year and Fourth Quarter 2016 Results</x:v>
      </x:c>
      <x:c r="H10" s="12" t="str">
        <x:v>https://www.newmont.com/investors/news-release/news-details/2017/Newmont-Announces-Full-Year-and-Fourth-Quarter-2016-Results/default.aspx</x:v>
      </x:c>
      <x:c r="I10" s="12" t="str">
        <x:v>VERIFIED</x:v>
      </x:c>
      <x:c r="J10" s="12" t="str">
        <x:v>PASS</x:v>
      </x:c>
      <x:c r="K10" s="12" t="str">
        <x:v>PASS</x:v>
      </x:c>
      <x:c r="L10" s="12" t="str">
        <x:v>PASS</x:v>
      </x:c>
      <x:c r="M10" s="12" t="str">
        <x:v>NO</x:v>
      </x:c>
      <x:c r="N10" s="12" t="str">
        <x:v>PASS</x:v>
      </x:c>
      <x:c r="O10" s="12" t="str">
        <x:v>FACTUAL</x:v>
      </x:c>
      <x:c r="P10" s="12" t="str">
        <x:v>PASS</x:v>
      </x:c>
      <x:c r="Q10" s="12" t="str">
        <x:v>Checked for Newmont/NEM identity, exact event, displayed source date, timing window and prohibited-source origin. No Reuters-derived article is included.</x:v>
      </x:c>
    </x:row>
    <x:row r="11">
      <x:c r="A11" s="12" t="str">
        <x:v>2017-02-21</x:v>
      </x:c>
      <x:c r="B11" s="12" t="str">
        <x:v>NEM</x:v>
      </x:c>
      <x:c r="C11" s="12" t="str">
        <x:v>reaction</x:v>
      </x:c>
      <x:c r="D11" s="12" t="str">
        <x:v>2017-02-21</x:v>
      </x:c>
      <x:c r="E11" s="12" t="n">
        <x:v>0</x:v>
      </x:c>
      <x:c r="F11" s="12" t="str">
        <x:v>24/7 Wall St. via Yahoo Finance</x:v>
      </x:c>
      <x:c r="G11" s="12" t="str">
        <x:v>Newmont Earnings Hit by High Closure Costs, Impairment Charge</x:v>
      </x:c>
      <x:c r="H11" s="12" t="str">
        <x:v>https://finance.yahoo.com/news/newmont-earnings-hit-high-closure-214431823.html</x:v>
      </x:c>
      <x:c r="I11" s="12" t="str">
        <x:v>VERIFIED</x:v>
      </x:c>
      <x:c r="J11" s="12" t="str">
        <x:v>PASS</x:v>
      </x:c>
      <x:c r="K11" s="12" t="str">
        <x:v>PASS</x:v>
      </x:c>
      <x:c r="L11" s="12" t="str">
        <x:v>PASS</x:v>
      </x:c>
      <x:c r="M11" s="12" t="str">
        <x:v>NO</x:v>
      </x:c>
      <x:c r="N11" s="12" t="str">
        <x:v>PASS</x:v>
      </x:c>
      <x:c r="O11" s="12" t="str">
        <x:v>EXPLICIT_OR_CONTEMPORANEOUS</x:v>
      </x:c>
      <x:c r="P11" s="12" t="str">
        <x:v>PASS</x:v>
      </x:c>
      <x:c r="Q11" s="12" t="str">
        <x:v>Checked for Newmont/NEM identity, exact event, displayed source date, timing window and prohibited-source origin. No Reuters-derived article is included.</x:v>
      </x:c>
    </x:row>
    <x:row r="12">
      <x:c r="A12" s="12" t="str">
        <x:v>2017-04-24</x:v>
      </x:c>
      <x:c r="B12" s="12" t="str">
        <x:v>NEM</x:v>
      </x:c>
      <x:c r="C12" s="12" t="str">
        <x:v>prior</x:v>
      </x:c>
      <x:c r="D12" s="12" t="str">
        <x:v>2017-02-21</x:v>
      </x:c>
      <x:c r="E12" s="12" t="n">
        <x:v>-62</x:v>
      </x:c>
      <x:c r="F12" s="12" t="str">
        <x:v>Newmont</x:v>
      </x:c>
      <x:c r="G12" s="12" t="str">
        <x:v>Newmont Announces Full Year and Fourth Quarter 2016 Results</x:v>
      </x:c>
      <x:c r="H12" s="12" t="str">
        <x:v>https://www.newmont.com/investors/news-release/news-details/2017/Newmont-Announces-Full-Year-and-Fourth-Quarter-2016-Results/default.aspx</x:v>
      </x:c>
      <x:c r="I12" s="12" t="str">
        <x:v>VERIFIED</x:v>
      </x:c>
      <x:c r="J12" s="12" t="str">
        <x:v>PASS</x:v>
      </x:c>
      <x:c r="K12" s="12" t="str">
        <x:v>PASS</x:v>
      </x:c>
      <x:c r="L12" s="12" t="str">
        <x:v>PASS</x:v>
      </x:c>
      <x:c r="M12" s="12" t="str">
        <x:v>NO</x:v>
      </x:c>
      <x:c r="N12" s="12" t="str">
        <x:v>PASS</x:v>
      </x:c>
      <x:c r="O12" s="12" t="str">
        <x:v>FACTUAL</x:v>
      </x:c>
      <x:c r="P12" s="12" t="str">
        <x:v>PASS</x:v>
      </x:c>
      <x:c r="Q12" s="12" t="str">
        <x:v>Checked for Newmont/NEM identity, exact event, displayed source date, timing window and prohibited-source origin. No Reuters-derived article is included.</x:v>
      </x:c>
    </x:row>
    <x:row r="13">
      <x:c r="A13" s="12" t="str">
        <x:v>2017-04-24</x:v>
      </x:c>
      <x:c r="B13" s="12" t="str">
        <x:v>NEM</x:v>
      </x:c>
      <x:c r="C13" s="12" t="str">
        <x:v>release</x:v>
      </x:c>
      <x:c r="D13" s="12" t="str">
        <x:v>2017-04-24</x:v>
      </x:c>
      <x:c r="E13" s="12" t="n">
        <x:v>0</x:v>
      </x:c>
      <x:c r="F13" s="12" t="str">
        <x:v>Newmont / Business Wire</x:v>
      </x:c>
      <x:c r="G13" s="12" t="str">
        <x:v>Newmont Announces First Quarter 2017 Results</x:v>
      </x:c>
      <x:c r="H13" s="12" t="str">
        <x:v>https://minelistings.com/mine-news/newmont-announces-first-quarter-2017-results/</x:v>
      </x:c>
      <x:c r="I13" s="12" t="str">
        <x:v>VERIFIED</x:v>
      </x:c>
      <x:c r="J13" s="12" t="str">
        <x:v>PASS</x:v>
      </x:c>
      <x:c r="K13" s="12" t="str">
        <x:v>PASS</x:v>
      </x:c>
      <x:c r="L13" s="12" t="str">
        <x:v>PASS</x:v>
      </x:c>
      <x:c r="M13" s="12" t="str">
        <x:v>NO</x:v>
      </x:c>
      <x:c r="N13" s="12" t="str">
        <x:v>PASS</x:v>
      </x:c>
      <x:c r="O13" s="12" t="str">
        <x:v>FACTUAL</x:v>
      </x:c>
      <x:c r="P13" s="12" t="str">
        <x:v>PASS</x:v>
      </x:c>
      <x:c r="Q13" s="12" t="str">
        <x:v>Checked for Newmont/NEM identity, exact event, displayed source date, timing window and prohibited-source origin. No Reuters-derived article is included.</x:v>
      </x:c>
    </x:row>
    <x:row r="14">
      <x:c r="A14" s="12" t="str">
        <x:v>2017-07-25</x:v>
      </x:c>
      <x:c r="B14" s="12" t="str">
        <x:v>NEM</x:v>
      </x:c>
      <x:c r="C14" s="12" t="str">
        <x:v>prior</x:v>
      </x:c>
      <x:c r="D14" s="12" t="str">
        <x:v>2017-04-24</x:v>
      </x:c>
      <x:c r="E14" s="12" t="n">
        <x:v>-92</x:v>
      </x:c>
      <x:c r="F14" s="12" t="str">
        <x:v>Newmont / Business Wire</x:v>
      </x:c>
      <x:c r="G14" s="12" t="str">
        <x:v>Newmont Announces First Quarter 2017 Results</x:v>
      </x:c>
      <x:c r="H14" s="12" t="str">
        <x:v>https://minelistings.com/mine-news/newmont-announces-first-quarter-2017-results/</x:v>
      </x:c>
      <x:c r="I14" s="12" t="str">
        <x:v>VERIFIED</x:v>
      </x:c>
      <x:c r="J14" s="12" t="str">
        <x:v>PASS</x:v>
      </x:c>
      <x:c r="K14" s="12" t="str">
        <x:v>PASS</x:v>
      </x:c>
      <x:c r="L14" s="12" t="str">
        <x:v>PASS</x:v>
      </x:c>
      <x:c r="M14" s="12" t="str">
        <x:v>NO</x:v>
      </x:c>
      <x:c r="N14" s="12" t="str">
        <x:v>PASS</x:v>
      </x:c>
      <x:c r="O14" s="12" t="str">
        <x:v>FACTUAL</x:v>
      </x:c>
      <x:c r="P14" s="12" t="str">
        <x:v>PASS</x:v>
      </x:c>
      <x:c r="Q14" s="12" t="str">
        <x:v>Checked for Newmont/NEM identity, exact event, displayed source date, timing window and prohibited-source origin. No Reuters-derived article is included.</x:v>
      </x:c>
    </x:row>
    <x:row r="15">
      <x:c r="A15" s="12" t="str">
        <x:v>2017-07-25</x:v>
      </x:c>
      <x:c r="B15" s="12" t="str">
        <x:v>NEM</x:v>
      </x:c>
      <x:c r="C15" s="12" t="str">
        <x:v>release</x:v>
      </x:c>
      <x:c r="D15" s="12" t="str">
        <x:v>2017-07-25</x:v>
      </x:c>
      <x:c r="E15" s="12" t="n">
        <x:v>0</x:v>
      </x:c>
      <x:c r="F15" s="12" t="str">
        <x:v>SEC / Newmont</x:v>
      </x:c>
      <x:c r="G15" s="12" t="str">
        <x:v>Newmont Announces Second Quarter 2017 Results</x:v>
      </x:c>
      <x:c r="H15" s="12" t="str">
        <x:v>https://www.sec.gov/Archives/edgar/data/1164727/000115752317002051/a51595059ex99_1.htm</x:v>
      </x:c>
      <x:c r="I15" s="12" t="str">
        <x:v>VERIFIED</x:v>
      </x:c>
      <x:c r="J15" s="12" t="str">
        <x:v>PASS</x:v>
      </x:c>
      <x:c r="K15" s="12" t="str">
        <x:v>PASS</x:v>
      </x:c>
      <x:c r="L15" s="12" t="str">
        <x:v>PASS</x:v>
      </x:c>
      <x:c r="M15" s="12" t="str">
        <x:v>NO</x:v>
      </x:c>
      <x:c r="N15" s="12" t="str">
        <x:v>PASS</x:v>
      </x:c>
      <x:c r="O15" s="12" t="str">
        <x:v>FACTUAL</x:v>
      </x:c>
      <x:c r="P15" s="12" t="str">
        <x:v>PASS</x:v>
      </x:c>
      <x:c r="Q15" s="12" t="str">
        <x:v>Checked for Newmont/NEM identity, exact event, displayed source date, timing window and prohibited-source origin. No Reuters-derived article is included.</x:v>
      </x:c>
    </x:row>
    <x:row r="16">
      <x:c r="A16" s="12" t="str">
        <x:v>2017-07-25</x:v>
      </x:c>
      <x:c r="B16" s="12" t="str">
        <x:v>NEM</x:v>
      </x:c>
      <x:c r="C16" s="12" t="str">
        <x:v>reaction</x:v>
      </x:c>
      <x:c r="D16" s="12" t="str">
        <x:v>2017-07-25</x:v>
      </x:c>
      <x:c r="E16" s="12" t="n">
        <x:v>0</x:v>
      </x:c>
      <x:c r="F16" s="12" t="str">
        <x:v>Zacks / Investing.com archive</x:v>
      </x:c>
      <x:c r="G16" s="12" t="str">
        <x:v>Newmont (NEM) Beats Earnings And Revenue Estimates In Q2</x:v>
      </x:c>
      <x:c r="H16" s="12" t="str">
        <x:v>https://www.investing.com/equities/newmont-mining-opinion/50</x:v>
      </x:c>
      <x:c r="I16" s="12" t="str">
        <x:v>VERIFIED</x:v>
      </x:c>
      <x:c r="J16" s="12" t="str">
        <x:v>PASS</x:v>
      </x:c>
      <x:c r="K16" s="12" t="str">
        <x:v>PASS</x:v>
      </x:c>
      <x:c r="L16" s="12" t="str">
        <x:v>PASS</x:v>
      </x:c>
      <x:c r="M16" s="12" t="str">
        <x:v>NO</x:v>
      </x:c>
      <x:c r="N16" s="12" t="str">
        <x:v>PASS</x:v>
      </x:c>
      <x:c r="O16" s="12" t="str">
        <x:v>EXPLICIT_OR_CONTEMPORANEOUS</x:v>
      </x:c>
      <x:c r="P16" s="12" t="str">
        <x:v>PASS</x:v>
      </x:c>
      <x:c r="Q16" s="12" t="str">
        <x:v>Checked for Newmont/NEM identity, exact event, displayed source date, timing window and prohibited-source origin. No Reuters-derived article is included.</x:v>
      </x:c>
    </x:row>
    <x:row r="17">
      <x:c r="A17" s="12" t="str">
        <x:v>2017-10-26</x:v>
      </x:c>
      <x:c r="B17" s="12" t="str">
        <x:v>NEM</x:v>
      </x:c>
      <x:c r="C17" s="12" t="str">
        <x:v>prior</x:v>
      </x:c>
      <x:c r="D17" s="12" t="str">
        <x:v>2017-07-25</x:v>
      </x:c>
      <x:c r="E17" s="12" t="n">
        <x:v>-93</x:v>
      </x:c>
      <x:c r="F17" s="12" t="str">
        <x:v>SEC / Newmont</x:v>
      </x:c>
      <x:c r="G17" s="12" t="str">
        <x:v>Newmont Announces Second Quarter 2017 Results</x:v>
      </x:c>
      <x:c r="H17" s="12" t="str">
        <x:v>https://www.sec.gov/Archives/edgar/data/1164727/000115752317002051/a51595059ex99_1.htm</x:v>
      </x:c>
      <x:c r="I17" s="12" t="str">
        <x:v>VERIFIED</x:v>
      </x:c>
      <x:c r="J17" s="12" t="str">
        <x:v>PASS</x:v>
      </x:c>
      <x:c r="K17" s="12" t="str">
        <x:v>PASS</x:v>
      </x:c>
      <x:c r="L17" s="12" t="str">
        <x:v>PASS</x:v>
      </x:c>
      <x:c r="M17" s="12" t="str">
        <x:v>NO</x:v>
      </x:c>
      <x:c r="N17" s="12" t="str">
        <x:v>PASS</x:v>
      </x:c>
      <x:c r="O17" s="12" t="str">
        <x:v>FACTUAL</x:v>
      </x:c>
      <x:c r="P17" s="12" t="str">
        <x:v>PASS</x:v>
      </x:c>
      <x:c r="Q17" s="12" t="str">
        <x:v>Checked for Newmont/NEM identity, exact event, displayed source date, timing window and prohibited-source origin. No Reuters-derived article is included.</x:v>
      </x:c>
    </x:row>
    <x:row r="18">
      <x:c r="A18" s="12" t="str">
        <x:v>2017-10-26</x:v>
      </x:c>
      <x:c r="B18" s="12" t="str">
        <x:v>NEM</x:v>
      </x:c>
      <x:c r="C18" s="12" t="str">
        <x:v>release</x:v>
      </x:c>
      <x:c r="D18" s="12" t="str">
        <x:v>2017-10-26</x:v>
      </x:c>
      <x:c r="E18" s="12" t="n">
        <x:v>0</x:v>
      </x:c>
      <x:c r="F18" s="12" t="str">
        <x:v>SEC / Newmont</x:v>
      </x:c>
      <x:c r="G18" s="12" t="str">
        <x:v>Newmont Announces Third Quarter 2017 Results</x:v>
      </x:c>
      <x:c r="H18" s="12" t="str">
        <x:v>https://www.sec.gov/Archives/edgar/data/1164727/000115752317002806/a51705675_ex991.htm</x:v>
      </x:c>
      <x:c r="I18" s="12" t="str">
        <x:v>VERIFIED</x:v>
      </x:c>
      <x:c r="J18" s="12" t="str">
        <x:v>PASS</x:v>
      </x:c>
      <x:c r="K18" s="12" t="str">
        <x:v>PASS</x:v>
      </x:c>
      <x:c r="L18" s="12" t="str">
        <x:v>PASS</x:v>
      </x:c>
      <x:c r="M18" s="12" t="str">
        <x:v>NO</x:v>
      </x:c>
      <x:c r="N18" s="12" t="str">
        <x:v>PASS</x:v>
      </x:c>
      <x:c r="O18" s="12" t="str">
        <x:v>FACTUAL</x:v>
      </x:c>
      <x:c r="P18" s="12" t="str">
        <x:v>PASS</x:v>
      </x:c>
      <x:c r="Q18" s="12" t="str">
        <x:v>Checked for Newmont/NEM identity, exact event, displayed source date, timing window and prohibited-source origin. No Reuters-derived article is included.</x:v>
      </x:c>
    </x:row>
    <x:row r="19">
      <x:c r="A19" s="12" t="str">
        <x:v>2018-02-22</x:v>
      </x:c>
      <x:c r="B19" s="12" t="str">
        <x:v>NEM</x:v>
      </x:c>
      <x:c r="C19" s="12" t="str">
        <x:v>prior</x:v>
      </x:c>
      <x:c r="D19" s="12" t="str">
        <x:v>2018-01-11</x:v>
      </x:c>
      <x:c r="E19" s="12" t="n">
        <x:v>-42</x:v>
      </x:c>
      <x:c r="F19" s="12" t="str">
        <x:v>Newmont</x:v>
      </x:c>
      <x:c r="G19" s="12" t="str">
        <x:v>Newmont Announces Full Year and Fourth Quarter 2017 Earnings Call</x:v>
      </x:c>
      <x:c r="H19" s="12" t="str">
        <x:v>https://www.newmont.com/investors/news-release/news-details/2018/Newmont-Announces-Full-Year-and-Fourth-Quarter-2017-Earnings-Call/default.aspx</x:v>
      </x:c>
      <x:c r="I19" s="12" t="str">
        <x:v>VERIFIED</x:v>
      </x:c>
      <x:c r="J19" s="12" t="str">
        <x:v>PASS</x:v>
      </x:c>
      <x:c r="K19" s="12" t="str">
        <x:v>PASS</x:v>
      </x:c>
      <x:c r="L19" s="12" t="str">
        <x:v>PASS</x:v>
      </x:c>
      <x:c r="M19" s="12" t="str">
        <x:v>NO</x:v>
      </x:c>
      <x:c r="N19" s="12" t="str">
        <x:v>PASS</x:v>
      </x:c>
      <x:c r="O19" s="12" t="str">
        <x:v>FACTUAL</x:v>
      </x:c>
      <x:c r="P19" s="12" t="str">
        <x:v>PASS</x:v>
      </x:c>
      <x:c r="Q19" s="12" t="str">
        <x:v>Checked for Newmont/NEM identity, exact event, displayed source date, timing window and prohibited-source origin. No Reuters-derived article is included.</x:v>
      </x:c>
    </x:row>
    <x:row r="20">
      <x:c r="A20" s="12" t="str">
        <x:v>2018-02-22</x:v>
      </x:c>
      <x:c r="B20" s="12" t="str">
        <x:v>NEM</x:v>
      </x:c>
      <x:c r="C20" s="12" t="str">
        <x:v>release</x:v>
      </x:c>
      <x:c r="D20" s="12" t="str">
        <x:v>2018-02-22</x:v>
      </x:c>
      <x:c r="E20" s="12" t="n">
        <x:v>0</x:v>
      </x:c>
      <x:c r="F20" s="12" t="str">
        <x:v>Newmont</x:v>
      </x:c>
      <x:c r="G20" s="12" t="str">
        <x:v>Newmont Announces Full Year and Fourth Quarter 2017 Results</x:v>
      </x:c>
      <x:c r="H20" s="12" t="str">
        <x:v>https://www.newmont.com/investors/news-release/news-details/2018/Newmont-Announces-Full-Year-and-Fourth-Quarter-2017-Results/default.aspx</x:v>
      </x:c>
      <x:c r="I20" s="12" t="str">
        <x:v>VERIFIED</x:v>
      </x:c>
      <x:c r="J20" s="12" t="str">
        <x:v>PASS</x:v>
      </x:c>
      <x:c r="K20" s="12" t="str">
        <x:v>PASS</x:v>
      </x:c>
      <x:c r="L20" s="12" t="str">
        <x:v>PASS</x:v>
      </x:c>
      <x:c r="M20" s="12" t="str">
        <x:v>NO</x:v>
      </x:c>
      <x:c r="N20" s="12" t="str">
        <x:v>PASS</x:v>
      </x:c>
      <x:c r="O20" s="12" t="str">
        <x:v>FACTUAL</x:v>
      </x:c>
      <x:c r="P20" s="12" t="str">
        <x:v>PASS</x:v>
      </x:c>
      <x:c r="Q20" s="12" t="str">
        <x:v>Checked for Newmont/NEM identity, exact event, displayed source date, timing window and prohibited-source origin. No Reuters-derived article is included.</x:v>
      </x:c>
    </x:row>
    <x:row r="21">
      <x:c r="A21" s="12" t="str">
        <x:v>2018-02-22</x:v>
      </x:c>
      <x:c r="B21" s="12" t="str">
        <x:v>NEM</x:v>
      </x:c>
      <x:c r="C21" s="12" t="str">
        <x:v>reaction</x:v>
      </x:c>
      <x:c r="D21" s="12" t="str">
        <x:v>2018-02-23</x:v>
      </x:c>
      <x:c r="E21" s="12" t="n">
        <x:v>1</x:v>
      </x:c>
      <x:c r="F21" s="12" t="str">
        <x:v>Zacks / Investing.com</x:v>
      </x:c>
      <x:c r="G21" s="12" t="str">
        <x:v>Is Pain In Store For Gold Mining ETFs On Muted Earnings?</x:v>
      </x:c>
      <x:c r="H21" s="12" t="str">
        <x:v>https://www.investing.com/analysis/is-pain-in-store-for-gold-mining-etfs-on-muted-earnings-200293775</x:v>
      </x:c>
      <x:c r="I21" s="12" t="str">
        <x:v>VERIFIED</x:v>
      </x:c>
      <x:c r="J21" s="12" t="str">
        <x:v>PASS</x:v>
      </x:c>
      <x:c r="K21" s="12" t="str">
        <x:v>PASS</x:v>
      </x:c>
      <x:c r="L21" s="12" t="str">
        <x:v>PASS</x:v>
      </x:c>
      <x:c r="M21" s="12" t="str">
        <x:v>NO</x:v>
      </x:c>
      <x:c r="N21" s="12" t="str">
        <x:v>PASS</x:v>
      </x:c>
      <x:c r="O21" s="12" t="str">
        <x:v>EXPLICIT_OR_CONTEMPORANEOUS</x:v>
      </x:c>
      <x:c r="P21" s="12" t="str">
        <x:v>PASS</x:v>
      </x:c>
      <x:c r="Q21" s="12" t="str">
        <x:v>Checked for Newmont/NEM identity, exact event, displayed source date, timing window and prohibited-source origin. No Reuters-derived article is included.</x:v>
      </x:c>
    </x:row>
    <x:row r="22">
      <x:c r="A22" s="12" t="str">
        <x:v>2018-04-26</x:v>
      </x:c>
      <x:c r="B22" s="12" t="str">
        <x:v>NEM</x:v>
      </x:c>
      <x:c r="C22" s="12" t="str">
        <x:v>prior</x:v>
      </x:c>
      <x:c r="D22" s="12" t="str">
        <x:v>2018-02-22</x:v>
      </x:c>
      <x:c r="E22" s="12" t="n">
        <x:v>-63</x:v>
      </x:c>
      <x:c r="F22" s="12" t="str">
        <x:v>Newmont</x:v>
      </x:c>
      <x:c r="G22" s="12" t="str">
        <x:v>Newmont Announces Full Year and Fourth Quarter 2017 Results</x:v>
      </x:c>
      <x:c r="H22" s="12" t="str">
        <x:v>https://www.newmont.com/investors/news-release/news-details/2018/Newmont-Announces-Full-Year-and-Fourth-Quarter-2017-Results/default.aspx</x:v>
      </x:c>
      <x:c r="I22" s="12" t="str">
        <x:v>VERIFIED</x:v>
      </x:c>
      <x:c r="J22" s="12" t="str">
        <x:v>PASS</x:v>
      </x:c>
      <x:c r="K22" s="12" t="str">
        <x:v>PASS</x:v>
      </x:c>
      <x:c r="L22" s="12" t="str">
        <x:v>PASS</x:v>
      </x:c>
      <x:c r="M22" s="12" t="str">
        <x:v>NO</x:v>
      </x:c>
      <x:c r="N22" s="12" t="str">
        <x:v>PASS</x:v>
      </x:c>
      <x:c r="O22" s="12" t="str">
        <x:v>FACTUAL</x:v>
      </x:c>
      <x:c r="P22" s="12" t="str">
        <x:v>PASS</x:v>
      </x:c>
      <x:c r="Q22" s="12" t="str">
        <x:v>Checked for Newmont/NEM identity, exact event, displayed source date, timing window and prohibited-source origin. No Reuters-derived article is included.</x:v>
      </x:c>
    </x:row>
    <x:row r="23">
      <x:c r="A23" s="12" t="str">
        <x:v>2018-04-26</x:v>
      </x:c>
      <x:c r="B23" s="12" t="str">
        <x:v>NEM</x:v>
      </x:c>
      <x:c r="C23" s="12" t="str">
        <x:v>release</x:v>
      </x:c>
      <x:c r="D23" s="12" t="str">
        <x:v>2018-04-26</x:v>
      </x:c>
      <x:c r="E23" s="12" t="n">
        <x:v>0</x:v>
      </x:c>
      <x:c r="F23" s="12" t="str">
        <x:v>Newmont</x:v>
      </x:c>
      <x:c r="G23" s="12" t="str">
        <x:v>Newmont Announces First Quarter 2018 Results</x:v>
      </x:c>
      <x:c r="H23" s="12" t="str">
        <x:v>https://www.newmont.com/investors/news-release/news-details/2018/Newmont-Announces-First-Quarter-2018-Results/default.aspx</x:v>
      </x:c>
      <x:c r="I23" s="12" t="str">
        <x:v>VERIFIED</x:v>
      </x:c>
      <x:c r="J23" s="12" t="str">
        <x:v>PASS</x:v>
      </x:c>
      <x:c r="K23" s="12" t="str">
        <x:v>PASS</x:v>
      </x:c>
      <x:c r="L23" s="12" t="str">
        <x:v>PASS</x:v>
      </x:c>
      <x:c r="M23" s="12" t="str">
        <x:v>NO</x:v>
      </x:c>
      <x:c r="N23" s="12" t="str">
        <x:v>PASS</x:v>
      </x:c>
      <x:c r="O23" s="12" t="str">
        <x:v>FACTUAL</x:v>
      </x:c>
      <x:c r="P23" s="12" t="str">
        <x:v>PASS</x:v>
      </x:c>
      <x:c r="Q23" s="12" t="str">
        <x:v>Checked for Newmont/NEM identity, exact event, displayed source date, timing window and prohibited-source origin. No Reuters-derived article is included.</x:v>
      </x:c>
    </x:row>
    <x:row r="24">
      <x:c r="A24" s="12" t="str">
        <x:v>2018-07-26</x:v>
      </x:c>
      <x:c r="B24" s="12" t="str">
        <x:v>NEM</x:v>
      </x:c>
      <x:c r="C24" s="12" t="str">
        <x:v>prior</x:v>
      </x:c>
      <x:c r="D24" s="12" t="str">
        <x:v>2018-04-26</x:v>
      </x:c>
      <x:c r="E24" s="12" t="n">
        <x:v>-91</x:v>
      </x:c>
      <x:c r="F24" s="12" t="str">
        <x:v>Newmont</x:v>
      </x:c>
      <x:c r="G24" s="12" t="str">
        <x:v>Newmont Announces First Quarter 2018 Results</x:v>
      </x:c>
      <x:c r="H24" s="12" t="str">
        <x:v>https://www.newmont.com/investors/news-release/news-details/2018/Newmont-Announces-First-Quarter-2018-Results/default.aspx</x:v>
      </x:c>
      <x:c r="I24" s="12" t="str">
        <x:v>VERIFIED</x:v>
      </x:c>
      <x:c r="J24" s="12" t="str">
        <x:v>PASS</x:v>
      </x:c>
      <x:c r="K24" s="12" t="str">
        <x:v>PASS</x:v>
      </x:c>
      <x:c r="L24" s="12" t="str">
        <x:v>PASS</x:v>
      </x:c>
      <x:c r="M24" s="12" t="str">
        <x:v>NO</x:v>
      </x:c>
      <x:c r="N24" s="12" t="str">
        <x:v>PASS</x:v>
      </x:c>
      <x:c r="O24" s="12" t="str">
        <x:v>FACTUAL</x:v>
      </x:c>
      <x:c r="P24" s="12" t="str">
        <x:v>PASS</x:v>
      </x:c>
      <x:c r="Q24" s="12" t="str">
        <x:v>Checked for Newmont/NEM identity, exact event, displayed source date, timing window and prohibited-source origin. No Reuters-derived article is included.</x:v>
      </x:c>
    </x:row>
    <x:row r="25">
      <x:c r="A25" s="12" t="str">
        <x:v>2018-07-26</x:v>
      </x:c>
      <x:c r="B25" s="12" t="str">
        <x:v>NEM</x:v>
      </x:c>
      <x:c r="C25" s="12" t="str">
        <x:v>release</x:v>
      </x:c>
      <x:c r="D25" s="12" t="str">
        <x:v>2018-07-26</x:v>
      </x:c>
      <x:c r="E25" s="12" t="n">
        <x:v>0</x:v>
      </x:c>
      <x:c r="F25" s="12" t="str">
        <x:v>Newmont</x:v>
      </x:c>
      <x:c r="G25" s="12" t="str">
        <x:v>Newmont Announces Second Quarter 2018 Results</x:v>
      </x:c>
      <x:c r="H25" s="12" t="str">
        <x:v>https://www.newmont.com/investors/news-release/news-details/2018/Newmont-Announces-Second-Quarter-2018-Results/default.aspx</x:v>
      </x:c>
      <x:c r="I25" s="12" t="str">
        <x:v>VERIFIED</x:v>
      </x:c>
      <x:c r="J25" s="12" t="str">
        <x:v>PASS</x:v>
      </x:c>
      <x:c r="K25" s="12" t="str">
        <x:v>PASS</x:v>
      </x:c>
      <x:c r="L25" s="12" t="str">
        <x:v>PASS</x:v>
      </x:c>
      <x:c r="M25" s="12" t="str">
        <x:v>NO</x:v>
      </x:c>
      <x:c r="N25" s="12" t="str">
        <x:v>PASS</x:v>
      </x:c>
      <x:c r="O25" s="12" t="str">
        <x:v>FACTUAL</x:v>
      </x:c>
      <x:c r="P25" s="12" t="str">
        <x:v>PASS</x:v>
      </x:c>
      <x:c r="Q25" s="12" t="str">
        <x:v>Checked for Newmont/NEM identity, exact event, displayed source date, timing window and prohibited-source origin. No Reuters-derived article is included.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2016-04-20</x:v>
      </x:c>
      <x:c r="B2" t="str">
        <x:v>NEM</x:v>
      </x:c>
      <x:c r="C2" s="20" t="n">
        <x:v>-1.61</x:v>
      </x:c>
      <x:c r="D2" s="20" t="n">
        <x:v>6.24</x:v>
      </x:c>
      <x:c r="E2" t="str">
        <x:v>ret_1daypost_pct</x:v>
      </x:c>
      <x:c r="F2" t="str">
        <x:f>IF(E2="ret_1day_pct",IF(C2&gt;0.1,"UP",IF(C2&lt;-0.1,"DOWN","FLAT")),IF(D2&gt;0.1,"UP",IF(D2&lt;-0.1,"DOWN","FLAT")))</x:f>
        <x:v>UP</x:v>
      </x:c>
      <x:c r="G2" t="str">
        <x:v>UP</x:v>
      </x:c>
      <x:c r="H2" t="str">
        <x:f>IF(F2=G2,"PASS","FAIL")</x:f>
        <x:v>PASS</x:v>
      </x:c>
      <x:c r="I2" t="n">
        <x:v>2</x:v>
      </x:c>
      <x:c r="J2" t="n">
        <x:f>COUNTIFS('Source Audit'!$A:$A,A2,'Source Audit'!$P:$P,"PASS")</x:f>
        <x:v>2</x:v>
      </x:c>
      <x:c r="K2" t="str">
        <x:f>IF(AND(H2="PASS",J2=I2),"PASS","FAIL")</x:f>
        <x:v>PASS</x:v>
      </x:c>
    </x:row>
    <x:row r="3">
      <x:c r="A3" t="str">
        <x:v>2016-07-20</x:v>
      </x:c>
      <x:c r="B3" t="str">
        <x:v>NEM</x:v>
      </x:c>
      <x:c r="C3" s="20" t="n">
        <x:v>-5.54</x:v>
      </x:c>
      <x:c r="D3" s="20" t="n">
        <x:v>3.46</x:v>
      </x:c>
      <x:c r="E3" t="str">
        <x:v>ret_1daypost_pct</x:v>
      </x:c>
      <x:c r="F3" t="str">
        <x:f>IF(E3="ret_1day_pct",IF(C3&gt;0.1,"UP",IF(C3&lt;-0.1,"DOWN","FLAT")),IF(D3&gt;0.1,"UP",IF(D3&lt;-0.1,"DOWN","FLAT")))</x:f>
        <x:v>UP</x:v>
      </x:c>
      <x:c r="G3" t="str">
        <x:v>UP</x:v>
      </x:c>
      <x:c r="H3" t="str">
        <x:f>IF(F3=G3,"PASS","FAIL")</x:f>
        <x:v>PASS</x:v>
      </x:c>
      <x:c r="I3" t="n">
        <x:v>3</x:v>
      </x:c>
      <x:c r="J3" t="n">
        <x:f>COUNTIFS('Source Audit'!$A:$A,A3,'Source Audit'!$P:$P,"PASS")</x:f>
        <x:v>3</x:v>
      </x:c>
      <x:c r="K3" t="str">
        <x:f>IF(AND(H3="PASS",J3=I3),"PASS","FAIL")</x:f>
        <x:v>PASS</x:v>
      </x:c>
    </x:row>
    <x:row r="4">
      <x:c r="A4" t="str">
        <x:v>2016-10-26</x:v>
      </x:c>
      <x:c r="B4" t="str">
        <x:v>NEM</x:v>
      </x:c>
      <x:c r="C4" s="20" t="n">
        <x:v>-0.84</x:v>
      </x:c>
      <x:c r="D4" s="20" t="n">
        <x:v>-3.44</x:v>
      </x:c>
      <x:c r="E4" t="str">
        <x:v>ret_1daypost_pct</x:v>
      </x:c>
      <x:c r="F4" t="str">
        <x:f>IF(E4="ret_1day_pct",IF(C4&gt;0.1,"UP",IF(C4&lt;-0.1,"DOWN","FLAT")),IF(D4&gt;0.1,"UP",IF(D4&lt;-0.1,"DOWN","FLAT")))</x:f>
        <x:v>DOWN</x:v>
      </x:c>
      <x:c r="G4" t="str">
        <x:v>DOWN</x:v>
      </x:c>
      <x:c r="H4" t="str">
        <x:f>IF(F4=G4,"PASS","FAIL")</x:f>
        <x:v>PASS</x:v>
      </x:c>
      <x:c r="I4" t="n">
        <x:v>3</x:v>
      </x:c>
      <x:c r="J4" t="n">
        <x:f>COUNTIFS('Source Audit'!$A:$A,A4,'Source Audit'!$P:$P,"PASS")</x:f>
        <x:v>3</x:v>
      </x:c>
      <x:c r="K4" t="str">
        <x:f>IF(AND(H4="PASS",J4=I4),"PASS","FAIL")</x:f>
        <x:v>PASS</x:v>
      </x:c>
    </x:row>
    <x:row r="5">
      <x:c r="A5" t="str">
        <x:v>2017-02-21</x:v>
      </x:c>
      <x:c r="B5" t="str">
        <x:v>NEM</x:v>
      </x:c>
      <x:c r="C5" s="20" t="n">
        <x:v>0.58</x:v>
      </x:c>
      <x:c r="D5" s="20" t="n">
        <x:v>-3.67</x:v>
      </x:c>
      <x:c r="E5" t="str">
        <x:v>ret_1daypost_pct</x:v>
      </x:c>
      <x:c r="F5" t="str">
        <x:f>IF(E5="ret_1day_pct",IF(C5&gt;0.1,"UP",IF(C5&lt;-0.1,"DOWN","FLAT")),IF(D5&gt;0.1,"UP",IF(D5&lt;-0.1,"DOWN","FLAT")))</x:f>
        <x:v>DOWN</x:v>
      </x:c>
      <x:c r="G5" t="str">
        <x:v>DOWN</x:v>
      </x:c>
      <x:c r="H5" t="str">
        <x:f>IF(F5=G5,"PASS","FAIL")</x:f>
        <x:v>PASS</x:v>
      </x:c>
      <x:c r="I5" t="n">
        <x:v>2</x:v>
      </x:c>
      <x:c r="J5" t="n">
        <x:f>COUNTIFS('Source Audit'!$A:$A,A5,'Source Audit'!$P:$P,"PASS")</x:f>
        <x:v>2</x:v>
      </x:c>
      <x:c r="K5" t="str">
        <x:f>IF(AND(H5="PASS",J5=I5),"PASS","FAIL")</x:f>
        <x:v>PASS</x:v>
      </x:c>
    </x:row>
    <x:row r="6">
      <x:c r="A6" t="str">
        <x:v>2017-04-24</x:v>
      </x:c>
      <x:c r="B6" t="str">
        <x:v>NEM</x:v>
      </x:c>
      <x:c r="C6" s="20" t="n">
        <x:v>-2.31</x:v>
      </x:c>
      <x:c r="D6" s="20" t="n">
        <x:v>-3.03</x:v>
      </x:c>
      <x:c r="E6" t="str">
        <x:v>ret_1daypost_pct</x:v>
      </x:c>
      <x:c r="F6" t="str">
        <x:f>IF(E6="ret_1day_pct",IF(C6&gt;0.1,"UP",IF(C6&lt;-0.1,"DOWN","FLAT")),IF(D6&gt;0.1,"UP",IF(D6&lt;-0.1,"DOWN","FLAT")))</x:f>
        <x:v>DOWN</x:v>
      </x:c>
      <x:c r="G6" t="str">
        <x:v>DOWN</x:v>
      </x:c>
      <x:c r="H6" t="str">
        <x:f>IF(F6=G6,"PASS","FAIL")</x:f>
        <x:v>PASS</x:v>
      </x:c>
      <x:c r="I6" t="n">
        <x:v>2</x:v>
      </x:c>
      <x:c r="J6" t="n">
        <x:f>COUNTIFS('Source Audit'!$A:$A,A6,'Source Audit'!$P:$P,"PASS")</x:f>
        <x:v>2</x:v>
      </x:c>
      <x:c r="K6" t="str">
        <x:f>IF(AND(H6="PASS",J6=I6),"PASS","FAIL")</x:f>
        <x:v>PASS</x:v>
      </x:c>
    </x:row>
    <x:row r="7">
      <x:c r="A7" t="str">
        <x:v>2017-07-25</x:v>
      </x:c>
      <x:c r="B7" t="str">
        <x:v>NEM</x:v>
      </x:c>
      <x:c r="C7" s="20" t="n">
        <x:v>6.56</x:v>
      </x:c>
      <x:c r="D7" s="20" t="n">
        <x:v>2</x:v>
      </x:c>
      <x:c r="E7" t="str">
        <x:v>ret_1day_pct</x:v>
      </x:c>
      <x:c r="F7" t="str">
        <x:f>IF(E7="ret_1day_pct",IF(C7&gt;0.1,"UP",IF(C7&lt;-0.1,"DOWN","FLAT")),IF(D7&gt;0.1,"UP",IF(D7&lt;-0.1,"DOWN","FLAT")))</x:f>
        <x:v>UP</x:v>
      </x:c>
      <x:c r="G7" t="str">
        <x:v>UP</x:v>
      </x:c>
      <x:c r="H7" t="str">
        <x:f>IF(F7=G7,"PASS","FAIL")</x:f>
        <x:v>PASS</x:v>
      </x:c>
      <x:c r="I7" t="n">
        <x:v>3</x:v>
      </x:c>
      <x:c r="J7" t="n">
        <x:f>COUNTIFS('Source Audit'!$A:$A,A7,'Source Audit'!$P:$P,"PASS")</x:f>
        <x:v>3</x:v>
      </x:c>
      <x:c r="K7" t="str">
        <x:f>IF(AND(H7="PASS",J7=I7),"PASS","FAIL")</x:f>
        <x:v>PASS</x:v>
      </x:c>
    </x:row>
    <x:row r="8">
      <x:c r="A8" t="str">
        <x:v>2017-10-26</x:v>
      </x:c>
      <x:c r="B8" t="str">
        <x:v>NEM</x:v>
      </x:c>
      <x:c r="C8" s="20" t="n">
        <x:v>-2.71</x:v>
      </x:c>
      <x:c r="D8" s="20" t="n">
        <x:v>-0.79</x:v>
      </x:c>
      <x:c r="E8" t="str">
        <x:v>ret_1day_pct</x:v>
      </x:c>
      <x:c r="F8" t="str">
        <x:f>IF(E8="ret_1day_pct",IF(C8&gt;0.1,"UP",IF(C8&lt;-0.1,"DOWN","FLAT")),IF(D8&gt;0.1,"UP",IF(D8&lt;-0.1,"DOWN","FLAT")))</x:f>
        <x:v>DOWN</x:v>
      </x:c>
      <x:c r="G8" t="str">
        <x:v>DOWN</x:v>
      </x:c>
      <x:c r="H8" t="str">
        <x:f>IF(F8=G8,"PASS","FAIL")</x:f>
        <x:v>PASS</x:v>
      </x:c>
      <x:c r="I8" t="n">
        <x:v>2</x:v>
      </x:c>
      <x:c r="J8" t="n">
        <x:f>COUNTIFS('Source Audit'!$A:$A,A8,'Source Audit'!$P:$P,"PASS")</x:f>
        <x:v>2</x:v>
      </x:c>
      <x:c r="K8" t="str">
        <x:f>IF(AND(H8="PASS",J8=I8),"PASS","FAIL")</x:f>
        <x:v>PASS</x:v>
      </x:c>
    </x:row>
    <x:row r="9">
      <x:c r="A9" t="str">
        <x:v>2018-02-22</x:v>
      </x:c>
      <x:c r="B9" t="str">
        <x:v>NEM</x:v>
      </x:c>
      <x:c r="C9" s="20" t="n">
        <x:v>-1.41</x:v>
      </x:c>
      <x:c r="D9" s="20" t="n">
        <x:v>1.35</x:v>
      </x:c>
      <x:c r="E9" t="str">
        <x:v>ret_1day_pct</x:v>
      </x:c>
      <x:c r="F9" t="str">
        <x:f>IF(E9="ret_1day_pct",IF(C9&gt;0.1,"UP",IF(C9&lt;-0.1,"DOWN","FLAT")),IF(D9&gt;0.1,"UP",IF(D9&lt;-0.1,"DOWN","FLAT")))</x:f>
        <x:v>DOWN</x:v>
      </x:c>
      <x:c r="G9" t="str">
        <x:v>DOWN</x:v>
      </x:c>
      <x:c r="H9" t="str">
        <x:f>IF(F9=G9,"PASS","FAIL")</x:f>
        <x:v>PASS</x:v>
      </x:c>
      <x:c r="I9" t="n">
        <x:v>3</x:v>
      </x:c>
      <x:c r="J9" t="n">
        <x:f>COUNTIFS('Source Audit'!$A:$A,A9,'Source Audit'!$P:$P,"PASS")</x:f>
        <x:v>3</x:v>
      </x:c>
      <x:c r="K9" t="str">
        <x:f>IF(AND(H9="PASS",J9=I9),"PASS","FAIL")</x:f>
        <x:v>PASS</x:v>
      </x:c>
    </x:row>
    <x:row r="10">
      <x:c r="A10" t="str">
        <x:v>2018-04-26</x:v>
      </x:c>
      <x:c r="B10" t="str">
        <x:v>NEM</x:v>
      </x:c>
      <x:c r="C10" s="20" t="n">
        <x:v>-0.28</x:v>
      </x:c>
      <x:c r="D10" s="20" t="n">
        <x:v>-0.34</x:v>
      </x:c>
      <x:c r="E10" t="str">
        <x:v>ret_1day_pct</x:v>
      </x:c>
      <x:c r="F10" t="str">
        <x:f>IF(E10="ret_1day_pct",IF(C10&gt;0.1,"UP",IF(C10&lt;-0.1,"DOWN","FLAT")),IF(D10&gt;0.1,"UP",IF(D10&lt;-0.1,"DOWN","FLAT")))</x:f>
        <x:v>DOWN</x:v>
      </x:c>
      <x:c r="G10" t="str">
        <x:v>DOWN</x:v>
      </x:c>
      <x:c r="H10" t="str">
        <x:f>IF(F10=G10,"PASS","FAIL")</x:f>
        <x:v>PASS</x:v>
      </x:c>
      <x:c r="I10" t="n">
        <x:v>2</x:v>
      </x:c>
      <x:c r="J10" t="n">
        <x:f>COUNTIFS('Source Audit'!$A:$A,A10,'Source Audit'!$P:$P,"PASS")</x:f>
        <x:v>2</x:v>
      </x:c>
      <x:c r="K10" t="str">
        <x:f>IF(AND(H10="PASS",J10=I10),"PASS","FAIL")</x:f>
        <x:v>PASS</x:v>
      </x:c>
    </x:row>
    <x:row r="11">
      <x:c r="A11" t="str">
        <x:v>2018-07-26</x:v>
      </x:c>
      <x:c r="B11" t="str">
        <x:v>NEM</x:v>
      </x:c>
      <x:c r="C11" s="20" t="n">
        <x:v>1.06</x:v>
      </x:c>
      <x:c r="D11" s="20" t="n">
        <x:v>-1.67</x:v>
      </x:c>
      <x:c r="E11" t="str">
        <x:v>ret_1day_pct</x:v>
      </x:c>
      <x:c r="F11" t="str">
        <x:f>IF(E11="ret_1day_pct",IF(C11&gt;0.1,"UP",IF(C11&lt;-0.1,"DOWN","FLAT")),IF(D11&gt;0.1,"UP",IF(D11&lt;-0.1,"DOWN","FLAT")))</x:f>
        <x:v>UP</x:v>
      </x:c>
      <x:c r="G11" t="str">
        <x:v>UP</x:v>
      </x:c>
      <x:c r="H11" t="str">
        <x:f>IF(F11=G11,"PASS","FAIL")</x:f>
        <x:v>PASS</x:v>
      </x:c>
      <x:c r="I11" t="n">
        <x:v>2</x:v>
      </x:c>
      <x:c r="J11" t="n">
        <x:f>COUNTIFS('Source Audit'!$A:$A,A11,'Source Audit'!$P:$P,"PASS")</x:f>
        <x:v>2</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2" hidden="0" customWidth="1"/>
  </x:cols>
  <x:sheetData>
    <x:row r="1">
      <x:c r="A1" s="5" t="str">
        <x:v>Item</x:v>
      </x:c>
      <x:c r="B1" s="5" t="str">
        <x:v>Rule</x:v>
      </x:c>
    </x:row>
    <x:row r="2">
      <x:c r="A2" s="12" t="str">
        <x:v>Rebuild status</x:v>
      </x:c>
      <x:c r="B2" s="12" t="str">
        <x:v>NEM rebuilt from scratch under the corrected verification protocol.</x:v>
      </x:c>
    </x:row>
    <x:row r="3">
      <x:c r="A3" s="12" t="str">
        <x:v>Identity source</x:v>
      </x:c>
      <x:c r="B3" s="12" t="str">
        <x:v>Ticker/company, exact earnings dates and return fields come from group_observations.csv.</x:v>
      </x:c>
    </x:row>
    <x:row r="4">
      <x:c r="A4" s="12" t="str">
        <x:v>Reaction timing</x:v>
      </x:c>
      <x:c r="B4" s="12" t="str">
        <x:v>The sample changes timing: Apr 2016 through Apr 2017 releases were after close, so ret_1daypost_pct is primary; Jul 2017 through Jul 2018 releases were before open, so ret_1day_pct is primary.</x:v>
      </x:c>
    </x:row>
    <x:row r="5">
      <x:c r="A5" s="12" t="str">
        <x:v>Narrative</x:v>
      </x:c>
      <x:c r="B5" s="12" t="str">
        <x:v>Short Prior Context, detailed Current Earnings Release, and three concise Possible Drivers. The long return-path paragraph is omitted.</x:v>
      </x:c>
    </x:row>
    <x:row r="6">
      <x:c r="A6" s="12" t="str">
        <x:v>Commodity distinction</x:v>
      </x:c>
      <x:c r="B6" s="12" t="str">
        <x:v>Newmont is commodity-exposed. Gold-price/sector effects are separated from company-specific production, CAS/AISC, FCF, project execution and guidance. Where no compliant contemporaneous attribution exists, drivers are labeled as supported inference.</x:v>
      </x:c>
    </x:row>
    <x:row r="7">
      <x:c r="A7" s="12" t="str">
        <x:v>Sources</x:v>
      </x:c>
      <x:c r="B7" s="12" t="str">
        <x:v>Newmont/SEC anchors factual results. Reaction sources are included only when date-matched and compliant; events may intentionally have only one or two sources.</x:v>
      </x:c>
    </x:row>
    <x:row r="8">
      <x:c r="A8" s="12" t="str">
        <x:v>Timing</x:v>
      </x:c>
      <x:c r="B8" s="12" t="str">
        <x:v>Prior = -100..-1 days; release = 0; reaction = 0..+3.</x:v>
      </x:c>
    </x:row>
    <x:row r="9">
      <x:c r="A9" s="12" t="str">
        <x:v>Restrictions</x:v>
      </x:c>
      <x:c r="B9" s="12" t="str">
        <x:v>No WSJ, Reuters, Dow Jones or MarketWatch-syndicated source is included. Reuters-derived coverage found for some events was deliberately excluded.</x:v>
      </x:c>
    </x:row>
    <x:row r="10">
      <x:c r="A10" s="12" t="str">
        <x:v>QA</x:v>
      </x:c>
      <x:c r="B10" s="12" t="str">
        <x:v>Event QA selects the correct return field based on release timing, recomputes direction mechanically, and checks each event's exact PASS source count.</x:v>
      </x:c>
    </x:row>
  </x:sheetData>
  <x:pageMargins left="0.7" right="0.7" top="0.75" bottom="0.75" header="0.3" footer="0.3"/>
</x:worksheet>
</file>