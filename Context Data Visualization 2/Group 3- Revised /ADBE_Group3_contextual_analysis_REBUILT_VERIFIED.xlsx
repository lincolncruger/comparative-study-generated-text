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f565ff37d846cb" /></Relationships>
</file>

<file path=xl/workbook.xml><?xml version="1.0" encoding="utf-8"?>
<x:workbook xmlns:x="http://schemas.openxmlformats.org/spreadsheetml/2006/main">
  <x:sheets>
    <x:sheet xmlns:r="http://schemas.openxmlformats.org/officeDocument/2006/relationships" name="ADBE" sheetId="1" r:id="Rafd74146f80544dc"/>
    <x:sheet xmlns:r="http://schemas.openxmlformats.org/officeDocument/2006/relationships" name="Source Audit" sheetId="2" r:id="R2375a8a00b424176"/>
    <x:sheet xmlns:r="http://schemas.openxmlformats.org/officeDocument/2006/relationships" name="Event QA" sheetId="3" r:id="Re561e97732564536"/>
    <x:sheet xmlns:r="http://schemas.openxmlformats.org/officeDocument/2006/relationships" name="Methodology" sheetId="4" r:id="R0ab93523e76142a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0e2dcfa7fd449d" /><Relationship Type="http://schemas.openxmlformats.org/officeDocument/2006/relationships/theme" Target="/xl/theme/theme1.xml" Id="R516644d1419b46a0" /><Relationship Type="http://schemas.openxmlformats.org/officeDocument/2006/relationships/sharedStrings" Target="/xl/sharedStrings.xml" Id="R649a5065b0a74172" /><Relationship Type="http://schemas.openxmlformats.org/officeDocument/2006/relationships/worksheet" Target="/xl/worksheets/sheet1.xml" Id="Rafd74146f80544dc" /><Relationship Type="http://schemas.openxmlformats.org/officeDocument/2006/relationships/worksheet" Target="/xl/worksheets/sheet2.xml" Id="R2375a8a00b424176" /><Relationship Type="http://schemas.openxmlformats.org/officeDocument/2006/relationships/worksheet" Target="/xl/worksheets/sheet3.xml" Id="Re561e97732564536" /><Relationship Type="http://schemas.openxmlformats.org/officeDocument/2006/relationships/worksheet" Target="/xl/worksheets/sheet4.xml" Id="R0ab93523e76142a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4" hidden="0" customWidth="1"/>
    <x:col min="15" max="15" width="64" hidden="0" customWidth="1"/>
    <x:col min="16" max="16" width="64"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ADBE</x:v>
      </x:c>
      <x:c r="C2" s="15" t="str">
        <x:v>Adobe</x:v>
      </x:c>
      <x:c r="D2" s="15" t="str">
        <x:v>2016q2</x:v>
      </x:c>
      <x:c r="E2" s="15" t="str">
        <x:v>2016-06-21</x:v>
      </x:c>
      <x:c r="F2" s="18" t="n">
        <x:v>1.53</x:v>
      </x:c>
      <x:c r="G2" s="18" t="n">
        <x:v>-5.54</x:v>
      </x:c>
      <x:c r="H2" s="18" t="n">
        <x:v>-4.09</x:v>
      </x:c>
      <x:c r="I2" s="18" t="n">
        <x:v>-2.37</x:v>
      </x:c>
      <x:c r="J2" s="18" t="n">
        <x:v>-1.99</x:v>
      </x:c>
      <x:c r="K2" s="15" t="str">
        <x:v>ret_1daypost_pct</x:v>
      </x:c>
      <x:c r="L2" s="15" t="str">
        <x:v>DOWN</x:v>
      </x:c>
      <x:c r="M2" s="15" t="str">
        <x:v>## Prior Context
Adobe had already completed most of its transition from perpetual Creative Suite licenses to Creative Cloud subscriptions. The central question was no longer whether subscriptions would work, but whether annualized recurring revenue (ARR) could keep compounding fast enough to justify a premium valuation.
### Verified prior source
No prior source included: no page was added merely to satisfy a source-count target.
## Current Earnings Release
Adobe reported record fiscal Q2 revenue of **$1.40 billion**, up **20%** year over year, and non-GAAP EPS of **$0.71**, above the roughly $0.68 consensus. Digital Media revenue increased **26% to $943 million**, Creative revenue rose **37% to $755 million**, and Digital Media ARR reached **$3.41 billion**, up $285 million sequentially.
The problem was the forward bar. Adobe guided fiscal Q3 revenue to **$1.42–$1.47 billion**, with the top end roughly matching Wall Street’s expectation rather than exceeding it. After the stock had touched a fresh 52-week high before earnings, investors treated the merely in-line cloud-growth outlook as a disappointment despite a fundamentally strong quarter.
### Verified release source
2016-06-21 | Adobe | Adobe Reports Record Revenue — Q2 FY2016 | https://www.adobe.com/cc-shared/assets/investor-relations/pdfs/adobeq216earnings-1.pdf
## Possible Drivers
**First-order driver.** The stock fell because Q3 revenue guidance did not clear the high expectations embedded in the shares.
**Second-order driver.** Creative Cloud ARR and subscription adoption remained strong, so the weakness was forward-expectations driven rather than operational.
**Third-order driver.** The pre-earnings valuation made an in-line guide insufficient after an otherwise solid beat.
### Verified reaction source
2016-06-21 | TheStreet | Adobe Drops on Concerns That Cloud Sales Will Soften Next Quarter | https://www.thestreet.com/story/13615681/1/adobe-drops-on-concerns-that-cloud-sales-will-soften-next-quarter.html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2" s="15" t="str">
        <x:v>None</x:v>
      </x:c>
      <x:c r="O2" s="15" t="str">
        <x:v>2016-06-21 | Adobe | Adobe Reports Record Revenue — Q2 FY2016 | https://www.adobe.com/cc-shared/assets/investor-relations/pdfs/adobeq216earnings-1.pdf</x:v>
      </x:c>
      <x:c r="P2" s="15" t="str">
        <x:v>2016-06-21 | TheStreet | Adobe Drops on Concerns That Cloud Sales Will Soften Next Quarter | https://www.thestreet.com/story/13615681/1/adobe-drops-on-concerns-that-cloud-sales-will-soften-next-quarter.html</x:v>
      </x:c>
      <x:c r="Q2" s="15" t="str">
        <x:v>2016-06-21 | Adobe | Adobe Reports Record Revenue — Q2 FY2016 | https://www.adobe.com/cc-shared/assets/investor-relations/pdfs/adobeq216earnings-1.pdf
2016-06-21 | TheStreet | Adobe Drops on Concerns That Cloud Sales Will Soften Next Quarter | https://www.thestreet.com/story/13615681/1/adobe-drops-on-concerns-that-cloud-sales-will-soften-next-quarter.html</x:v>
      </x:c>
      <x:c r="R2" s="15" t="n">
        <x:v>2</x:v>
      </x:c>
      <x:c r="S2" s="15" t="str">
        <x:v>PASS</x:v>
      </x:c>
    </x:row>
    <x:row r="3" ht="340" customHeight="1">
      <x:c r="A3" s="15" t="n">
        <x:v>1</x:v>
      </x:c>
      <x:c r="B3" s="15" t="str">
        <x:v>ADBE</x:v>
      </x:c>
      <x:c r="C3" s="15" t="str">
        <x:v>Adobe</x:v>
      </x:c>
      <x:c r="D3" s="15" t="str">
        <x:v>2016q3</x:v>
      </x:c>
      <x:c r="E3" s="15" t="str">
        <x:v>2016-09-20</x:v>
      </x:c>
      <x:c r="F3" s="18" t="n">
        <x:v>0.98</x:v>
      </x:c>
      <x:c r="G3" s="18" t="n">
        <x:v>5.93</x:v>
      </x:c>
      <x:c r="H3" s="18" t="n">
        <x:v>6.97</x:v>
      </x:c>
      <x:c r="I3" s="18" t="n">
        <x:v>7.63</x:v>
      </x:c>
      <x:c r="J3" s="18" t="n">
        <x:v>7.12</x:v>
      </x:c>
      <x:c r="K3" s="15" t="str">
        <x:v>ret_1daypost_pct</x:v>
      </x:c>
      <x:c r="L3" s="15" t="str">
        <x:v>UP</x:v>
      </x:c>
      <x:c r="M3" s="15" t="str">
        <x:v>## Prior Context
After June’s selloff, the key issue was whether Adobe could reaccelerate subscription momentum and restore confidence in forward cloud growth.
### Verified prior source
2016-06-21 | Adobe | Adobe Reports Record Revenue — Q2 FY2016 | https://www.adobe.com/cc-shared/assets/investor-relations/pdfs/adobeq216earnings-1.pdf
## Current Earnings Release
Fiscal Q3 revenue reached a record **$1.46 billion**, up **20%**, while non-GAAP EPS was **$0.75**. Both exceeded consensus. Digital Media revenue was **$990 million**, Creative revenue grew **39%**, and Digital Media ARR increased another **$285 million to $3.70 billion**.
The more important signal was guidance. Adobe raised its Q4 adjusted EPS outlook to **$0.83–$0.89**, comfortably above the roughly $0.78 expectation, while maintaining strong Digital Media and Marketing Cloud growth targets. The release therefore combined a current-quarter beat with a materially better earnings outlook.
### Verified release source
2016-09-20 | Adobe | Adobe Reports Record Revenue — Q3 FY2016 | https://www.adobe.com/cc-shared/assets/pdf/corporate/investor-relations/adobeq316earnings.pdf
## Possible Drivers
**First-order driver.** Shares surged because Adobe beat revenue/EPS expectations and raised Q4 earnings guidance.
**Second-order driver.** Creative Cloud ARR growth showed subscription momentum remained intact after the June concern.
**Third-order driver.** Improving operating leverage strengthened the earnings quality of the cloud transition.
### Verified reaction source
2016-09-21 | TheStreet | Adobe Stock Surges on Q3 Results, Guidance | https://www.thestreet.com/markets/adobe-adbe-stock-surges-on-q3-results-guidance-13747461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3" s="15" t="str">
        <x:v>2016-06-21 | Adobe | Adobe Reports Record Revenue — Q2 FY2016 | https://www.adobe.com/cc-shared/assets/investor-relations/pdfs/adobeq216earnings-1.pdf</x:v>
      </x:c>
      <x:c r="O3" s="15" t="str">
        <x:v>2016-09-20 | Adobe | Adobe Reports Record Revenue — Q3 FY2016 | https://www.adobe.com/cc-shared/assets/pdf/corporate/investor-relations/adobeq316earnings.pdf</x:v>
      </x:c>
      <x:c r="P3" s="15" t="str">
        <x:v>2016-09-21 | TheStreet | Adobe Stock Surges on Q3 Results, Guidance | https://www.thestreet.com/markets/adobe-adbe-stock-surges-on-q3-results-guidance-13747461</x:v>
      </x:c>
      <x:c r="Q3" s="15" t="str">
        <x:v>2016-06-21 | Adobe | Adobe Reports Record Revenue — Q2 FY2016 | https://www.adobe.com/cc-shared/assets/investor-relations/pdfs/adobeq216earnings-1.pdf
2016-09-20 | Adobe | Adobe Reports Record Revenue — Q3 FY2016 | https://www.adobe.com/cc-shared/assets/pdf/corporate/investor-relations/adobeq316earnings.pdf
2016-09-21 | TheStreet | Adobe Stock Surges on Q3 Results, Guidance | https://www.thestreet.com/markets/adobe-adbe-stock-surges-on-q3-results-guidance-13747461</x:v>
      </x:c>
      <x:c r="R3" s="15" t="n">
        <x:v>3</x:v>
      </x:c>
      <x:c r="S3" s="15" t="str">
        <x:v>PASS</x:v>
      </x:c>
    </x:row>
    <x:row r="4" ht="340" customHeight="1">
      <x:c r="A4" s="15" t="n">
        <x:v>2</x:v>
      </x:c>
      <x:c r="B4" s="15" t="str">
        <x:v>ADBE</x:v>
      </x:c>
      <x:c r="C4" s="15" t="str">
        <x:v>Adobe</x:v>
      </x:c>
      <x:c r="D4" s="15" t="str">
        <x:v>2016q4</x:v>
      </x:c>
      <x:c r="E4" s="15" t="str">
        <x:v>2016-12-15</x:v>
      </x:c>
      <x:c r="F4" s="18" t="n">
        <x:v>-1.03</x:v>
      </x:c>
      <x:c r="G4" s="18" t="n">
        <x:v>-1.36</x:v>
      </x:c>
      <x:c r="H4" s="18" t="n">
        <x:v>-2.37</x:v>
      </x:c>
      <x:c r="I4" s="18" t="n">
        <x:v>-1.75</x:v>
      </x:c>
      <x:c r="J4" s="18" t="n">
        <x:v>-0.28</x:v>
      </x:c>
      <x:c r="K4" s="15" t="str">
        <x:v>ret_1daypost_pct</x:v>
      </x:c>
      <x:c r="L4" s="15" t="str">
        <x:v>DOWN</x:v>
      </x:c>
      <x:c r="M4" s="15" t="str">
        <x:v>## Prior Context
Adobe entered year-end after a strong Q3 beat-and-raise. Investors were now expecting the subscription model to produce both recurring revenue growth and rapidly improving profit leverage.
### Verified prior source
2016-09-20 | Adobe | Adobe Reports Record Revenue — Q3 FY2016 | https://www.adobe.com/cc-shared/assets/pdf/corporate/investor-relations/adobeq316earnings.pdf
## Current Earnings Release
Fiscal Q4 revenue increased **23% to $1.61 billion** and adjusted EPS reached **$0.90**, both ahead of consensus. Digital Media revenue rose strongly, and Marketing Cloud revenue increased **32%**. Adobe closed fiscal 2016 with record annual revenue, net income, cash flow and deferred revenue.
The weak point was fiscal 2017 guidance. Adobe targeted approximately **$6.95 billion** of annual revenue, slightly below the roughly $7.0 billion consensus, largely because of currency headwinds. The current quarter was strong, but the market focused on the lower forward revenue base.
### Verified release source
2016-12-15 | Adobe | Adobe Reports Record Revenue and Net Income — Q4/FY2016 | https://www.adobe.com/cc-shared/assets/pdf/corporate/investor-relations/adobeq416earnings.pdf
## Possible Drivers
**First-order driver.** The stock fell modestly because fiscal-2017 revenue guidance came in below consensus despite a Q4 beat.
**Second-order driver.** Subscription and cloud fundamentals remained strong, limiting the downside.
**Third-order driver.** Currency headwinds—not a deterioration in product demand—were an important reason for the lower annual outlook.
### Verified reaction source
2016-12-16 | TheStreet | Adobe Guidance Disappointing, but Fourth Quarter Still Strong: What Wall Street's Saying | https://www.thestreet.com/investing/stocks/adobe-guidance-disappointing-but-q4-still-strong-what-wall-street-s-saying-13928941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4" s="15" t="str">
        <x:v>2016-09-20 | Adobe | Adobe Reports Record Revenue — Q3 FY2016 | https://www.adobe.com/cc-shared/assets/pdf/corporate/investor-relations/adobeq316earnings.pdf</x:v>
      </x:c>
      <x:c r="O4" s="15" t="str">
        <x:v>2016-12-15 | Adobe | Adobe Reports Record Revenue and Net Income — Q4/FY2016 | https://www.adobe.com/cc-shared/assets/pdf/corporate/investor-relations/adobeq416earnings.pdf</x:v>
      </x:c>
      <x:c r="P4" s="15" t="str">
        <x:v>2016-12-16 | TheStreet | Adobe Guidance Disappointing, but Fourth Quarter Still Strong: What Wall Street's Saying | https://www.thestreet.com/investing/stocks/adobe-guidance-disappointing-but-q4-still-strong-what-wall-street-s-saying-13928941</x:v>
      </x:c>
      <x:c r="Q4" s="15" t="str">
        <x:v>2016-09-20 | Adobe | Adobe Reports Record Revenue — Q3 FY2016 | https://www.adobe.com/cc-shared/assets/pdf/corporate/investor-relations/adobeq316earnings.pdf
2016-12-15 | Adobe | Adobe Reports Record Revenue and Net Income — Q4/FY2016 | https://www.adobe.com/cc-shared/assets/pdf/corporate/investor-relations/adobeq416earnings.pdf
2016-12-16 | TheStreet | Adobe Guidance Disappointing, but Fourth Quarter Still Strong: What Wall Street's Saying | https://www.thestreet.com/investing/stocks/adobe-guidance-disappointing-but-q4-still-strong-what-wall-street-s-saying-13928941</x:v>
      </x:c>
      <x:c r="R4" s="15" t="n">
        <x:v>3</x:v>
      </x:c>
      <x:c r="S4" s="15" t="str">
        <x:v>PASS</x:v>
      </x:c>
    </x:row>
    <x:row r="5" ht="340" customHeight="1">
      <x:c r="A5" s="15" t="n">
        <x:v>3</x:v>
      </x:c>
      <x:c r="B5" s="15" t="str">
        <x:v>ADBE</x:v>
      </x:c>
      <x:c r="C5" s="15" t="str">
        <x:v>Adobe</x:v>
      </x:c>
      <x:c r="D5" s="15" t="str">
        <x:v>2017q1</x:v>
      </x:c>
      <x:c r="E5" s="15" t="str">
        <x:v>2017-03-16</x:v>
      </x:c>
      <x:c r="F5" s="18" t="n">
        <x:v>0.26</x:v>
      </x:c>
      <x:c r="G5" s="18" t="n">
        <x:v>3.89</x:v>
      </x:c>
      <x:c r="H5" s="18" t="n">
        <x:v>4.16</x:v>
      </x:c>
      <x:c r="I5" s="18" t="n">
        <x:v>3.68</x:v>
      </x:c>
      <x:c r="J5" s="18" t="n">
        <x:v>3.74</x:v>
      </x:c>
      <x:c r="K5" s="15" t="str">
        <x:v>ret_1daypost_pct</x:v>
      </x:c>
      <x:c r="L5" s="15" t="str">
        <x:v>UP</x:v>
      </x:c>
      <x:c r="M5" s="15" t="str">
        <x:v>## Prior Context
Adobe began fiscal 2017 with a slightly lower currency-affected annual revenue target, so investors wanted proof that Creative Cloud and Marketing/Experience Cloud demand remained strong enough to overcome that headwind.
### Verified prior source
2016-12-15 | Adobe | Adobe Reports Record Revenue and Net Income — Q4/FY2016 | https://www.adobe.com/cc-shared/assets/pdf/corporate/investor-relations/adobeq416earnings.pdf
## Current Earnings Release
Adobe posted record fiscal Q1 revenue of **$1.68 billion**, up **22%**, and non-GAAP EPS of **$0.94**, above consensus near $0.87. Digital Media revenue reached **$1.14 billion**, Creative revenue was **$942 million**, and Digital Media ARR rose to **$4.25 billion**.
Adobe also produced record operating profit and cash flow. Importantly, management remained bullish on the rest of fiscal 2017 and guided the next quarter above the market’s prior earnings expectations. The quarter showed that the subscription transition was not merely sustaining revenue—it was increasingly generating operating leverage.
### Verified release source
2017-03-16 | Adobe | Adobe Reports Record Revenue — Q1 FY2017 | https://www.adobe.com/cc-shared/assets/pdf/corporate/investor-relations/adobeq117earnings.pdf
## Possible Drivers
**First-order driver.** Shares rose because revenue and EPS beat expectations and forward guidance remained strong.
**Second-order driver.** Creative Cloud and Document Cloud adoption continued to lift recurring revenue.
**Third-order driver.** Record operating profit and cash flow confirmed improving leverage in the subscription model.
### Verified reaction source
2017-03-17 | TheStreet | Adobe Shares Surge on Q1 Beat: What Wall Street's Saying | https://www.thestreet.com/investing/stocks/adobe-shares-surge-on-q1-beat-what-wall-street-s-saying-14048855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5" s="15" t="str">
        <x:v>2016-12-15 | Adobe | Adobe Reports Record Revenue and Net Income — Q4/FY2016 | https://www.adobe.com/cc-shared/assets/pdf/corporate/investor-relations/adobeq416earnings.pdf</x:v>
      </x:c>
      <x:c r="O5" s="15" t="str">
        <x:v>2017-03-16 | Adobe | Adobe Reports Record Revenue — Q1 FY2017 | https://www.adobe.com/cc-shared/assets/pdf/corporate/investor-relations/adobeq117earnings.pdf</x:v>
      </x:c>
      <x:c r="P5" s="15" t="str">
        <x:v>2017-03-17 | TheStreet | Adobe Shares Surge on Q1 Beat: What Wall Street's Saying | https://www.thestreet.com/investing/stocks/adobe-shares-surge-on-q1-beat-what-wall-street-s-saying-14048855</x:v>
      </x:c>
      <x:c r="Q5" s="15" t="str">
        <x:v>2016-12-15 | Adobe | Adobe Reports Record Revenue and Net Income — Q4/FY2016 | https://www.adobe.com/cc-shared/assets/pdf/corporate/investor-relations/adobeq416earnings.pdf
2017-03-16 | Adobe | Adobe Reports Record Revenue — Q1 FY2017 | https://www.adobe.com/cc-shared/assets/pdf/corporate/investor-relations/adobeq117earnings.pdf
2017-03-17 | TheStreet | Adobe Shares Surge on Q1 Beat: What Wall Street's Saying | https://www.thestreet.com/investing/stocks/adobe-shares-surge-on-q1-beat-what-wall-street-s-saying-14048855</x:v>
      </x:c>
      <x:c r="R5" s="15" t="n">
        <x:v>3</x:v>
      </x:c>
      <x:c r="S5" s="15" t="str">
        <x:v>PASS</x:v>
      </x:c>
    </x:row>
    <x:row r="6" ht="340" customHeight="1">
      <x:c r="A6" s="15" t="n">
        <x:v>4</x:v>
      </x:c>
      <x:c r="B6" s="15" t="str">
        <x:v>ADBE</x:v>
      </x:c>
      <x:c r="C6" s="15" t="str">
        <x:v>Adobe</x:v>
      </x:c>
      <x:c r="D6" s="15" t="str">
        <x:v>2017q2</x:v>
      </x:c>
      <x:c r="E6" s="15" t="str">
        <x:v>2017-06-20</x:v>
      </x:c>
      <x:c r="F6" s="18" t="n">
        <x:v>1.15</x:v>
      </x:c>
      <x:c r="G6" s="18" t="n">
        <x:v>2.44</x:v>
      </x:c>
      <x:c r="H6" s="18" t="n">
        <x:v>3.62</x:v>
      </x:c>
      <x:c r="I6" s="18" t="n">
        <x:v>4.71</x:v>
      </x:c>
      <x:c r="J6" s="18" t="n">
        <x:v>5.17</x:v>
      </x:c>
      <x:c r="K6" s="15" t="str">
        <x:v>ret_1daypost_pct</x:v>
      </x:c>
      <x:c r="L6" s="15" t="str">
        <x:v>UP</x:v>
      </x:c>
      <x:c r="M6" s="15" t="str">
        <x:v>## Prior Context
After the strong Q1, expectations were elevated. The market wanted Adobe to maintain roughly 20%-plus growth while continuing to expand Creative Cloud ARR and Experience Cloud revenue.
### Verified prior source
2017-03-16 | Adobe | Adobe Reports Record Revenue — Q1 FY2017 | https://www.adobe.com/cc-shared/assets/pdf/corporate/investor-relations/adobeq117earnings.pdf
## Current Earnings Release
Fiscal Q2 revenue increased **27% to $1.77 billion** and non-GAAP EPS rose **44% to $1.02**, both above consensus. Creative revenue crossed **$1.0 billion** for the first time, Digital Media ARR reached **$4.56 billion**, and Experience Cloud revenue grew **29% to $495 million**.
Adobe also guided fiscal Q3 revenue and adjusted EPS above then-consensus expectations and raised its fiscal-2017 sales-growth target. The quarter therefore delivered on all three dimensions investors cared about: recurring revenue, operating leverage and forward growth.
### Verified release source
2017-06-20 | Adobe | Adobe Achieves Record Revenue — Q2 FY2017 | https://www.adobe.com/cc-shared/assets/pdf/corporate/investor-relations/adobeq217earnings.pdf
## Possible Drivers
**First-order driver.** The stock rose because Adobe delivered a broad beat and stronger forward guidance.
**Second-order driver.** Creative revenue surpassing $1 billion reinforced the scale of the subscription franchise.
**Third-order driver.** Experience Cloud growth broadened Adobe beyond the core creative-software market.
### Verified reaction source
2017-06-21 | The Motley Fool | What Happened in the Stock Market Today | https://www.fool.com/investing/2017/06/21/what-happened-in-the-stock-market-today-29.aspx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6" s="15" t="str">
        <x:v>2017-03-16 | Adobe | Adobe Reports Record Revenue — Q1 FY2017 | https://www.adobe.com/cc-shared/assets/pdf/corporate/investor-relations/adobeq117earnings.pdf</x:v>
      </x:c>
      <x:c r="O6" s="15" t="str">
        <x:v>2017-06-20 | Adobe | Adobe Achieves Record Revenue — Q2 FY2017 | https://www.adobe.com/cc-shared/assets/pdf/corporate/investor-relations/adobeq217earnings.pdf</x:v>
      </x:c>
      <x:c r="P6" s="15" t="str">
        <x:v>2017-06-21 | The Motley Fool | What Happened in the Stock Market Today | https://www.fool.com/investing/2017/06/21/what-happened-in-the-stock-market-today-29.aspx</x:v>
      </x:c>
      <x:c r="Q6" s="15" t="str">
        <x:v>2017-03-16 | Adobe | Adobe Reports Record Revenue — Q1 FY2017 | https://www.adobe.com/cc-shared/assets/pdf/corporate/investor-relations/adobeq117earnings.pdf
2017-06-20 | Adobe | Adobe Achieves Record Revenue — Q2 FY2017 | https://www.adobe.com/cc-shared/assets/pdf/corporate/investor-relations/adobeq217earnings.pdf
2017-06-21 | The Motley Fool | What Happened in the Stock Market Today | https://www.fool.com/investing/2017/06/21/what-happened-in-the-stock-market-today-29.aspx</x:v>
      </x:c>
      <x:c r="R6" s="15" t="n">
        <x:v>3</x:v>
      </x:c>
      <x:c r="S6" s="15" t="str">
        <x:v>PASS</x:v>
      </x:c>
    </x:row>
    <x:row r="7" ht="340" customHeight="1">
      <x:c r="A7" s="15" t="n">
        <x:v>5</x:v>
      </x:c>
      <x:c r="B7" s="15" t="str">
        <x:v>ADBE</x:v>
      </x:c>
      <x:c r="C7" s="15" t="str">
        <x:v>Adobe</x:v>
      </x:c>
      <x:c r="D7" s="15" t="str">
        <x:v>2017q3</x:v>
      </x:c>
      <x:c r="E7" s="15" t="str">
        <x:v>2017-09-19</x:v>
      </x:c>
      <x:c r="F7" s="18" t="n">
        <x:v>0.42</x:v>
      </x:c>
      <x:c r="G7" s="18" t="n">
        <x:v>-4.33</x:v>
      </x:c>
      <x:c r="H7" s="18" t="n">
        <x:v>-3.93</x:v>
      </x:c>
      <x:c r="I7" s="18" t="n">
        <x:v>-3.33</x:v>
      </x:c>
      <x:c r="J7" s="18" t="n">
        <x:v>-4.13</x:v>
      </x:c>
      <x:c r="K7" s="15" t="str">
        <x:v>ret_1daypost_pct</x:v>
      </x:c>
      <x:c r="L7" s="15" t="str">
        <x:v>DOWN</x:v>
      </x:c>
      <x:c r="M7" s="15" t="str">
        <x:v>## Prior Context
Adobe shares had risen roughly 45% year to date and were near record highs. That made the expectations bar unusually high even though underlying cloud demand remained strong.
### Verified prior source
2017-06-20 | Adobe | Adobe Achieves Record Revenue — Q2 FY2017 | https://www.adobe.com/cc-shared/assets/pdf/corporate/investor-relations/adobeq217earnings.pdf
## Current Earnings Release
Fiscal Q3 revenue increased **26% to $1.84 billion**, above Adobe’s prior target, and non-GAAP EPS reached **$1.10**. Digital Media revenue rose **28%**, Experience Cloud revenue increased **26%**, and Digital Media ARR climbed by **$308 million to $4.87 billion**.
The disappointment was the Q4 revenue outlook. Adobe guided revenue roughly **in line with consensus**, while EPS guidance was somewhat better. For a stock already priced for repeated beat-and-raise quarters, an in-line top-line guide was enough to trigger a selloff even though the reported quarter itself was strong.
### Verified release source
2017-09-19 | Adobe | Adobe Reports Record Revenue — Q3 FY2017 | https://www.adobe.com/cc-shared/assets/pdf/corporate/investor-relations/adobeq317earnings.pdf
## Possible Drivers
**First-order driver.** Shares fell because Q4 revenue guidance was only in line with expectations after a large pre-earnings run.
**Second-order driver.** The current quarter beat estimates, so the decline was an expectations reset rather than a deterioration in cloud demand.
**Third-order driver.** High valuation made investors unusually sensitive to any sign of slower incremental upside.
### Verified reaction source
2017-09-20 | Schaeffer's Research | Adobe Analysts Up Targets as Stock Sinks | https://www.schaeffersresearch.com/content/news/2017/09/20/2-dow-drugmakers-go-to-court-adobe-analysts-up-targets-as-stock-sinks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7" s="15" t="str">
        <x:v>2017-06-20 | Adobe | Adobe Achieves Record Revenue — Q2 FY2017 | https://www.adobe.com/cc-shared/assets/pdf/corporate/investor-relations/adobeq217earnings.pdf</x:v>
      </x:c>
      <x:c r="O7" s="15" t="str">
        <x:v>2017-09-19 | Adobe | Adobe Reports Record Revenue — Q3 FY2017 | https://www.adobe.com/cc-shared/assets/pdf/corporate/investor-relations/adobeq317earnings.pdf</x:v>
      </x:c>
      <x:c r="P7" s="15" t="str">
        <x:v>2017-09-20 | Schaeffer's Research | Adobe Analysts Up Targets as Stock Sinks | https://www.schaeffersresearch.com/content/news/2017/09/20/2-dow-drugmakers-go-to-court-adobe-analysts-up-targets-as-stock-sinks</x:v>
      </x:c>
      <x:c r="Q7" s="15" t="str">
        <x:v>2017-06-20 | Adobe | Adobe Achieves Record Revenue — Q2 FY2017 | https://www.adobe.com/cc-shared/assets/pdf/corporate/investor-relations/adobeq217earnings.pdf
2017-09-19 | Adobe | Adobe Reports Record Revenue — Q3 FY2017 | https://www.adobe.com/cc-shared/assets/pdf/corporate/investor-relations/adobeq317earnings.pdf
2017-09-20 | Schaeffer's Research | Adobe Analysts Up Targets as Stock Sinks | https://www.schaeffersresearch.com/content/news/2017/09/20/2-dow-drugmakers-go-to-court-adobe-analysts-up-targets-as-stock-sinks</x:v>
      </x:c>
      <x:c r="R7" s="15" t="n">
        <x:v>3</x:v>
      </x:c>
      <x:c r="S7" s="15" t="str">
        <x:v>PASS</x:v>
      </x:c>
    </x:row>
    <x:row r="8" ht="340" customHeight="1">
      <x:c r="A8" s="15" t="n">
        <x:v>6</x:v>
      </x:c>
      <x:c r="B8" s="15" t="str">
        <x:v>ADBE</x:v>
      </x:c>
      <x:c r="C8" s="15" t="str">
        <x:v>Adobe</x:v>
      </x:c>
      <x:c r="D8" s="15" t="str">
        <x:v>2017q4</x:v>
      </x:c>
      <x:c r="E8" s="15" t="str">
        <x:v>2017-12-14</x:v>
      </x:c>
      <x:c r="F8" s="18" t="n">
        <x:v>-0.6</x:v>
      </x:c>
      <x:c r="G8" s="18" t="n">
        <x:v>0.64</x:v>
      </x:c>
      <x:c r="H8" s="18" t="n">
        <x:v>0.04</x:v>
      </x:c>
      <x:c r="I8" s="18" t="n">
        <x:v>2.47</x:v>
      </x:c>
      <x:c r="J8" s="18" t="n">
        <x:v>0.67</x:v>
      </x:c>
      <x:c r="K8" s="15" t="str">
        <x:v>ret_1daypost_pct</x:v>
      </x:c>
      <x:c r="L8" s="15" t="str">
        <x:v>UP</x:v>
      </x:c>
      <x:c r="M8" s="15" t="str">
        <x:v>## Prior Context
After the September expectations reset, Adobe still entered Q4 with strong Creative Cloud and Experience Cloud momentum. Investors were looking for evidence that growth could remain above 20% into fiscal 2018.
### Verified prior source
2017-09-19 | Adobe | Adobe Reports Record Revenue — Q3 FY2017 | https://www.adobe.com/cc-shared/assets/pdf/corporate/investor-relations/adobeq317earnings.pdf
## Current Earnings Release
Adobe delivered its first **$2.0 billion revenue quarter**, up **25%**, with non-GAAP EPS of **$1.26**. Digital Media revenue reached **$1.39 billion**, Digital Media ARR increased **$359 million to $5.23 billion**, and Experience Cloud revenue rose **18%** to a record $550 million.
Adobe also raised its fiscal-2018 revenue target and guided fiscal Q1 adjusted EPS to about **$1.27**, slightly above contemporaneous expectations. The release was a classic continuation quarter: strong recurring revenue, strong cash generation and another forward target increase, but without the shock value of the earlier acceleration.
### Verified release source
2017-12-14 | Adobe | Adobe Delivers Record Revenue of $2 Billion in Q4 | https://www.adobe.com/cc-shared/assets/investor-relations/pdfs/adobeq417earnings.pdf
## Possible Drivers
**First-order driver.** The modest positive reaction reflected another beat-and-raise quarter rather than a major change in the thesis.
**Second-order driver.** ARR growth confirmed durable Creative and Document Cloud subscription momentum.
**Third-order driver.** Experience Cloud growth remained healthy, though slower than Digital Media.
### Verified reaction source
2017-12-14 | The Motley Fool | Adobe Systems (Still) Has Its Head in the Clouds | https://www.fool.com/investing/2017/12/14/adobe-systems-still-has-its-head-in-the-cl.aspx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8" s="15" t="str">
        <x:v>2017-09-19 | Adobe | Adobe Reports Record Revenue — Q3 FY2017 | https://www.adobe.com/cc-shared/assets/pdf/corporate/investor-relations/adobeq317earnings.pdf</x:v>
      </x:c>
      <x:c r="O8" s="15" t="str">
        <x:v>2017-12-14 | Adobe | Adobe Delivers Record Revenue of $2 Billion in Q4 | https://www.adobe.com/cc-shared/assets/investor-relations/pdfs/adobeq417earnings.pdf</x:v>
      </x:c>
      <x:c r="P8" s="15" t="str">
        <x:v>2017-12-14 | The Motley Fool | Adobe Systems (Still) Has Its Head in the Clouds | https://www.fool.com/investing/2017/12/14/adobe-systems-still-has-its-head-in-the-cl.aspx</x:v>
      </x:c>
      <x:c r="Q8" s="15" t="str">
        <x:v>2017-09-19 | Adobe | Adobe Reports Record Revenue — Q3 FY2017 | https://www.adobe.com/cc-shared/assets/pdf/corporate/investor-relations/adobeq317earnings.pdf
2017-12-14 | Adobe | Adobe Delivers Record Revenue of $2 Billion in Q4 | https://www.adobe.com/cc-shared/assets/investor-relations/pdfs/adobeq417earnings.pdf
2017-12-14 | The Motley Fool | Adobe Systems (Still) Has Its Head in the Clouds | https://www.fool.com/investing/2017/12/14/adobe-systems-still-has-its-head-in-the-cl.aspx</x:v>
      </x:c>
      <x:c r="R8" s="15" t="n">
        <x:v>3</x:v>
      </x:c>
      <x:c r="S8" s="15" t="str">
        <x:v>PASS</x:v>
      </x:c>
    </x:row>
    <x:row r="9" ht="340" customHeight="1">
      <x:c r="A9" s="15" t="n">
        <x:v>7</x:v>
      </x:c>
      <x:c r="B9" s="15" t="str">
        <x:v>ADBE</x:v>
      </x:c>
      <x:c r="C9" s="15" t="str">
        <x:v>Adobe</x:v>
      </x:c>
      <x:c r="D9" s="15" t="str">
        <x:v>2018q1</x:v>
      </x:c>
      <x:c r="E9" s="15" t="str">
        <x:v>2018-03-15</x:v>
      </x:c>
      <x:c r="F9" s="18" t="n">
        <x:v>0.42</x:v>
      </x:c>
      <x:c r="G9" s="18" t="n">
        <x:v>2.81</x:v>
      </x:c>
      <x:c r="H9" s="18" t="n">
        <x:v>3.24</x:v>
      </x:c>
      <x:c r="I9" s="18" t="n">
        <x:v>3.09</x:v>
      </x:c>
      <x:c r="J9" s="18" t="n">
        <x:v>6.25</x:v>
      </x:c>
      <x:c r="K9" s="15" t="str">
        <x:v>ret_1daypost_pct</x:v>
      </x:c>
      <x:c r="L9" s="15" t="str">
        <x:v>UP</x:v>
      </x:c>
      <x:c r="M9" s="15" t="str">
        <x:v>## Prior Context
Adobe began fiscal 2018 with a higher revenue target and a rapidly expanding recurring-revenue base. Investors were watching whether Creative Cloud price increases and enterprise adoption could drive faster ARPU without hurting retention.
### Verified prior source
2017-12-14 | Adobe | Adobe Delivers Record Revenue of $2 Billion in Q4 | https://www.adobe.com/cc-shared/assets/investor-relations/pdfs/adobeq417earnings.pdf
## Current Earnings Release
Fiscal Q1 revenue rose **24% to $2.08 billion** and non-GAAP EPS reached **$1.55**, both above expectations. Digital Media revenue was **$1.46 billion** and Creative ARR exceeded **$5.0 billion** for the first time. Adobe added **$336 million** of Digital Media ARR during the quarter.
Operating income increased **50%** on a GAAP basis, cash flow from operations reached **$990 million**, and deferred revenue rose 25%. Adobe also raised Q2 revenue and adjusted-EPS targets above prior market expectations. The report showed that recurring growth was translating directly into stronger margins and cash generation.
### Verified release source
2018-03-15 | Adobe | Adobe Achieves Record Revenue — Q1 FY2018 | https://www.adobe.com/cc-shared/assets/investor-relations/pdfs/adobeq118earnings.pdf
## Possible Drivers
**First-order driver.** Shares rose on a clear revenue/EPS beat and higher Q2 guidance.
**Second-order driver.** Creative ARR surpassing $5 billion demonstrated the scale and durability of the subscription base.
**Third-order driver.** Strong operating-income and cash-flow growth showed substantial earnings leverage.
### Verified reaction source
2018-03-16 | TheStreet | Adobe Is an Unstoppable Tech Stock | https://www.thestreet.com/story/14525101/1/adobe-beats-start-the-music.html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9" s="15" t="str">
        <x:v>2017-12-14 | Adobe | Adobe Delivers Record Revenue of $2 Billion in Q4 | https://www.adobe.com/cc-shared/assets/investor-relations/pdfs/adobeq417earnings.pdf</x:v>
      </x:c>
      <x:c r="O9" s="15" t="str">
        <x:v>2018-03-15 | Adobe | Adobe Achieves Record Revenue — Q1 FY2018 | https://www.adobe.com/cc-shared/assets/investor-relations/pdfs/adobeq118earnings.pdf</x:v>
      </x:c>
      <x:c r="P9" s="15" t="str">
        <x:v>2018-03-16 | TheStreet | Adobe Is an Unstoppable Tech Stock | https://www.thestreet.com/story/14525101/1/adobe-beats-start-the-music.html</x:v>
      </x:c>
      <x:c r="Q9" s="15" t="str">
        <x:v>2017-12-14 | Adobe | Adobe Delivers Record Revenue of $2 Billion in Q4 | https://www.adobe.com/cc-shared/assets/investor-relations/pdfs/adobeq417earnings.pdf
2018-03-15 | Adobe | Adobe Achieves Record Revenue — Q1 FY2018 | https://www.adobe.com/cc-shared/assets/investor-relations/pdfs/adobeq118earnings.pdf
2018-03-16 | TheStreet | Adobe Is an Unstoppable Tech Stock | https://www.thestreet.com/story/14525101/1/adobe-beats-start-the-music.html</x:v>
      </x:c>
      <x:c r="R9" s="15" t="n">
        <x:v>3</x:v>
      </x:c>
      <x:c r="S9" s="15" t="str">
        <x:v>PASS</x:v>
      </x:c>
    </x:row>
    <x:row r="10" ht="340" customHeight="1">
      <x:c r="A10" s="15" t="n">
        <x:v>8</x:v>
      </x:c>
      <x:c r="B10" s="15" t="str">
        <x:v>ADBE</x:v>
      </x:c>
      <x:c r="C10" s="15" t="str">
        <x:v>Adobe</x:v>
      </x:c>
      <x:c r="D10" s="15" t="str">
        <x:v>2018q2</x:v>
      </x:c>
      <x:c r="E10" s="15" t="str">
        <x:v>2018-06-14</x:v>
      </x:c>
      <x:c r="F10" s="18" t="n">
        <x:v>0.51</x:v>
      </x:c>
      <x:c r="G10" s="18" t="n">
        <x:v>-2.27</x:v>
      </x:c>
      <x:c r="H10" s="18" t="n">
        <x:v>-1.78</x:v>
      </x:c>
      <x:c r="I10" s="18" t="n">
        <x:v>-0.04</x:v>
      </x:c>
      <x:c r="J10" s="18" t="n">
        <x:v>0.41</x:v>
      </x:c>
      <x:c r="K10" s="15" t="str">
        <x:v>ret_1daypost_pct</x:v>
      </x:c>
      <x:c r="L10" s="15" t="str">
        <x:v>DOWN</x:v>
      </x:c>
      <x:c r="M10" s="15" t="str">
        <x:v>## Prior Context
Adobe shares had already gained roughly 40% in 2018, so investors entered Q2 with an exceptionally high bar. The company had also announced the Magento acquisition in May, adding an e-commerce component to Experience Cloud.
### Verified prior source
2018-03-15 | Adobe | Adobe Achieves Record Revenue — Q1 FY2018 | https://www.adobe.com/cc-shared/assets/investor-relations/pdfs/adobeq118earnings.pdf
## Current Earnings Release
Fiscal Q2 revenue increased **24% to $2.20 billion** and non-GAAP EPS reached **$1.66**, above Adobe’s own targets. Digital Media revenue grew **28%**, Digital Media ARR reached **$6.06 billion**, and Experience Cloud revenue rose **18% to $586 million**. Roughly **89% of total revenue** was recurring.
Adobe guided fiscal Q3 revenue to about **$2.24 billion** and non-GAAP EPS to **$1.68**. The guide was solid and EPS was above prior expectations, but the revenue outlook offered little incremental upside versus a stock that had already rerated sharply. Investors sold the news despite strong current fundamentals.
### Verified release source
2018-06-14 | Adobe | Adobe Reports Record Revenue — Q2 FY2018 | https://wwwimages.adobe.com/content/dam/acom/en/investor-relations/pdfs/41608102/atN97Gmaq13lf4BE.pdf
## Possible Drivers
**First-order driver.** The stock fell because a solid Q3 revenue guide was not strong enough for the very high expectations embedded in the shares.
**Second-order driver.** The underlying quarter remained strong, with recurring revenue near 90% and Digital Media ARR above $6 billion.
**Third-order driver.** The large pre-earnings run increased the likelihood of profit-taking after merely solid guidance.
### Verified reaction source
2018-06-15 | TheStreet | Adobe Is Still a Cloud King | https://www.thestreet.com/investing/no-reason-to-get-nervous-about-adobe-14623230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10" s="15" t="str">
        <x:v>2018-03-15 | Adobe | Adobe Achieves Record Revenue — Q1 FY2018 | https://www.adobe.com/cc-shared/assets/investor-relations/pdfs/adobeq118earnings.pdf</x:v>
      </x:c>
      <x:c r="O10" s="15" t="str">
        <x:v>2018-06-14 | Adobe | Adobe Reports Record Revenue — Q2 FY2018 | https://wwwimages.adobe.com/content/dam/acom/en/investor-relations/pdfs/41608102/atN97Gmaq13lf4BE.pdf</x:v>
      </x:c>
      <x:c r="P10" s="15" t="str">
        <x:v>2018-06-15 | TheStreet | Adobe Is Still a Cloud King | https://www.thestreet.com/investing/no-reason-to-get-nervous-about-adobe-14623230</x:v>
      </x:c>
      <x:c r="Q10" s="15" t="str">
        <x:v>2018-03-15 | Adobe | Adobe Achieves Record Revenue — Q1 FY2018 | https://www.adobe.com/cc-shared/assets/investor-relations/pdfs/adobeq118earnings.pdf
2018-06-14 | Adobe | Adobe Reports Record Revenue — Q2 FY2018 | https://wwwimages.adobe.com/content/dam/acom/en/investor-relations/pdfs/41608102/atN97Gmaq13lf4BE.pdf
2018-06-15 | TheStreet | Adobe Is Still a Cloud King | https://www.thestreet.com/investing/no-reason-to-get-nervous-about-adobe-14623230</x:v>
      </x:c>
      <x:c r="R10" s="15" t="n">
        <x:v>3</x:v>
      </x:c>
      <x:c r="S10" s="15" t="str">
        <x:v>PASS</x:v>
      </x:c>
    </x:row>
    <x:row r="11" ht="340" customHeight="1">
      <x:c r="A11" s="15" t="n">
        <x:v>9</x:v>
      </x:c>
      <x:c r="B11" s="15" t="str">
        <x:v>ADBE</x:v>
      </x:c>
      <x:c r="C11" s="15" t="str">
        <x:v>Adobe</x:v>
      </x:c>
      <x:c r="D11" s="15" t="str">
        <x:v>2018q3</x:v>
      </x:c>
      <x:c r="E11" s="15" t="str">
        <x:v>2018-09-13</x:v>
      </x:c>
      <x:c r="F11" s="18" t="n">
        <x:v>-0.16</x:v>
      </x:c>
      <x:c r="G11" s="18" t="n">
        <x:v>2.21</x:v>
      </x:c>
      <x:c r="H11" s="18" t="n">
        <x:v>2.04</x:v>
      </x:c>
      <x:c r="I11" s="18" t="n">
        <x:v>2.26</x:v>
      </x:c>
      <x:c r="J11" s="18" t="n">
        <x:v>0.87</x:v>
      </x:c>
      <x:c r="K11" s="15" t="str">
        <x:v>ret_1daypost_pct</x:v>
      </x:c>
      <x:c r="L11" s="15" t="str">
        <x:v>UP</x:v>
      </x:c>
      <x:c r="M11" s="15" t="str">
        <x:v>## Prior Context
Adobe entered Q3 after the June valuation-driven selloff but with recurring revenue still growing above 20%. The company was integrating Magento and trying to deepen its position in enterprise digital experience.
### Verified prior source
2018-06-14 | Adobe | Adobe Reports Record Revenue — Q2 FY2018 | https://wwwimages.adobe.com/content/dam/acom/en/investor-relations/pdfs/41608102/atN97Gmaq13lf4BE.pdf
## Current Earnings Release
Fiscal Q3 revenue increased **24% to $2.29 billion** and non-GAAP EPS reached **$1.73**, both above Adobe’s prior targets. Digital Media revenue was **$1.61 billion**, Digital Media ARR rose by **$339 million to $6.40 billion**, and Experience Cloud revenue increased **21%**, with subscription revenue up **25%**.
Operating income and net income both grew more than 30% on a non-GAAP basis, while cash flow from operations was **$955 million**. Adobe also issued a healthy Q4 outlook, including approximately $2.42 billion of revenue and $1.87 of adjusted EPS. The result reassured investors that Adobe could sustain strong growth while absorbing the Magento integration.
### Verified release source
2018-09-13 | Adobe | Adobe Reports Record Revenue — Q3 FY2018 | https://www.adobe.com/cc-shared/assets/investor-relations/pdfs/adobeq318earnings.pdf
## Possible Drivers
**First-order driver.** Shares rose because revenue, EPS and recurring-revenue growth all exceeded expectations.
**Second-order driver.** Experience Cloud subscription growth accelerated, improving the enterprise-growth narrative.
**Third-order driver.** Strong cash flow and a healthy Q4 guide reduced concern that acquisition integration would disrupt execution.
### Verified reaction source
2018-09-14 | The Motley Fool | What Happened in the Stock Market Today | https://www.fool.com/investing/2018/09/14/what-happened-in-the-stock-market-today.aspx
## Verification Status
Included sources were checked for Adobe/ADBE identity, the correct earnings event, publication date, timing window and source origin. Adobe’s own historical earnings release is the factual anchor. No WSJ, Reuters, Dow Jones or MarketWatch-syndicated article is included.
</x:v>
      </x:c>
      <x:c r="N11" s="15" t="str">
        <x:v>2018-06-14 | Adobe | Adobe Reports Record Revenue — Q2 FY2018 | https://wwwimages.adobe.com/content/dam/acom/en/investor-relations/pdfs/41608102/atN97Gmaq13lf4BE.pdf</x:v>
      </x:c>
      <x:c r="O11" s="15" t="str">
        <x:v>2018-09-13 | Adobe | Adobe Reports Record Revenue — Q3 FY2018 | https://www.adobe.com/cc-shared/assets/investor-relations/pdfs/adobeq318earnings.pdf</x:v>
      </x:c>
      <x:c r="P11" s="15" t="str">
        <x:v>2018-09-14 | The Motley Fool | What Happened in the Stock Market Today | https://www.fool.com/investing/2018/09/14/what-happened-in-the-stock-market-today.aspx</x:v>
      </x:c>
      <x:c r="Q11" s="15" t="str">
        <x:v>2018-06-14 | Adobe | Adobe Reports Record Revenue — Q2 FY2018 | https://wwwimages.adobe.com/content/dam/acom/en/investor-relations/pdfs/41608102/atN97Gmaq13lf4BE.pdf
2018-09-13 | Adobe | Adobe Reports Record Revenue — Q3 FY2018 | https://www.adobe.com/cc-shared/assets/investor-relations/pdfs/adobeq318earnings.pdf
2018-09-14 | The Motley Fool | What Happened in the Stock Market Today | https://www.fool.com/investing/2018/09/14/what-happened-in-the-stock-market-today.aspx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3" hidden="0" customWidth="1"/>
    <x:col min="7" max="7" width="63" hidden="0" customWidth="1"/>
    <x:col min="8" max="8" width="94"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2016-06-21</x:v>
      </x:c>
      <x:c r="B2" s="12" t="str">
        <x:v>ADBE</x:v>
      </x:c>
      <x:c r="C2" s="12" t="str">
        <x:v>release</x:v>
      </x:c>
      <x:c r="D2" s="12" t="str">
        <x:v>2016-06-21</x:v>
      </x:c>
      <x:c r="E2" s="12" t="n">
        <x:v>0</x:v>
      </x:c>
      <x:c r="F2" s="12" t="str">
        <x:v>Adobe</x:v>
      </x:c>
      <x:c r="G2" s="12" t="str">
        <x:v>Adobe Reports Record Revenue — Q2 FY2016</x:v>
      </x:c>
      <x:c r="H2" s="12" t="str">
        <x:v>https://www.adobe.com/cc-shared/assets/investor-relations/pdfs/adobeq216earnings-1.pdf</x:v>
      </x:c>
      <x:c r="I2" s="12" t="str">
        <x:v>VERIFIED</x:v>
      </x:c>
      <x:c r="J2" s="12" t="str">
        <x:v>PASS</x:v>
      </x:c>
      <x:c r="K2" s="12" t="str">
        <x:v>PASS</x:v>
      </x:c>
      <x:c r="L2" s="12" t="str">
        <x:v>PASS</x:v>
      </x:c>
      <x:c r="M2" s="12" t="str">
        <x:v>NO</x:v>
      </x:c>
      <x:c r="N2" s="12" t="str">
        <x:v>PASS</x:v>
      </x:c>
      <x:c r="O2" s="12" t="str">
        <x:v>FACTUAL</x:v>
      </x:c>
      <x:c r="P2" s="12" t="str">
        <x:v>PASS</x:v>
      </x:c>
      <x:c r="Q2" s="12" t="str">
        <x:v>Verified against Adobe/ADBE, the exact earnings event, displayed publication date, timing window, and prohibited-source rule.</x:v>
      </x:c>
    </x:row>
    <x:row r="3">
      <x:c r="A3" s="12" t="str">
        <x:v>2016-06-21</x:v>
      </x:c>
      <x:c r="B3" s="12" t="str">
        <x:v>ADBE</x:v>
      </x:c>
      <x:c r="C3" s="12" t="str">
        <x:v>reaction</x:v>
      </x:c>
      <x:c r="D3" s="12" t="str">
        <x:v>2016-06-21</x:v>
      </x:c>
      <x:c r="E3" s="12" t="n">
        <x:v>0</x:v>
      </x:c>
      <x:c r="F3" s="12" t="str">
        <x:v>TheStreet</x:v>
      </x:c>
      <x:c r="G3" s="12" t="str">
        <x:v>Adobe Drops on Concerns That Cloud Sales Will Soften Next Quarter</x:v>
      </x:c>
      <x:c r="H3" s="12" t="str">
        <x:v>https://www.thestreet.com/story/13615681/1/adobe-drops-on-concerns-that-cloud-sales-will-soften-next-quarter.html</x:v>
      </x:c>
      <x:c r="I3" s="12" t="str">
        <x:v>VERIFIED</x:v>
      </x:c>
      <x:c r="J3" s="12" t="str">
        <x:v>PASS</x:v>
      </x:c>
      <x:c r="K3" s="12" t="str">
        <x:v>PASS</x:v>
      </x:c>
      <x:c r="L3" s="12" t="str">
        <x:v>PASS</x:v>
      </x:c>
      <x:c r="M3" s="12" t="str">
        <x:v>NO</x:v>
      </x:c>
      <x:c r="N3" s="12" t="str">
        <x:v>PASS</x:v>
      </x:c>
      <x:c r="O3" s="12" t="str">
        <x:v>CONTEMPORANEOUS_ATTRIBUTION</x:v>
      </x:c>
      <x:c r="P3" s="12" t="str">
        <x:v>PASS</x:v>
      </x:c>
      <x:c r="Q3" s="12" t="str">
        <x:v>Verified against Adobe/ADBE, the exact earnings event, displayed publication date, timing window, and prohibited-source rule.</x:v>
      </x:c>
    </x:row>
    <x:row r="4">
      <x:c r="A4" s="12" t="str">
        <x:v>2016-09-20</x:v>
      </x:c>
      <x:c r="B4" s="12" t="str">
        <x:v>ADBE</x:v>
      </x:c>
      <x:c r="C4" s="12" t="str">
        <x:v>prior</x:v>
      </x:c>
      <x:c r="D4" s="12" t="str">
        <x:v>2016-06-21</x:v>
      </x:c>
      <x:c r="E4" s="12" t="n">
        <x:v>-91</x:v>
      </x:c>
      <x:c r="F4" s="12" t="str">
        <x:v>Adobe</x:v>
      </x:c>
      <x:c r="G4" s="12" t="str">
        <x:v>Adobe Reports Record Revenue — Q2 FY2016</x:v>
      </x:c>
      <x:c r="H4" s="12" t="str">
        <x:v>https://www.adobe.com/cc-shared/assets/investor-relations/pdfs/adobeq216earnings-1.pdf</x:v>
      </x:c>
      <x:c r="I4" s="12" t="str">
        <x:v>VERIFIED</x:v>
      </x:c>
      <x:c r="J4" s="12" t="str">
        <x:v>PASS</x:v>
      </x:c>
      <x:c r="K4" s="12" t="str">
        <x:v>PASS</x:v>
      </x:c>
      <x:c r="L4" s="12" t="str">
        <x:v>PASS</x:v>
      </x:c>
      <x:c r="M4" s="12" t="str">
        <x:v>NO</x:v>
      </x:c>
      <x:c r="N4" s="12" t="str">
        <x:v>PASS</x:v>
      </x:c>
      <x:c r="O4" s="12" t="str">
        <x:v>FACTUAL</x:v>
      </x:c>
      <x:c r="P4" s="12" t="str">
        <x:v>PASS</x:v>
      </x:c>
      <x:c r="Q4" s="12" t="str">
        <x:v>Verified against Adobe/ADBE, the exact earnings event, displayed publication date, timing window, and prohibited-source rule.</x:v>
      </x:c>
    </x:row>
    <x:row r="5">
      <x:c r="A5" s="12" t="str">
        <x:v>2016-09-20</x:v>
      </x:c>
      <x:c r="B5" s="12" t="str">
        <x:v>ADBE</x:v>
      </x:c>
      <x:c r="C5" s="12" t="str">
        <x:v>release</x:v>
      </x:c>
      <x:c r="D5" s="12" t="str">
        <x:v>2016-09-20</x:v>
      </x:c>
      <x:c r="E5" s="12" t="n">
        <x:v>0</x:v>
      </x:c>
      <x:c r="F5" s="12" t="str">
        <x:v>Adobe</x:v>
      </x:c>
      <x:c r="G5" s="12" t="str">
        <x:v>Adobe Reports Record Revenue — Q3 FY2016</x:v>
      </x:c>
      <x:c r="H5" s="12" t="str">
        <x:v>https://www.adobe.com/cc-shared/assets/pdf/corporate/investor-relations/adobeq316earnings.pdf</x:v>
      </x:c>
      <x:c r="I5" s="12" t="str">
        <x:v>VERIFIED</x:v>
      </x:c>
      <x:c r="J5" s="12" t="str">
        <x:v>PASS</x:v>
      </x:c>
      <x:c r="K5" s="12" t="str">
        <x:v>PASS</x:v>
      </x:c>
      <x:c r="L5" s="12" t="str">
        <x:v>PASS</x:v>
      </x:c>
      <x:c r="M5" s="12" t="str">
        <x:v>NO</x:v>
      </x:c>
      <x:c r="N5" s="12" t="str">
        <x:v>PASS</x:v>
      </x:c>
      <x:c r="O5" s="12" t="str">
        <x:v>FACTUAL</x:v>
      </x:c>
      <x:c r="P5" s="12" t="str">
        <x:v>PASS</x:v>
      </x:c>
      <x:c r="Q5" s="12" t="str">
        <x:v>Verified against Adobe/ADBE, the exact earnings event, displayed publication date, timing window, and prohibited-source rule.</x:v>
      </x:c>
    </x:row>
    <x:row r="6">
      <x:c r="A6" s="12" t="str">
        <x:v>2016-09-20</x:v>
      </x:c>
      <x:c r="B6" s="12" t="str">
        <x:v>ADBE</x:v>
      </x:c>
      <x:c r="C6" s="12" t="str">
        <x:v>reaction</x:v>
      </x:c>
      <x:c r="D6" s="12" t="str">
        <x:v>2016-09-21</x:v>
      </x:c>
      <x:c r="E6" s="12" t="n">
        <x:v>1</x:v>
      </x:c>
      <x:c r="F6" s="12" t="str">
        <x:v>TheStreet</x:v>
      </x:c>
      <x:c r="G6" s="12" t="str">
        <x:v>Adobe Stock Surges on Q3 Results, Guidance</x:v>
      </x:c>
      <x:c r="H6" s="12" t="str">
        <x:v>https://www.thestreet.com/markets/adobe-adbe-stock-surges-on-q3-results-guidance-13747461</x:v>
      </x:c>
      <x:c r="I6" s="12" t="str">
        <x:v>VERIFIED</x:v>
      </x:c>
      <x:c r="J6" s="12" t="str">
        <x:v>PASS</x:v>
      </x:c>
      <x:c r="K6" s="12" t="str">
        <x:v>PASS</x:v>
      </x:c>
      <x:c r="L6" s="12" t="str">
        <x:v>PASS</x:v>
      </x:c>
      <x:c r="M6" s="12" t="str">
        <x:v>NO</x:v>
      </x:c>
      <x:c r="N6" s="12" t="str">
        <x:v>PASS</x:v>
      </x:c>
      <x:c r="O6" s="12" t="str">
        <x:v>CONTEMPORANEOUS_ATTRIBUTION</x:v>
      </x:c>
      <x:c r="P6" s="12" t="str">
        <x:v>PASS</x:v>
      </x:c>
      <x:c r="Q6" s="12" t="str">
        <x:v>Verified against Adobe/ADBE, the exact earnings event, displayed publication date, timing window, and prohibited-source rule.</x:v>
      </x:c>
    </x:row>
    <x:row r="7">
      <x:c r="A7" s="12" t="str">
        <x:v>2016-12-15</x:v>
      </x:c>
      <x:c r="B7" s="12" t="str">
        <x:v>ADBE</x:v>
      </x:c>
      <x:c r="C7" s="12" t="str">
        <x:v>prior</x:v>
      </x:c>
      <x:c r="D7" s="12" t="str">
        <x:v>2016-09-20</x:v>
      </x:c>
      <x:c r="E7" s="12" t="n">
        <x:v>-86</x:v>
      </x:c>
      <x:c r="F7" s="12" t="str">
        <x:v>Adobe</x:v>
      </x:c>
      <x:c r="G7" s="12" t="str">
        <x:v>Adobe Reports Record Revenue — Q3 FY2016</x:v>
      </x:c>
      <x:c r="H7" s="12" t="str">
        <x:v>https://www.adobe.com/cc-shared/assets/pdf/corporate/investor-relations/adobeq316earnings.pdf</x:v>
      </x:c>
      <x:c r="I7" s="12" t="str">
        <x:v>VERIFIED</x:v>
      </x:c>
      <x:c r="J7" s="12" t="str">
        <x:v>PASS</x:v>
      </x:c>
      <x:c r="K7" s="12" t="str">
        <x:v>PASS</x:v>
      </x:c>
      <x:c r="L7" s="12" t="str">
        <x:v>PASS</x:v>
      </x:c>
      <x:c r="M7" s="12" t="str">
        <x:v>NO</x:v>
      </x:c>
      <x:c r="N7" s="12" t="str">
        <x:v>PASS</x:v>
      </x:c>
      <x:c r="O7" s="12" t="str">
        <x:v>FACTUAL</x:v>
      </x:c>
      <x:c r="P7" s="12" t="str">
        <x:v>PASS</x:v>
      </x:c>
      <x:c r="Q7" s="12" t="str">
        <x:v>Verified against Adobe/ADBE, the exact earnings event, displayed publication date, timing window, and prohibited-source rule.</x:v>
      </x:c>
    </x:row>
    <x:row r="8">
      <x:c r="A8" s="12" t="str">
        <x:v>2016-12-15</x:v>
      </x:c>
      <x:c r="B8" s="12" t="str">
        <x:v>ADBE</x:v>
      </x:c>
      <x:c r="C8" s="12" t="str">
        <x:v>release</x:v>
      </x:c>
      <x:c r="D8" s="12" t="str">
        <x:v>2016-12-15</x:v>
      </x:c>
      <x:c r="E8" s="12" t="n">
        <x:v>0</x:v>
      </x:c>
      <x:c r="F8" s="12" t="str">
        <x:v>Adobe</x:v>
      </x:c>
      <x:c r="G8" s="12" t="str">
        <x:v>Adobe Reports Record Revenue and Net Income — Q4/FY2016</x:v>
      </x:c>
      <x:c r="H8" s="12" t="str">
        <x:v>https://www.adobe.com/cc-shared/assets/pdf/corporate/investor-relations/adobeq416earnings.pdf</x:v>
      </x:c>
      <x:c r="I8" s="12" t="str">
        <x:v>VERIFIED</x:v>
      </x:c>
      <x:c r="J8" s="12" t="str">
        <x:v>PASS</x:v>
      </x:c>
      <x:c r="K8" s="12" t="str">
        <x:v>PASS</x:v>
      </x:c>
      <x:c r="L8" s="12" t="str">
        <x:v>PASS</x:v>
      </x:c>
      <x:c r="M8" s="12" t="str">
        <x:v>NO</x:v>
      </x:c>
      <x:c r="N8" s="12" t="str">
        <x:v>PASS</x:v>
      </x:c>
      <x:c r="O8" s="12" t="str">
        <x:v>FACTUAL</x:v>
      </x:c>
      <x:c r="P8" s="12" t="str">
        <x:v>PASS</x:v>
      </x:c>
      <x:c r="Q8" s="12" t="str">
        <x:v>Verified against Adobe/ADBE, the exact earnings event, displayed publication date, timing window, and prohibited-source rule.</x:v>
      </x:c>
    </x:row>
    <x:row r="9">
      <x:c r="A9" s="12" t="str">
        <x:v>2016-12-15</x:v>
      </x:c>
      <x:c r="B9" s="12" t="str">
        <x:v>ADBE</x:v>
      </x:c>
      <x:c r="C9" s="12" t="str">
        <x:v>reaction</x:v>
      </x:c>
      <x:c r="D9" s="12" t="str">
        <x:v>2016-12-16</x:v>
      </x:c>
      <x:c r="E9" s="12" t="n">
        <x:v>1</x:v>
      </x:c>
      <x:c r="F9" s="12" t="str">
        <x:v>TheStreet</x:v>
      </x:c>
      <x:c r="G9" s="12" t="str">
        <x:v>Adobe Guidance Disappointing, but Fourth Quarter Still Strong: What Wall Street's Saying</x:v>
      </x:c>
      <x:c r="H9" s="12" t="str">
        <x:v>https://www.thestreet.com/investing/stocks/adobe-guidance-disappointing-but-q4-still-strong-what-wall-street-s-saying-13928941</x:v>
      </x:c>
      <x:c r="I9" s="12" t="str">
        <x:v>VERIFIED</x:v>
      </x:c>
      <x:c r="J9" s="12" t="str">
        <x:v>PASS</x:v>
      </x:c>
      <x:c r="K9" s="12" t="str">
        <x:v>PASS</x:v>
      </x:c>
      <x:c r="L9" s="12" t="str">
        <x:v>PASS</x:v>
      </x:c>
      <x:c r="M9" s="12" t="str">
        <x:v>NO</x:v>
      </x:c>
      <x:c r="N9" s="12" t="str">
        <x:v>PASS</x:v>
      </x:c>
      <x:c r="O9" s="12" t="str">
        <x:v>CONTEMPORANEOUS_ATTRIBUTION</x:v>
      </x:c>
      <x:c r="P9" s="12" t="str">
        <x:v>PASS</x:v>
      </x:c>
      <x:c r="Q9" s="12" t="str">
        <x:v>Verified against Adobe/ADBE, the exact earnings event, displayed publication date, timing window, and prohibited-source rule.</x:v>
      </x:c>
    </x:row>
    <x:row r="10">
      <x:c r="A10" s="12" t="str">
        <x:v>2017-03-16</x:v>
      </x:c>
      <x:c r="B10" s="12" t="str">
        <x:v>ADBE</x:v>
      </x:c>
      <x:c r="C10" s="12" t="str">
        <x:v>prior</x:v>
      </x:c>
      <x:c r="D10" s="12" t="str">
        <x:v>2016-12-15</x:v>
      </x:c>
      <x:c r="E10" s="12" t="n">
        <x:v>-91</x:v>
      </x:c>
      <x:c r="F10" s="12" t="str">
        <x:v>Adobe</x:v>
      </x:c>
      <x:c r="G10" s="12" t="str">
        <x:v>Adobe Reports Record Revenue and Net Income — Q4/FY2016</x:v>
      </x:c>
      <x:c r="H10" s="12" t="str">
        <x:v>https://www.adobe.com/cc-shared/assets/pdf/corporate/investor-relations/adobeq416earnings.pdf</x:v>
      </x:c>
      <x:c r="I10" s="12" t="str">
        <x:v>VERIFIED</x:v>
      </x:c>
      <x:c r="J10" s="12" t="str">
        <x:v>PASS</x:v>
      </x:c>
      <x:c r="K10" s="12" t="str">
        <x:v>PASS</x:v>
      </x:c>
      <x:c r="L10" s="12" t="str">
        <x:v>PASS</x:v>
      </x:c>
      <x:c r="M10" s="12" t="str">
        <x:v>NO</x:v>
      </x:c>
      <x:c r="N10" s="12" t="str">
        <x:v>PASS</x:v>
      </x:c>
      <x:c r="O10" s="12" t="str">
        <x:v>FACTUAL</x:v>
      </x:c>
      <x:c r="P10" s="12" t="str">
        <x:v>PASS</x:v>
      </x:c>
      <x:c r="Q10" s="12" t="str">
        <x:v>Verified against Adobe/ADBE, the exact earnings event, displayed publication date, timing window, and prohibited-source rule.</x:v>
      </x:c>
    </x:row>
    <x:row r="11">
      <x:c r="A11" s="12" t="str">
        <x:v>2017-03-16</x:v>
      </x:c>
      <x:c r="B11" s="12" t="str">
        <x:v>ADBE</x:v>
      </x:c>
      <x:c r="C11" s="12" t="str">
        <x:v>release</x:v>
      </x:c>
      <x:c r="D11" s="12" t="str">
        <x:v>2017-03-16</x:v>
      </x:c>
      <x:c r="E11" s="12" t="n">
        <x:v>0</x:v>
      </x:c>
      <x:c r="F11" s="12" t="str">
        <x:v>Adobe</x:v>
      </x:c>
      <x:c r="G11" s="12" t="str">
        <x:v>Adobe Reports Record Revenue — Q1 FY2017</x:v>
      </x:c>
      <x:c r="H11" s="12" t="str">
        <x:v>https://www.adobe.com/cc-shared/assets/pdf/corporate/investor-relations/adobeq117earnings.pdf</x:v>
      </x:c>
      <x:c r="I11" s="12" t="str">
        <x:v>VERIFIED</x:v>
      </x:c>
      <x:c r="J11" s="12" t="str">
        <x:v>PASS</x:v>
      </x:c>
      <x:c r="K11" s="12" t="str">
        <x:v>PASS</x:v>
      </x:c>
      <x:c r="L11" s="12" t="str">
        <x:v>PASS</x:v>
      </x:c>
      <x:c r="M11" s="12" t="str">
        <x:v>NO</x:v>
      </x:c>
      <x:c r="N11" s="12" t="str">
        <x:v>PASS</x:v>
      </x:c>
      <x:c r="O11" s="12" t="str">
        <x:v>FACTUAL</x:v>
      </x:c>
      <x:c r="P11" s="12" t="str">
        <x:v>PASS</x:v>
      </x:c>
      <x:c r="Q11" s="12" t="str">
        <x:v>Verified against Adobe/ADBE, the exact earnings event, displayed publication date, timing window, and prohibited-source rule.</x:v>
      </x:c>
    </x:row>
    <x:row r="12">
      <x:c r="A12" s="12" t="str">
        <x:v>2017-03-16</x:v>
      </x:c>
      <x:c r="B12" s="12" t="str">
        <x:v>ADBE</x:v>
      </x:c>
      <x:c r="C12" s="12" t="str">
        <x:v>reaction</x:v>
      </x:c>
      <x:c r="D12" s="12" t="str">
        <x:v>2017-03-17</x:v>
      </x:c>
      <x:c r="E12" s="12" t="n">
        <x:v>1</x:v>
      </x:c>
      <x:c r="F12" s="12" t="str">
        <x:v>TheStreet</x:v>
      </x:c>
      <x:c r="G12" s="12" t="str">
        <x:v>Adobe Shares Surge on Q1 Beat: What Wall Street's Saying</x:v>
      </x:c>
      <x:c r="H12" s="12" t="str">
        <x:v>https://www.thestreet.com/investing/stocks/adobe-shares-surge-on-q1-beat-what-wall-street-s-saying-14048855</x:v>
      </x:c>
      <x:c r="I12" s="12" t="str">
        <x:v>VERIFIED</x:v>
      </x:c>
      <x:c r="J12" s="12" t="str">
        <x:v>PASS</x:v>
      </x:c>
      <x:c r="K12" s="12" t="str">
        <x:v>PASS</x:v>
      </x:c>
      <x:c r="L12" s="12" t="str">
        <x:v>PASS</x:v>
      </x:c>
      <x:c r="M12" s="12" t="str">
        <x:v>NO</x:v>
      </x:c>
      <x:c r="N12" s="12" t="str">
        <x:v>PASS</x:v>
      </x:c>
      <x:c r="O12" s="12" t="str">
        <x:v>CONTEMPORANEOUS_ATTRIBUTION</x:v>
      </x:c>
      <x:c r="P12" s="12" t="str">
        <x:v>PASS</x:v>
      </x:c>
      <x:c r="Q12" s="12" t="str">
        <x:v>Verified against Adobe/ADBE, the exact earnings event, displayed publication date, timing window, and prohibited-source rule.</x:v>
      </x:c>
    </x:row>
    <x:row r="13">
      <x:c r="A13" s="12" t="str">
        <x:v>2017-06-20</x:v>
      </x:c>
      <x:c r="B13" s="12" t="str">
        <x:v>ADBE</x:v>
      </x:c>
      <x:c r="C13" s="12" t="str">
        <x:v>prior</x:v>
      </x:c>
      <x:c r="D13" s="12" t="str">
        <x:v>2017-03-16</x:v>
      </x:c>
      <x:c r="E13" s="12" t="n">
        <x:v>-96</x:v>
      </x:c>
      <x:c r="F13" s="12" t="str">
        <x:v>Adobe</x:v>
      </x:c>
      <x:c r="G13" s="12" t="str">
        <x:v>Adobe Reports Record Revenue — Q1 FY2017</x:v>
      </x:c>
      <x:c r="H13" s="12" t="str">
        <x:v>https://www.adobe.com/cc-shared/assets/pdf/corporate/investor-relations/adobeq117earnings.pdf</x:v>
      </x:c>
      <x:c r="I13" s="12" t="str">
        <x:v>VERIFIED</x:v>
      </x:c>
      <x:c r="J13" s="12" t="str">
        <x:v>PASS</x:v>
      </x:c>
      <x:c r="K13" s="12" t="str">
        <x:v>PASS</x:v>
      </x:c>
      <x:c r="L13" s="12" t="str">
        <x:v>PASS</x:v>
      </x:c>
      <x:c r="M13" s="12" t="str">
        <x:v>NO</x:v>
      </x:c>
      <x:c r="N13" s="12" t="str">
        <x:v>PASS</x:v>
      </x:c>
      <x:c r="O13" s="12" t="str">
        <x:v>FACTUAL</x:v>
      </x:c>
      <x:c r="P13" s="12" t="str">
        <x:v>PASS</x:v>
      </x:c>
      <x:c r="Q13" s="12" t="str">
        <x:v>Verified against Adobe/ADBE, the exact earnings event, displayed publication date, timing window, and prohibited-source rule.</x:v>
      </x:c>
    </x:row>
    <x:row r="14">
      <x:c r="A14" s="12" t="str">
        <x:v>2017-06-20</x:v>
      </x:c>
      <x:c r="B14" s="12" t="str">
        <x:v>ADBE</x:v>
      </x:c>
      <x:c r="C14" s="12" t="str">
        <x:v>release</x:v>
      </x:c>
      <x:c r="D14" s="12" t="str">
        <x:v>2017-06-20</x:v>
      </x:c>
      <x:c r="E14" s="12" t="n">
        <x:v>0</x:v>
      </x:c>
      <x:c r="F14" s="12" t="str">
        <x:v>Adobe</x:v>
      </x:c>
      <x:c r="G14" s="12" t="str">
        <x:v>Adobe Achieves Record Revenue — Q2 FY2017</x:v>
      </x:c>
      <x:c r="H14" s="12" t="str">
        <x:v>https://www.adobe.com/cc-shared/assets/pdf/corporate/investor-relations/adobeq217earnings.pdf</x:v>
      </x:c>
      <x:c r="I14" s="12" t="str">
        <x:v>VERIFIED</x:v>
      </x:c>
      <x:c r="J14" s="12" t="str">
        <x:v>PASS</x:v>
      </x:c>
      <x:c r="K14" s="12" t="str">
        <x:v>PASS</x:v>
      </x:c>
      <x:c r="L14" s="12" t="str">
        <x:v>PASS</x:v>
      </x:c>
      <x:c r="M14" s="12" t="str">
        <x:v>NO</x:v>
      </x:c>
      <x:c r="N14" s="12" t="str">
        <x:v>PASS</x:v>
      </x:c>
      <x:c r="O14" s="12" t="str">
        <x:v>FACTUAL</x:v>
      </x:c>
      <x:c r="P14" s="12" t="str">
        <x:v>PASS</x:v>
      </x:c>
      <x:c r="Q14" s="12" t="str">
        <x:v>Verified against Adobe/ADBE, the exact earnings event, displayed publication date, timing window, and prohibited-source rule.</x:v>
      </x:c>
    </x:row>
    <x:row r="15">
      <x:c r="A15" s="12" t="str">
        <x:v>2017-06-20</x:v>
      </x:c>
      <x:c r="B15" s="12" t="str">
        <x:v>ADBE</x:v>
      </x:c>
      <x:c r="C15" s="12" t="str">
        <x:v>reaction</x:v>
      </x:c>
      <x:c r="D15" s="12" t="str">
        <x:v>2017-06-21</x:v>
      </x:c>
      <x:c r="E15" s="12" t="n">
        <x:v>1</x:v>
      </x:c>
      <x:c r="F15" s="12" t="str">
        <x:v>The Motley Fool</x:v>
      </x:c>
      <x:c r="G15" s="12" t="str">
        <x:v>What Happened in the Stock Market Today</x:v>
      </x:c>
      <x:c r="H15" s="12" t="str">
        <x:v>https://www.fool.com/investing/2017/06/21/what-happened-in-the-stock-market-today-29.aspx</x:v>
      </x:c>
      <x:c r="I15" s="12" t="str">
        <x:v>VERIFIED</x:v>
      </x:c>
      <x:c r="J15" s="12" t="str">
        <x:v>PASS</x:v>
      </x:c>
      <x:c r="K15" s="12" t="str">
        <x:v>PASS</x:v>
      </x:c>
      <x:c r="L15" s="12" t="str">
        <x:v>PASS</x:v>
      </x:c>
      <x:c r="M15" s="12" t="str">
        <x:v>NO</x:v>
      </x:c>
      <x:c r="N15" s="12" t="str">
        <x:v>PASS</x:v>
      </x:c>
      <x:c r="O15" s="12" t="str">
        <x:v>CONTEMPORANEOUS_ATTRIBUTION</x:v>
      </x:c>
      <x:c r="P15" s="12" t="str">
        <x:v>PASS</x:v>
      </x:c>
      <x:c r="Q15" s="12" t="str">
        <x:v>Verified against Adobe/ADBE, the exact earnings event, displayed publication date, timing window, and prohibited-source rule.</x:v>
      </x:c>
    </x:row>
    <x:row r="16">
      <x:c r="A16" s="12" t="str">
        <x:v>2017-09-19</x:v>
      </x:c>
      <x:c r="B16" s="12" t="str">
        <x:v>ADBE</x:v>
      </x:c>
      <x:c r="C16" s="12" t="str">
        <x:v>prior</x:v>
      </x:c>
      <x:c r="D16" s="12" t="str">
        <x:v>2017-06-20</x:v>
      </x:c>
      <x:c r="E16" s="12" t="n">
        <x:v>-91</x:v>
      </x:c>
      <x:c r="F16" s="12" t="str">
        <x:v>Adobe</x:v>
      </x:c>
      <x:c r="G16" s="12" t="str">
        <x:v>Adobe Achieves Record Revenue — Q2 FY2017</x:v>
      </x:c>
      <x:c r="H16" s="12" t="str">
        <x:v>https://www.adobe.com/cc-shared/assets/pdf/corporate/investor-relations/adobeq217earnings.pdf</x:v>
      </x:c>
      <x:c r="I16" s="12" t="str">
        <x:v>VERIFIED</x:v>
      </x:c>
      <x:c r="J16" s="12" t="str">
        <x:v>PASS</x:v>
      </x:c>
      <x:c r="K16" s="12" t="str">
        <x:v>PASS</x:v>
      </x:c>
      <x:c r="L16" s="12" t="str">
        <x:v>PASS</x:v>
      </x:c>
      <x:c r="M16" s="12" t="str">
        <x:v>NO</x:v>
      </x:c>
      <x:c r="N16" s="12" t="str">
        <x:v>PASS</x:v>
      </x:c>
      <x:c r="O16" s="12" t="str">
        <x:v>FACTUAL</x:v>
      </x:c>
      <x:c r="P16" s="12" t="str">
        <x:v>PASS</x:v>
      </x:c>
      <x:c r="Q16" s="12" t="str">
        <x:v>Verified against Adobe/ADBE, the exact earnings event, displayed publication date, timing window, and prohibited-source rule.</x:v>
      </x:c>
    </x:row>
    <x:row r="17">
      <x:c r="A17" s="12" t="str">
        <x:v>2017-09-19</x:v>
      </x:c>
      <x:c r="B17" s="12" t="str">
        <x:v>ADBE</x:v>
      </x:c>
      <x:c r="C17" s="12" t="str">
        <x:v>release</x:v>
      </x:c>
      <x:c r="D17" s="12" t="str">
        <x:v>2017-09-19</x:v>
      </x:c>
      <x:c r="E17" s="12" t="n">
        <x:v>0</x:v>
      </x:c>
      <x:c r="F17" s="12" t="str">
        <x:v>Adobe</x:v>
      </x:c>
      <x:c r="G17" s="12" t="str">
        <x:v>Adobe Reports Record Revenue — Q3 FY2017</x:v>
      </x:c>
      <x:c r="H17" s="12" t="str">
        <x:v>https://www.adobe.com/cc-shared/assets/pdf/corporate/investor-relations/adobeq317earnings.pdf</x:v>
      </x:c>
      <x:c r="I17" s="12" t="str">
        <x:v>VERIFIED</x:v>
      </x:c>
      <x:c r="J17" s="12" t="str">
        <x:v>PASS</x:v>
      </x:c>
      <x:c r="K17" s="12" t="str">
        <x:v>PASS</x:v>
      </x:c>
      <x:c r="L17" s="12" t="str">
        <x:v>PASS</x:v>
      </x:c>
      <x:c r="M17" s="12" t="str">
        <x:v>NO</x:v>
      </x:c>
      <x:c r="N17" s="12" t="str">
        <x:v>PASS</x:v>
      </x:c>
      <x:c r="O17" s="12" t="str">
        <x:v>FACTUAL</x:v>
      </x:c>
      <x:c r="P17" s="12" t="str">
        <x:v>PASS</x:v>
      </x:c>
      <x:c r="Q17" s="12" t="str">
        <x:v>Verified against Adobe/ADBE, the exact earnings event, displayed publication date, timing window, and prohibited-source rule.</x:v>
      </x:c>
    </x:row>
    <x:row r="18">
      <x:c r="A18" s="12" t="str">
        <x:v>2017-09-19</x:v>
      </x:c>
      <x:c r="B18" s="12" t="str">
        <x:v>ADBE</x:v>
      </x:c>
      <x:c r="C18" s="12" t="str">
        <x:v>reaction</x:v>
      </x:c>
      <x:c r="D18" s="12" t="str">
        <x:v>2017-09-20</x:v>
      </x:c>
      <x:c r="E18" s="12" t="n">
        <x:v>1</x:v>
      </x:c>
      <x:c r="F18" s="12" t="str">
        <x:v>Schaeffer's Research</x:v>
      </x:c>
      <x:c r="G18" s="12" t="str">
        <x:v>Adobe Analysts Up Targets as Stock Sinks</x:v>
      </x:c>
      <x:c r="H18" s="12" t="str">
        <x:v>https://www.schaeffersresearch.com/content/news/2017/09/20/2-dow-drugmakers-go-to-court-adobe-analysts-up-targets-as-stock-sinks</x:v>
      </x:c>
      <x:c r="I18" s="12" t="str">
        <x:v>VERIFIED</x:v>
      </x:c>
      <x:c r="J18" s="12" t="str">
        <x:v>PASS</x:v>
      </x:c>
      <x:c r="K18" s="12" t="str">
        <x:v>PASS</x:v>
      </x:c>
      <x:c r="L18" s="12" t="str">
        <x:v>PASS</x:v>
      </x:c>
      <x:c r="M18" s="12" t="str">
        <x:v>NO</x:v>
      </x:c>
      <x:c r="N18" s="12" t="str">
        <x:v>PASS</x:v>
      </x:c>
      <x:c r="O18" s="12" t="str">
        <x:v>CONTEMPORANEOUS_ATTRIBUTION</x:v>
      </x:c>
      <x:c r="P18" s="12" t="str">
        <x:v>PASS</x:v>
      </x:c>
      <x:c r="Q18" s="12" t="str">
        <x:v>Verified against Adobe/ADBE, the exact earnings event, displayed publication date, timing window, and prohibited-source rule.</x:v>
      </x:c>
    </x:row>
    <x:row r="19">
      <x:c r="A19" s="12" t="str">
        <x:v>2017-12-14</x:v>
      </x:c>
      <x:c r="B19" s="12" t="str">
        <x:v>ADBE</x:v>
      </x:c>
      <x:c r="C19" s="12" t="str">
        <x:v>prior</x:v>
      </x:c>
      <x:c r="D19" s="12" t="str">
        <x:v>2017-09-19</x:v>
      </x:c>
      <x:c r="E19" s="12" t="n">
        <x:v>-86</x:v>
      </x:c>
      <x:c r="F19" s="12" t="str">
        <x:v>Adobe</x:v>
      </x:c>
      <x:c r="G19" s="12" t="str">
        <x:v>Adobe Reports Record Revenue — Q3 FY2017</x:v>
      </x:c>
      <x:c r="H19" s="12" t="str">
        <x:v>https://www.adobe.com/cc-shared/assets/pdf/corporate/investor-relations/adobeq317earnings.pdf</x:v>
      </x:c>
      <x:c r="I19" s="12" t="str">
        <x:v>VERIFIED</x:v>
      </x:c>
      <x:c r="J19" s="12" t="str">
        <x:v>PASS</x:v>
      </x:c>
      <x:c r="K19" s="12" t="str">
        <x:v>PASS</x:v>
      </x:c>
      <x:c r="L19" s="12" t="str">
        <x:v>PASS</x:v>
      </x:c>
      <x:c r="M19" s="12" t="str">
        <x:v>NO</x:v>
      </x:c>
      <x:c r="N19" s="12" t="str">
        <x:v>PASS</x:v>
      </x:c>
      <x:c r="O19" s="12" t="str">
        <x:v>FACTUAL</x:v>
      </x:c>
      <x:c r="P19" s="12" t="str">
        <x:v>PASS</x:v>
      </x:c>
      <x:c r="Q19" s="12" t="str">
        <x:v>Verified against Adobe/ADBE, the exact earnings event, displayed publication date, timing window, and prohibited-source rule.</x:v>
      </x:c>
    </x:row>
    <x:row r="20">
      <x:c r="A20" s="12" t="str">
        <x:v>2017-12-14</x:v>
      </x:c>
      <x:c r="B20" s="12" t="str">
        <x:v>ADBE</x:v>
      </x:c>
      <x:c r="C20" s="12" t="str">
        <x:v>release</x:v>
      </x:c>
      <x:c r="D20" s="12" t="str">
        <x:v>2017-12-14</x:v>
      </x:c>
      <x:c r="E20" s="12" t="n">
        <x:v>0</x:v>
      </x:c>
      <x:c r="F20" s="12" t="str">
        <x:v>Adobe</x:v>
      </x:c>
      <x:c r="G20" s="12" t="str">
        <x:v>Adobe Delivers Record Revenue of $2 Billion in Q4</x:v>
      </x:c>
      <x:c r="H20" s="12" t="str">
        <x:v>https://www.adobe.com/cc-shared/assets/investor-relations/pdfs/adobeq417earnings.pdf</x:v>
      </x:c>
      <x:c r="I20" s="12" t="str">
        <x:v>VERIFIED</x:v>
      </x:c>
      <x:c r="J20" s="12" t="str">
        <x:v>PASS</x:v>
      </x:c>
      <x:c r="K20" s="12" t="str">
        <x:v>PASS</x:v>
      </x:c>
      <x:c r="L20" s="12" t="str">
        <x:v>PASS</x:v>
      </x:c>
      <x:c r="M20" s="12" t="str">
        <x:v>NO</x:v>
      </x:c>
      <x:c r="N20" s="12" t="str">
        <x:v>PASS</x:v>
      </x:c>
      <x:c r="O20" s="12" t="str">
        <x:v>FACTUAL</x:v>
      </x:c>
      <x:c r="P20" s="12" t="str">
        <x:v>PASS</x:v>
      </x:c>
      <x:c r="Q20" s="12" t="str">
        <x:v>Verified against Adobe/ADBE, the exact earnings event, displayed publication date, timing window, and prohibited-source rule.</x:v>
      </x:c>
    </x:row>
    <x:row r="21">
      <x:c r="A21" s="12" t="str">
        <x:v>2017-12-14</x:v>
      </x:c>
      <x:c r="B21" s="12" t="str">
        <x:v>ADBE</x:v>
      </x:c>
      <x:c r="C21" s="12" t="str">
        <x:v>reaction</x:v>
      </x:c>
      <x:c r="D21" s="12" t="str">
        <x:v>2017-12-14</x:v>
      </x:c>
      <x:c r="E21" s="12" t="n">
        <x:v>0</x:v>
      </x:c>
      <x:c r="F21" s="12" t="str">
        <x:v>The Motley Fool</x:v>
      </x:c>
      <x:c r="G21" s="12" t="str">
        <x:v>Adobe Systems (Still) Has Its Head in the Clouds</x:v>
      </x:c>
      <x:c r="H21" s="12" t="str">
        <x:v>https://www.fool.com/investing/2017/12/14/adobe-systems-still-has-its-head-in-the-cl.aspx</x:v>
      </x:c>
      <x:c r="I21" s="12" t="str">
        <x:v>VERIFIED</x:v>
      </x:c>
      <x:c r="J21" s="12" t="str">
        <x:v>PASS</x:v>
      </x:c>
      <x:c r="K21" s="12" t="str">
        <x:v>PASS</x:v>
      </x:c>
      <x:c r="L21" s="12" t="str">
        <x:v>PASS</x:v>
      </x:c>
      <x:c r="M21" s="12" t="str">
        <x:v>NO</x:v>
      </x:c>
      <x:c r="N21" s="12" t="str">
        <x:v>PASS</x:v>
      </x:c>
      <x:c r="O21" s="12" t="str">
        <x:v>CONTEMPORANEOUS_ATTRIBUTION</x:v>
      </x:c>
      <x:c r="P21" s="12" t="str">
        <x:v>PASS</x:v>
      </x:c>
      <x:c r="Q21" s="12" t="str">
        <x:v>Verified against Adobe/ADBE, the exact earnings event, displayed publication date, timing window, and prohibited-source rule.</x:v>
      </x:c>
    </x:row>
    <x:row r="22">
      <x:c r="A22" s="12" t="str">
        <x:v>2018-03-15</x:v>
      </x:c>
      <x:c r="B22" s="12" t="str">
        <x:v>ADBE</x:v>
      </x:c>
      <x:c r="C22" s="12" t="str">
        <x:v>prior</x:v>
      </x:c>
      <x:c r="D22" s="12" t="str">
        <x:v>2017-12-14</x:v>
      </x:c>
      <x:c r="E22" s="12" t="n">
        <x:v>-91</x:v>
      </x:c>
      <x:c r="F22" s="12" t="str">
        <x:v>Adobe</x:v>
      </x:c>
      <x:c r="G22" s="12" t="str">
        <x:v>Adobe Delivers Record Revenue of $2 Billion in Q4</x:v>
      </x:c>
      <x:c r="H22" s="12" t="str">
        <x:v>https://www.adobe.com/cc-shared/assets/investor-relations/pdfs/adobeq417earnings.pdf</x:v>
      </x:c>
      <x:c r="I22" s="12" t="str">
        <x:v>VERIFIED</x:v>
      </x:c>
      <x:c r="J22" s="12" t="str">
        <x:v>PASS</x:v>
      </x:c>
      <x:c r="K22" s="12" t="str">
        <x:v>PASS</x:v>
      </x:c>
      <x:c r="L22" s="12" t="str">
        <x:v>PASS</x:v>
      </x:c>
      <x:c r="M22" s="12" t="str">
        <x:v>NO</x:v>
      </x:c>
      <x:c r="N22" s="12" t="str">
        <x:v>PASS</x:v>
      </x:c>
      <x:c r="O22" s="12" t="str">
        <x:v>FACTUAL</x:v>
      </x:c>
      <x:c r="P22" s="12" t="str">
        <x:v>PASS</x:v>
      </x:c>
      <x:c r="Q22" s="12" t="str">
        <x:v>Verified against Adobe/ADBE, the exact earnings event, displayed publication date, timing window, and prohibited-source rule.</x:v>
      </x:c>
    </x:row>
    <x:row r="23">
      <x:c r="A23" s="12" t="str">
        <x:v>2018-03-15</x:v>
      </x:c>
      <x:c r="B23" s="12" t="str">
        <x:v>ADBE</x:v>
      </x:c>
      <x:c r="C23" s="12" t="str">
        <x:v>release</x:v>
      </x:c>
      <x:c r="D23" s="12" t="str">
        <x:v>2018-03-15</x:v>
      </x:c>
      <x:c r="E23" s="12" t="n">
        <x:v>0</x:v>
      </x:c>
      <x:c r="F23" s="12" t="str">
        <x:v>Adobe</x:v>
      </x:c>
      <x:c r="G23" s="12" t="str">
        <x:v>Adobe Achieves Record Revenue — Q1 FY2018</x:v>
      </x:c>
      <x:c r="H23" s="12" t="str">
        <x:v>https://www.adobe.com/cc-shared/assets/investor-relations/pdfs/adobeq118earnings.pdf</x:v>
      </x:c>
      <x:c r="I23" s="12" t="str">
        <x:v>VERIFIED</x:v>
      </x:c>
      <x:c r="J23" s="12" t="str">
        <x:v>PASS</x:v>
      </x:c>
      <x:c r="K23" s="12" t="str">
        <x:v>PASS</x:v>
      </x:c>
      <x:c r="L23" s="12" t="str">
        <x:v>PASS</x:v>
      </x:c>
      <x:c r="M23" s="12" t="str">
        <x:v>NO</x:v>
      </x:c>
      <x:c r="N23" s="12" t="str">
        <x:v>PASS</x:v>
      </x:c>
      <x:c r="O23" s="12" t="str">
        <x:v>FACTUAL</x:v>
      </x:c>
      <x:c r="P23" s="12" t="str">
        <x:v>PASS</x:v>
      </x:c>
      <x:c r="Q23" s="12" t="str">
        <x:v>Verified against Adobe/ADBE, the exact earnings event, displayed publication date, timing window, and prohibited-source rule.</x:v>
      </x:c>
    </x:row>
    <x:row r="24">
      <x:c r="A24" s="12" t="str">
        <x:v>2018-03-15</x:v>
      </x:c>
      <x:c r="B24" s="12" t="str">
        <x:v>ADBE</x:v>
      </x:c>
      <x:c r="C24" s="12" t="str">
        <x:v>reaction</x:v>
      </x:c>
      <x:c r="D24" s="12" t="str">
        <x:v>2018-03-16</x:v>
      </x:c>
      <x:c r="E24" s="12" t="n">
        <x:v>1</x:v>
      </x:c>
      <x:c r="F24" s="12" t="str">
        <x:v>TheStreet</x:v>
      </x:c>
      <x:c r="G24" s="12" t="str">
        <x:v>Adobe Is an Unstoppable Tech Stock</x:v>
      </x:c>
      <x:c r="H24" s="12" t="str">
        <x:v>https://www.thestreet.com/story/14525101/1/adobe-beats-start-the-music.html</x:v>
      </x:c>
      <x:c r="I24" s="12" t="str">
        <x:v>VERIFIED</x:v>
      </x:c>
      <x:c r="J24" s="12" t="str">
        <x:v>PASS</x:v>
      </x:c>
      <x:c r="K24" s="12" t="str">
        <x:v>PASS</x:v>
      </x:c>
      <x:c r="L24" s="12" t="str">
        <x:v>PASS</x:v>
      </x:c>
      <x:c r="M24" s="12" t="str">
        <x:v>NO</x:v>
      </x:c>
      <x:c r="N24" s="12" t="str">
        <x:v>PASS</x:v>
      </x:c>
      <x:c r="O24" s="12" t="str">
        <x:v>CONTEMPORANEOUS_ATTRIBUTION</x:v>
      </x:c>
      <x:c r="P24" s="12" t="str">
        <x:v>PASS</x:v>
      </x:c>
      <x:c r="Q24" s="12" t="str">
        <x:v>Verified against Adobe/ADBE, the exact earnings event, displayed publication date, timing window, and prohibited-source rule.</x:v>
      </x:c>
    </x:row>
    <x:row r="25">
      <x:c r="A25" s="12" t="str">
        <x:v>2018-06-14</x:v>
      </x:c>
      <x:c r="B25" s="12" t="str">
        <x:v>ADBE</x:v>
      </x:c>
      <x:c r="C25" s="12" t="str">
        <x:v>prior</x:v>
      </x:c>
      <x:c r="D25" s="12" t="str">
        <x:v>2018-03-15</x:v>
      </x:c>
      <x:c r="E25" s="12" t="n">
        <x:v>-91</x:v>
      </x:c>
      <x:c r="F25" s="12" t="str">
        <x:v>Adobe</x:v>
      </x:c>
      <x:c r="G25" s="12" t="str">
        <x:v>Adobe Achieves Record Revenue — Q1 FY2018</x:v>
      </x:c>
      <x:c r="H25" s="12" t="str">
        <x:v>https://www.adobe.com/cc-shared/assets/investor-relations/pdfs/adobeq118earnings.pdf</x:v>
      </x:c>
      <x:c r="I25" s="12" t="str">
        <x:v>VERIFIED</x:v>
      </x:c>
      <x:c r="J25" s="12" t="str">
        <x:v>PASS</x:v>
      </x:c>
      <x:c r="K25" s="12" t="str">
        <x:v>PASS</x:v>
      </x:c>
      <x:c r="L25" s="12" t="str">
        <x:v>PASS</x:v>
      </x:c>
      <x:c r="M25" s="12" t="str">
        <x:v>NO</x:v>
      </x:c>
      <x:c r="N25" s="12" t="str">
        <x:v>PASS</x:v>
      </x:c>
      <x:c r="O25" s="12" t="str">
        <x:v>FACTUAL</x:v>
      </x:c>
      <x:c r="P25" s="12" t="str">
        <x:v>PASS</x:v>
      </x:c>
      <x:c r="Q25" s="12" t="str">
        <x:v>Verified against Adobe/ADBE, the exact earnings event, displayed publication date, timing window, and prohibited-source rule.</x:v>
      </x:c>
    </x:row>
    <x:row r="26">
      <x:c r="A26" s="12" t="str">
        <x:v>2018-06-14</x:v>
      </x:c>
      <x:c r="B26" s="12" t="str">
        <x:v>ADBE</x:v>
      </x:c>
      <x:c r="C26" s="12" t="str">
        <x:v>release</x:v>
      </x:c>
      <x:c r="D26" s="12" t="str">
        <x:v>2018-06-14</x:v>
      </x:c>
      <x:c r="E26" s="12" t="n">
        <x:v>0</x:v>
      </x:c>
      <x:c r="F26" s="12" t="str">
        <x:v>Adobe</x:v>
      </x:c>
      <x:c r="G26" s="12" t="str">
        <x:v>Adobe Reports Record Revenue — Q2 FY2018</x:v>
      </x:c>
      <x:c r="H26" s="12" t="str">
        <x:v>https://wwwimages.adobe.com/content/dam/acom/en/investor-relations/pdfs/41608102/atN97Gmaq13lf4BE.pdf</x:v>
      </x:c>
      <x:c r="I26" s="12" t="str">
        <x:v>VERIFIED</x:v>
      </x:c>
      <x:c r="J26" s="12" t="str">
        <x:v>PASS</x:v>
      </x:c>
      <x:c r="K26" s="12" t="str">
        <x:v>PASS</x:v>
      </x:c>
      <x:c r="L26" s="12" t="str">
        <x:v>PASS</x:v>
      </x:c>
      <x:c r="M26" s="12" t="str">
        <x:v>NO</x:v>
      </x:c>
      <x:c r="N26" s="12" t="str">
        <x:v>PASS</x:v>
      </x:c>
      <x:c r="O26" s="12" t="str">
        <x:v>FACTUAL</x:v>
      </x:c>
      <x:c r="P26" s="12" t="str">
        <x:v>PASS</x:v>
      </x:c>
      <x:c r="Q26" s="12" t="str">
        <x:v>Verified against Adobe/ADBE, the exact earnings event, displayed publication date, timing window, and prohibited-source rule.</x:v>
      </x:c>
    </x:row>
    <x:row r="27">
      <x:c r="A27" s="12" t="str">
        <x:v>2018-06-14</x:v>
      </x:c>
      <x:c r="B27" s="12" t="str">
        <x:v>ADBE</x:v>
      </x:c>
      <x:c r="C27" s="12" t="str">
        <x:v>reaction</x:v>
      </x:c>
      <x:c r="D27" s="12" t="str">
        <x:v>2018-06-15</x:v>
      </x:c>
      <x:c r="E27" s="12" t="n">
        <x:v>1</x:v>
      </x:c>
      <x:c r="F27" s="12" t="str">
        <x:v>TheStreet</x:v>
      </x:c>
      <x:c r="G27" s="12" t="str">
        <x:v>Adobe Is Still a Cloud King</x:v>
      </x:c>
      <x:c r="H27" s="12" t="str">
        <x:v>https://www.thestreet.com/investing/no-reason-to-get-nervous-about-adobe-14623230</x:v>
      </x:c>
      <x:c r="I27" s="12" t="str">
        <x:v>VERIFIED</x:v>
      </x:c>
      <x:c r="J27" s="12" t="str">
        <x:v>PASS</x:v>
      </x:c>
      <x:c r="K27" s="12" t="str">
        <x:v>PASS</x:v>
      </x:c>
      <x:c r="L27" s="12" t="str">
        <x:v>PASS</x:v>
      </x:c>
      <x:c r="M27" s="12" t="str">
        <x:v>NO</x:v>
      </x:c>
      <x:c r="N27" s="12" t="str">
        <x:v>PASS</x:v>
      </x:c>
      <x:c r="O27" s="12" t="str">
        <x:v>CONTEMPORANEOUS_ATTRIBUTION</x:v>
      </x:c>
      <x:c r="P27" s="12" t="str">
        <x:v>PASS</x:v>
      </x:c>
      <x:c r="Q27" s="12" t="str">
        <x:v>Verified against Adobe/ADBE, the exact earnings event, displayed publication date, timing window, and prohibited-source rule.</x:v>
      </x:c>
    </x:row>
    <x:row r="28">
      <x:c r="A28" s="12" t="str">
        <x:v>2018-09-13</x:v>
      </x:c>
      <x:c r="B28" s="12" t="str">
        <x:v>ADBE</x:v>
      </x:c>
      <x:c r="C28" s="12" t="str">
        <x:v>prior</x:v>
      </x:c>
      <x:c r="D28" s="12" t="str">
        <x:v>2018-06-14</x:v>
      </x:c>
      <x:c r="E28" s="12" t="n">
        <x:v>-91</x:v>
      </x:c>
      <x:c r="F28" s="12" t="str">
        <x:v>Adobe</x:v>
      </x:c>
      <x:c r="G28" s="12" t="str">
        <x:v>Adobe Reports Record Revenue — Q2 FY2018</x:v>
      </x:c>
      <x:c r="H28" s="12" t="str">
        <x:v>https://wwwimages.adobe.com/content/dam/acom/en/investor-relations/pdfs/41608102/atN97Gmaq13lf4BE.pdf</x:v>
      </x:c>
      <x:c r="I28" s="12" t="str">
        <x:v>VERIFIED</x:v>
      </x:c>
      <x:c r="J28" s="12" t="str">
        <x:v>PASS</x:v>
      </x:c>
      <x:c r="K28" s="12" t="str">
        <x:v>PASS</x:v>
      </x:c>
      <x:c r="L28" s="12" t="str">
        <x:v>PASS</x:v>
      </x:c>
      <x:c r="M28" s="12" t="str">
        <x:v>NO</x:v>
      </x:c>
      <x:c r="N28" s="12" t="str">
        <x:v>PASS</x:v>
      </x:c>
      <x:c r="O28" s="12" t="str">
        <x:v>FACTUAL</x:v>
      </x:c>
      <x:c r="P28" s="12" t="str">
        <x:v>PASS</x:v>
      </x:c>
      <x:c r="Q28" s="12" t="str">
        <x:v>Verified against Adobe/ADBE, the exact earnings event, displayed publication date, timing window, and prohibited-source rule.</x:v>
      </x:c>
    </x:row>
    <x:row r="29">
      <x:c r="A29" s="12" t="str">
        <x:v>2018-09-13</x:v>
      </x:c>
      <x:c r="B29" s="12" t="str">
        <x:v>ADBE</x:v>
      </x:c>
      <x:c r="C29" s="12" t="str">
        <x:v>release</x:v>
      </x:c>
      <x:c r="D29" s="12" t="str">
        <x:v>2018-09-13</x:v>
      </x:c>
      <x:c r="E29" s="12" t="n">
        <x:v>0</x:v>
      </x:c>
      <x:c r="F29" s="12" t="str">
        <x:v>Adobe</x:v>
      </x:c>
      <x:c r="G29" s="12" t="str">
        <x:v>Adobe Reports Record Revenue — Q3 FY2018</x:v>
      </x:c>
      <x:c r="H29" s="12" t="str">
        <x:v>https://www.adobe.com/cc-shared/assets/investor-relations/pdfs/adobeq318earnings.pdf</x:v>
      </x:c>
      <x:c r="I29" s="12" t="str">
        <x:v>VERIFIED</x:v>
      </x:c>
      <x:c r="J29" s="12" t="str">
        <x:v>PASS</x:v>
      </x:c>
      <x:c r="K29" s="12" t="str">
        <x:v>PASS</x:v>
      </x:c>
      <x:c r="L29" s="12" t="str">
        <x:v>PASS</x:v>
      </x:c>
      <x:c r="M29" s="12" t="str">
        <x:v>NO</x:v>
      </x:c>
      <x:c r="N29" s="12" t="str">
        <x:v>PASS</x:v>
      </x:c>
      <x:c r="O29" s="12" t="str">
        <x:v>FACTUAL</x:v>
      </x:c>
      <x:c r="P29" s="12" t="str">
        <x:v>PASS</x:v>
      </x:c>
      <x:c r="Q29" s="12" t="str">
        <x:v>Verified against Adobe/ADBE, the exact earnings event, displayed publication date, timing window, and prohibited-source rule.</x:v>
      </x:c>
    </x:row>
    <x:row r="30">
      <x:c r="A30" s="12" t="str">
        <x:v>2018-09-13</x:v>
      </x:c>
      <x:c r="B30" s="12" t="str">
        <x:v>ADBE</x:v>
      </x:c>
      <x:c r="C30" s="12" t="str">
        <x:v>reaction</x:v>
      </x:c>
      <x:c r="D30" s="12" t="str">
        <x:v>2018-09-14</x:v>
      </x:c>
      <x:c r="E30" s="12" t="n">
        <x:v>1</x:v>
      </x:c>
      <x:c r="F30" s="12" t="str">
        <x:v>The Motley Fool</x:v>
      </x:c>
      <x:c r="G30" s="12" t="str">
        <x:v>What Happened in the Stock Market Today</x:v>
      </x:c>
      <x:c r="H30" s="12" t="str">
        <x:v>https://www.fool.com/investing/2018/09/14/what-happened-in-the-stock-market-today.aspx</x:v>
      </x:c>
      <x:c r="I30" s="12" t="str">
        <x:v>VERIFIED</x:v>
      </x:c>
      <x:c r="J30" s="12" t="str">
        <x:v>PASS</x:v>
      </x:c>
      <x:c r="K30" s="12" t="str">
        <x:v>PASS</x:v>
      </x:c>
      <x:c r="L30" s="12" t="str">
        <x:v>PASS</x:v>
      </x:c>
      <x:c r="M30" s="12" t="str">
        <x:v>NO</x:v>
      </x:c>
      <x:c r="N30" s="12" t="str">
        <x:v>PASS</x:v>
      </x:c>
      <x:c r="O30" s="12" t="str">
        <x:v>CONTEMPORANEOUS_ATTRIBUTION</x:v>
      </x:c>
      <x:c r="P30" s="12" t="str">
        <x:v>PASS</x:v>
      </x:c>
      <x:c r="Q30" s="12" t="str">
        <x:v>Verified against Adobe/ADBE, the exact earnings event, displayed publication date, timing window, and prohibited-source rule.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2016-06-21</x:v>
      </x:c>
      <x:c r="B2" t="str">
        <x:v>ADBE</x:v>
      </x:c>
      <x:c r="C2" s="20" t="n">
        <x:v>1.53</x:v>
      </x:c>
      <x:c r="D2" s="20" t="n">
        <x:v>-5.54</x:v>
      </x:c>
      <x:c r="E2" t="str">
        <x:v>ret_1daypost_pct</x:v>
      </x:c>
      <x:c r="F2" t="str">
        <x:f>IF(D2&gt;0.1,"UP",IF(D2&lt;-0.1,"DOWN","FLAT"))</x:f>
        <x:v>DOWN</x:v>
      </x:c>
      <x:c r="G2" t="str">
        <x:v>DOWN</x:v>
      </x:c>
      <x:c r="H2" t="str">
        <x:f>IF(F2=G2,"PASS","FAIL")</x:f>
        <x:v>PASS</x:v>
      </x:c>
      <x:c r="I2" t="n">
        <x:v>2</x:v>
      </x:c>
      <x:c r="J2" t="n">
        <x:f>COUNTIFS('Source Audit'!$A:$A,A2,'Source Audit'!$P:$P,"PASS")</x:f>
        <x:v>2</x:v>
      </x:c>
      <x:c r="K2" t="str">
        <x:f>IF(AND(H2="PASS",J2=I2),"PASS","FAIL")</x:f>
        <x:v>PASS</x:v>
      </x:c>
    </x:row>
    <x:row r="3">
      <x:c r="A3" t="str">
        <x:v>2016-09-20</x:v>
      </x:c>
      <x:c r="B3" t="str">
        <x:v>ADBE</x:v>
      </x:c>
      <x:c r="C3" s="20" t="n">
        <x:v>0.98</x:v>
      </x:c>
      <x:c r="D3" s="20" t="n">
        <x:v>5.93</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2016-12-15</x:v>
      </x:c>
      <x:c r="B4" t="str">
        <x:v>ADBE</x:v>
      </x:c>
      <x:c r="C4" s="20" t="n">
        <x:v>-1.03</x:v>
      </x:c>
      <x:c r="D4" s="20" t="n">
        <x:v>-1.36</x:v>
      </x:c>
      <x:c r="E4" t="str">
        <x:v>ret_1daypost_pct</x:v>
      </x:c>
      <x:c r="F4" t="str">
        <x:f>IF(D4&gt;0.1,"UP",IF(D4&lt;-0.1,"DOWN","FLAT"))</x:f>
        <x:v>DOWN</x:v>
      </x:c>
      <x:c r="G4" t="str">
        <x:v>DOWN</x:v>
      </x:c>
      <x:c r="H4" t="str">
        <x:f>IF(F4=G4,"PASS","FAIL")</x:f>
        <x:v>PASS</x:v>
      </x:c>
      <x:c r="I4" t="n">
        <x:v>3</x:v>
      </x:c>
      <x:c r="J4" t="n">
        <x:f>COUNTIFS('Source Audit'!$A:$A,A4,'Source Audit'!$P:$P,"PASS")</x:f>
        <x:v>3</x:v>
      </x:c>
      <x:c r="K4" t="str">
        <x:f>IF(AND(H4="PASS",J4=I4),"PASS","FAIL")</x:f>
        <x:v>PASS</x:v>
      </x:c>
    </x:row>
    <x:row r="5">
      <x:c r="A5" t="str">
        <x:v>2017-03-16</x:v>
      </x:c>
      <x:c r="B5" t="str">
        <x:v>ADBE</x:v>
      </x:c>
      <x:c r="C5" s="20" t="n">
        <x:v>0.26</x:v>
      </x:c>
      <x:c r="D5" s="20" t="n">
        <x:v>3.89</x:v>
      </x:c>
      <x:c r="E5" t="str">
        <x:v>ret_1daypost_pct</x:v>
      </x:c>
      <x:c r="F5" t="str">
        <x:f>IF(D5&gt;0.1,"UP",IF(D5&lt;-0.1,"DOWN","FLAT"))</x:f>
        <x:v>UP</x:v>
      </x:c>
      <x:c r="G5" t="str">
        <x:v>UP</x:v>
      </x:c>
      <x:c r="H5" t="str">
        <x:f>IF(F5=G5,"PASS","FAIL")</x:f>
        <x:v>PASS</x:v>
      </x:c>
      <x:c r="I5" t="n">
        <x:v>3</x:v>
      </x:c>
      <x:c r="J5" t="n">
        <x:f>COUNTIFS('Source Audit'!$A:$A,A5,'Source Audit'!$P:$P,"PASS")</x:f>
        <x:v>3</x:v>
      </x:c>
      <x:c r="K5" t="str">
        <x:f>IF(AND(H5="PASS",J5=I5),"PASS","FAIL")</x:f>
        <x:v>PASS</x:v>
      </x:c>
    </x:row>
    <x:row r="6">
      <x:c r="A6" t="str">
        <x:v>2017-06-20</x:v>
      </x:c>
      <x:c r="B6" t="str">
        <x:v>ADBE</x:v>
      </x:c>
      <x:c r="C6" s="20" t="n">
        <x:v>1.15</x:v>
      </x:c>
      <x:c r="D6" s="20" t="n">
        <x:v>2.44</x:v>
      </x:c>
      <x:c r="E6" t="str">
        <x:v>ret_1daypost_pct</x:v>
      </x:c>
      <x:c r="F6" t="str">
        <x:f>IF(D6&gt;0.1,"UP",IF(D6&lt;-0.1,"DOWN","FLAT"))</x:f>
        <x:v>UP</x:v>
      </x:c>
      <x:c r="G6" t="str">
        <x:v>UP</x:v>
      </x:c>
      <x:c r="H6" t="str">
        <x:f>IF(F6=G6,"PASS","FAIL")</x:f>
        <x:v>PASS</x:v>
      </x:c>
      <x:c r="I6" t="n">
        <x:v>3</x:v>
      </x:c>
      <x:c r="J6" t="n">
        <x:f>COUNTIFS('Source Audit'!$A:$A,A6,'Source Audit'!$P:$P,"PASS")</x:f>
        <x:v>3</x:v>
      </x:c>
      <x:c r="K6" t="str">
        <x:f>IF(AND(H6="PASS",J6=I6),"PASS","FAIL")</x:f>
        <x:v>PASS</x:v>
      </x:c>
    </x:row>
    <x:row r="7">
      <x:c r="A7" t="str">
        <x:v>2017-09-19</x:v>
      </x:c>
      <x:c r="B7" t="str">
        <x:v>ADBE</x:v>
      </x:c>
      <x:c r="C7" s="20" t="n">
        <x:v>0.42</x:v>
      </x:c>
      <x:c r="D7" s="20" t="n">
        <x:v>-4.33</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2017-12-14</x:v>
      </x:c>
      <x:c r="B8" t="str">
        <x:v>ADBE</x:v>
      </x:c>
      <x:c r="C8" s="20" t="n">
        <x:v>-0.6</x:v>
      </x:c>
      <x:c r="D8" s="20" t="n">
        <x:v>0.64</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2018-03-15</x:v>
      </x:c>
      <x:c r="B9" t="str">
        <x:v>ADBE</x:v>
      </x:c>
      <x:c r="C9" s="20" t="n">
        <x:v>0.42</x:v>
      </x:c>
      <x:c r="D9" s="20" t="n">
        <x:v>2.81</x:v>
      </x:c>
      <x:c r="E9" t="str">
        <x:v>ret_1daypost_pct</x:v>
      </x:c>
      <x:c r="F9" t="str">
        <x:f>IF(D9&gt;0.1,"UP",IF(D9&lt;-0.1,"DOWN","FLAT"))</x:f>
        <x:v>UP</x:v>
      </x:c>
      <x:c r="G9" t="str">
        <x:v>UP</x:v>
      </x:c>
      <x:c r="H9" t="str">
        <x:f>IF(F9=G9,"PASS","FAIL")</x:f>
        <x:v>PASS</x:v>
      </x:c>
      <x:c r="I9" t="n">
        <x:v>3</x:v>
      </x:c>
      <x:c r="J9" t="n">
        <x:f>COUNTIFS('Source Audit'!$A:$A,A9,'Source Audit'!$P:$P,"PASS")</x:f>
        <x:v>3</x:v>
      </x:c>
      <x:c r="K9" t="str">
        <x:f>IF(AND(H9="PASS",J9=I9),"PASS","FAIL")</x:f>
        <x:v>PASS</x:v>
      </x:c>
    </x:row>
    <x:row r="10">
      <x:c r="A10" t="str">
        <x:v>2018-06-14</x:v>
      </x:c>
      <x:c r="B10" t="str">
        <x:v>ADBE</x:v>
      </x:c>
      <x:c r="C10" s="20" t="n">
        <x:v>0.51</x:v>
      </x:c>
      <x:c r="D10" s="20" t="n">
        <x:v>-2.27</x:v>
      </x:c>
      <x:c r="E10" t="str">
        <x:v>ret_1daypost_pct</x:v>
      </x:c>
      <x:c r="F10" t="str">
        <x:f>IF(D10&gt;0.1,"UP",IF(D10&lt;-0.1,"DOWN","FLAT"))</x:f>
        <x:v>DOWN</x:v>
      </x:c>
      <x:c r="G10" t="str">
        <x:v>DOWN</x:v>
      </x:c>
      <x:c r="H10" t="str">
        <x:f>IF(F10=G10,"PASS","FAIL")</x:f>
        <x:v>PASS</x:v>
      </x:c>
      <x:c r="I10" t="n">
        <x:v>3</x:v>
      </x:c>
      <x:c r="J10" t="n">
        <x:f>COUNTIFS('Source Audit'!$A:$A,A10,'Source Audit'!$P:$P,"PASS")</x:f>
        <x:v>3</x:v>
      </x:c>
      <x:c r="K10" t="str">
        <x:f>IF(AND(H10="PASS",J10=I10),"PASS","FAIL")</x:f>
        <x:v>PASS</x:v>
      </x:c>
    </x:row>
    <x:row r="11">
      <x:c r="A11" t="str">
        <x:v>2018-09-13</x:v>
      </x:c>
      <x:c r="B11" t="str">
        <x:v>ADBE</x:v>
      </x:c>
      <x:c r="C11" s="20" t="n">
        <x:v>-0.16</x:v>
      </x:c>
      <x:c r="D11" s="20" t="n">
        <x:v>2.21</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2" hidden="0" customWidth="1"/>
  </x:cols>
  <x:sheetData>
    <x:row r="1">
      <x:c r="A1" s="5" t="str">
        <x:v>Item</x:v>
      </x:c>
      <x:c r="B1" s="5" t="str">
        <x:v>Rule</x:v>
      </x:c>
    </x:row>
    <x:row r="2">
      <x:c r="A2" s="12" t="str">
        <x:v>Rebuild status</x:v>
      </x:c>
      <x:c r="B2" s="12" t="str">
        <x:v>ADBE rebuilt from scratch under the corrected verification protocol.</x:v>
      </x:c>
    </x:row>
    <x:row r="3">
      <x:c r="A3" s="12" t="str">
        <x:v>Identity source</x:v>
      </x:c>
      <x:c r="B3" s="12" t="str">
        <x:v>Ticker/company, exact earnings dates and all returns come from group_observations.csv.</x:v>
      </x:c>
    </x:row>
    <x:row r="4">
      <x:c r="A4" s="12" t="str">
        <x:v>Reaction basis</x:v>
      </x:c>
      <x:c r="B4" s="12" t="str">
        <x:v>Adobe reported these sampled earnings after the U.S. market close; ret_1daypost_pct is therefore used as the first full post-release session for direction QA.</x:v>
      </x:c>
    </x:row>
    <x:row r="5">
      <x:c r="A5" s="12" t="str">
        <x:v>Narrative</x:v>
      </x:c>
      <x:c r="B5" s="12" t="str">
        <x:v>Short Prior Context, detailed Current Earnings Release, and three concise event-specific Possible Drivers.</x:v>
      </x:c>
    </x:row>
    <x:row r="6">
      <x:c r="A6" s="12" t="str">
        <x:v>Source discipline</x:v>
      </x:c>
      <x:c r="B6" s="12" t="str">
        <x:v>Adobe historical earnings releases are the factual anchor. A contemporaneous open reaction article is included for each event. No source is added merely to satisfy a count.</x:v>
      </x:c>
    </x:row>
    <x:row r="7">
      <x:c r="A7" s="12" t="str">
        <x:v>Timing</x:v>
      </x:c>
      <x:c r="B7" s="12" t="str">
        <x:v>Prior = -100..-1 calendar days; release = day 0; reaction = day 0..+3.</x:v>
      </x:c>
    </x:row>
    <x:row r="8">
      <x:c r="A8" s="12" t="str">
        <x:v>Restrictions</x:v>
      </x:c>
      <x:c r="B8" s="12" t="str">
        <x:v>No WSJ, Reuters, Dow Jones or MarketWatch-syndicated source is included. Reuters-derived articles were deliberately excluded.</x:v>
      </x:c>
    </x:row>
    <x:row r="9">
      <x:c r="A9" s="12" t="str">
        <x:v>QA</x:v>
      </x:c>
      <x:c r="B9" s="12" t="str">
        <x:v>Event QA mechanically recomputes direction from ret_1daypost_pct and checks the exact expected number of PASS source rows for each event.</x:v>
      </x:c>
    </x:row>
  </x:sheetData>
  <x:pageMargins left="0.7" right="0.7" top="0.75" bottom="0.75" header="0.3" footer="0.3"/>
</x:worksheet>
</file>