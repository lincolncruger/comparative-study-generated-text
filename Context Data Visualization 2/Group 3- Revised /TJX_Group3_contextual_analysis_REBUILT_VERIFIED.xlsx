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54ceefe2554a73" /></Relationships>
</file>

<file path=xl/workbook.xml><?xml version="1.0" encoding="utf-8"?>
<x:workbook xmlns:x="http://schemas.openxmlformats.org/spreadsheetml/2006/main">
  <x:sheets>
    <x:sheet xmlns:r="http://schemas.openxmlformats.org/officeDocument/2006/relationships" name="TJX" sheetId="1" r:id="Ra5d43dda9be0447f"/>
    <x:sheet xmlns:r="http://schemas.openxmlformats.org/officeDocument/2006/relationships" name="Source Audit" sheetId="2" r:id="Rd8404682d407472b"/>
    <x:sheet xmlns:r="http://schemas.openxmlformats.org/officeDocument/2006/relationships" name="Event QA" sheetId="3" r:id="R083f0974fc3f45bd"/>
    <x:sheet xmlns:r="http://schemas.openxmlformats.org/officeDocument/2006/relationships" name="Methodology" sheetId="4" r:id="Rcdfda051946247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c8f8c8b46845cf" /><Relationship Type="http://schemas.openxmlformats.org/officeDocument/2006/relationships/theme" Target="/xl/theme/theme1.xml" Id="Re56a7dd37a104d78" /><Relationship Type="http://schemas.openxmlformats.org/officeDocument/2006/relationships/sharedStrings" Target="/xl/sharedStrings.xml" Id="R0c3bd4184d624bc0" /><Relationship Type="http://schemas.openxmlformats.org/officeDocument/2006/relationships/worksheet" Target="/xl/worksheets/sheet1.xml" Id="Ra5d43dda9be0447f" /><Relationship Type="http://schemas.openxmlformats.org/officeDocument/2006/relationships/worksheet" Target="/xl/worksheets/sheet2.xml" Id="Rd8404682d407472b" /><Relationship Type="http://schemas.openxmlformats.org/officeDocument/2006/relationships/worksheet" Target="/xl/worksheets/sheet3.xml" Id="R083f0974fc3f45bd" /><Relationship Type="http://schemas.openxmlformats.org/officeDocument/2006/relationships/worksheet" Target="/xl/worksheets/sheet4.xml" Id="Rcdfda051946247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4" hidden="0" customWidth="1"/>
    <x:col min="15" max="15" width="64" hidden="0" customWidth="1"/>
    <x:col min="16" max="16" width="64" hidden="0" customWidth="1"/>
    <x:col min="17" max="17" width="78"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TJX</x:v>
      </x:c>
      <x:c r="C2" s="15" t="str">
        <x:v>TJX Companies</x:v>
      </x:c>
      <x:c r="D2" s="15" t="str">
        <x:v>2016q2</x:v>
      </x:c>
      <x:c r="E2" s="15" t="str">
        <x:v>2016-05-17</x:v>
      </x:c>
      <x:c r="F2" s="18" t="n">
        <x:v>1.39</x:v>
      </x:c>
      <x:c r="G2" s="18" t="n">
        <x:v>-1.07</x:v>
      </x:c>
      <x:c r="H2" s="18" t="n">
        <x:v>0.31</x:v>
      </x:c>
      <x:c r="I2" s="18" t="n">
        <x:v>2.75</x:v>
      </x:c>
      <x:c r="J2" s="18" t="n">
        <x:v>3.32</x:v>
      </x:c>
      <x:c r="K2" s="15" t="str">
        <x:v>ret_1day_pct</x:v>
      </x:c>
      <x:c r="L2" s="15" t="str">
        <x:v>UP</x:v>
      </x:c>
      <x:c r="M2" s="15" t="str">
        <x:v>## Prior Context
TJX entered fiscal 2017 with strong traffic momentum while department stores were reporting weak apparel demand. The off-price model was benefiting from value-seeking consumers and abundant branded inventory.
### Verified prior source
2016-02-24 | TJX Companies | TJX Reports Above-Plan Q4 and FY16 Results; Provides FY17 Guidance | https://investor.tjx.com/news-releases/news-release-details/tjx-companies-inc-reports-above-plan-q4-and-fy16-results-q4-comp
## Current Earnings Release
TJX reported **$7.54 billion of revenue**, up nearly 10%, and diluted EPS of **$0.76**, both above consensus. Consolidated comparable-store sales rose **7%**, on top of 5% growth a year earlier. Importantly, management said **customer traffic drove the comp increase at every division**, including 6% at Marmaxx, 9% at HomeGoods and 14% in Canada.
TJX also raised full-year EPS and comp-sales guidance. Merchandise margin improved, showing that the company was not buying traffic through excessive markdowns. The quarter therefore combined strong traffic, market-share gains and better-than-expected profitability.
### Verified release source
2016-05-17 | TJX Companies | TJX Reports Above-Plan Q1 FY17 Results with 7% Comp Sales Growth and Raises Guidance | https://investor.tjx.com/static-files/4c192470-9d77-46db-b959-fe6546ab8ae4
## Possible Drivers
**First-order driver.** The stock rose because revenue, EPS and 7% comp growth all beat expectations.
**Second-order driver.** Traffic—not ticket inflation—drove the comp gain, making the sales growth unusually high quality.
**Third-order driver.** Strong merchandise margin suggested TJX was gaining share without sacrificing pricing discipline.
### Verified reaction source
2016-05-17 | TheStreet | TJX Results Reinforce View That Off-Price Is Winning the 'Retail War' | https://www.thestreet.com/investing/tjx-results-reinforce-view-that-off-price-is-winning-the-retail-war-13574562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2" s="15" t="str">
        <x:v>2016-02-24 | TJX Companies | TJX Reports Above-Plan Q4 and FY16 Results; Provides FY17 Guidance | https://investor.tjx.com/news-releases/news-release-details/tjx-companies-inc-reports-above-plan-q4-and-fy16-results-q4-comp</x:v>
      </x:c>
      <x:c r="O2" s="15" t="str">
        <x:v>2016-05-17 | TJX Companies | TJX Reports Above-Plan Q1 FY17 Results with 7% Comp Sales Growth and Raises Guidance | https://investor.tjx.com/static-files/4c192470-9d77-46db-b959-fe6546ab8ae4</x:v>
      </x:c>
      <x:c r="P2" s="15" t="str">
        <x:v>2016-05-17 | TheStreet | TJX Results Reinforce View That Off-Price Is Winning the 'Retail War' | https://www.thestreet.com/investing/tjx-results-reinforce-view-that-off-price-is-winning-the-retail-war-13574562</x:v>
      </x:c>
      <x:c r="Q2" s="15" t="str">
        <x:v>2016-02-24 | TJX Companies | TJX Reports Above-Plan Q4 and FY16 Results; Provides FY17 Guidance | https://investor.tjx.com/news-releases/news-release-details/tjx-companies-inc-reports-above-plan-q4-and-fy16-results-q4-comp
2016-05-17 | TJX Companies | TJX Reports Above-Plan Q1 FY17 Results with 7% Comp Sales Growth and Raises Guidance | https://investor.tjx.com/static-files/4c192470-9d77-46db-b959-fe6546ab8ae4
2016-05-17 | TheStreet | TJX Results Reinforce View That Off-Price Is Winning the 'Retail War' | https://www.thestreet.com/investing/tjx-results-reinforce-view-that-off-price-is-winning-the-retail-war-13574562</x:v>
      </x:c>
      <x:c r="R2" s="15" t="n">
        <x:v>3</x:v>
      </x:c>
      <x:c r="S2" s="15" t="str">
        <x:v>PASS</x:v>
      </x:c>
    </x:row>
    <x:row r="3" ht="340" customHeight="1">
      <x:c r="A3" s="15" t="n">
        <x:v>1</x:v>
      </x:c>
      <x:c r="B3" s="15" t="str">
        <x:v>TJX</x:v>
      </x:c>
      <x:c r="C3" s="15" t="str">
        <x:v>TJX Companies</x:v>
      </x:c>
      <x:c r="D3" s="15" t="str">
        <x:v>2016q3</x:v>
      </x:c>
      <x:c r="E3" s="15" t="str">
        <x:v>2016-08-16</x:v>
      </x:c>
      <x:c r="F3" s="18" t="n">
        <x:v>-5.25</x:v>
      </x:c>
      <x:c r="G3" s="18" t="n">
        <x:v>0.18</x:v>
      </x:c>
      <x:c r="H3" s="18" t="n">
        <x:v>-5.08</x:v>
      </x:c>
      <x:c r="I3" s="18" t="n">
        <x:v>-5.58</x:v>
      </x:c>
      <x:c r="J3" s="18" t="n">
        <x:v>-4.33</x:v>
      </x:c>
      <x:c r="K3" s="15" t="str">
        <x:v>ret_1day_pct</x:v>
      </x:c>
      <x:c r="L3" s="15" t="str">
        <x:v>DOWN</x:v>
      </x:c>
      <x:c r="M3" s="15" t="str">
        <x:v>## Prior Context
After a 7% Q1 comp and a strong stock run, expectations were unusually high. Investors wanted another beat-and-raise rather than merely solid execution.
### Verified prior source
2016-05-17 | TJX Companies | TJX Reports Above-Plan Q1 FY17 Results with 7% Comp Sales Growth and Raises Guidance | https://investor.tjx.com/static-files/4c192470-9d77-46db-b959-fe6546ab8ae4
## Current Earnings Release
Q2 revenue reached **$7.88 billion**, up 7%, and EPS was **$0.84**. Comparable-store sales increased **4%**, beating the roughly 3.5% expectation. Management again emphasized that the comp was almost entirely traffic-driven and raised its full-year comp outlook to **3%–4%**.
The problem was forward earnings. TJX guided Q3 EPS to only **$0.83–$0.85**, below consensus around $0.90, and full-year EPS remained below the Street despite being raised. Wage increases and foreign exchange were explicit headwinds. The quarter was operationally strong, but the guidance did not clear the valuation bar.
### Verified release source
2016-08-16 | TJX Companies | TJX Reports Above-Plan Q2 FY17 Results with 4% Comp Sales Growth and Raises Full-Year Guidance | https://investor.tjx.com/news-releases/news-release-details/tjx-companies-inc-reports-above-plan-q2-fy17-results-4-comp
## Possible Drivers
**First-order driver.** Shares fell because Q3 and full-year EPS guidance came in below expectations despite a strong quarter.
**Second-order driver.** Wage and FX headwinds limited earnings conversion from healthy traffic growth.
**Third-order driver.** With the stock near an all-time high, a normal beat was not enough to sustain the prior valuation.
### Verified reaction source
2016-08-16 | TheStreet | TJX Stock Down on Outlook Despite Q2 Beat | https://www.thestreet.com/story/13676215/1/tjx-stock-down-on-outlook-despite-q2-beat.html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3" s="15" t="str">
        <x:v>2016-05-17 | TJX Companies | TJX Reports Above-Plan Q1 FY17 Results with 7% Comp Sales Growth and Raises Guidance | https://investor.tjx.com/static-files/4c192470-9d77-46db-b959-fe6546ab8ae4</x:v>
      </x:c>
      <x:c r="O3" s="15" t="str">
        <x:v>2016-08-16 | TJX Companies | TJX Reports Above-Plan Q2 FY17 Results with 4% Comp Sales Growth and Raises Full-Year Guidance | https://investor.tjx.com/news-releases/news-release-details/tjx-companies-inc-reports-above-plan-q2-fy17-results-4-comp</x:v>
      </x:c>
      <x:c r="P3" s="15" t="str">
        <x:v>2016-08-16 | TheStreet | TJX Stock Down on Outlook Despite Q2 Beat | https://www.thestreet.com/story/13676215/1/tjx-stock-down-on-outlook-despite-q2-beat.html</x:v>
      </x:c>
      <x:c r="Q3" s="15" t="str">
        <x:v>2016-05-17 | TJX Companies | TJX Reports Above-Plan Q1 FY17 Results with 7% Comp Sales Growth and Raises Guidance | https://investor.tjx.com/static-files/4c192470-9d77-46db-b959-fe6546ab8ae4
2016-08-16 | TJX Companies | TJX Reports Above-Plan Q2 FY17 Results with 4% Comp Sales Growth and Raises Full-Year Guidance | https://investor.tjx.com/news-releases/news-release-details/tjx-companies-inc-reports-above-plan-q2-fy17-results-4-comp
2016-08-16 | TheStreet | TJX Stock Down on Outlook Despite Q2 Beat | https://www.thestreet.com/story/13676215/1/tjx-stock-down-on-outlook-despite-q2-beat.html</x:v>
      </x:c>
      <x:c r="R3" s="15" t="n">
        <x:v>3</x:v>
      </x:c>
      <x:c r="S3" s="15" t="str">
        <x:v>PASS</x:v>
      </x:c>
    </x:row>
    <x:row r="4" ht="340" customHeight="1">
      <x:c r="A4" s="15" t="n">
        <x:v>2</x:v>
      </x:c>
      <x:c r="B4" s="15" t="str">
        <x:v>TJX</x:v>
      </x:c>
      <x:c r="C4" s="15" t="str">
        <x:v>TJX Companies</x:v>
      </x:c>
      <x:c r="D4" s="15" t="str">
        <x:v>2016q4</x:v>
      </x:c>
      <x:c r="E4" s="15" t="str">
        <x:v>2016-11-15</x:v>
      </x:c>
      <x:c r="F4" s="18" t="n">
        <x:v>-1.77</x:v>
      </x:c>
      <x:c r="G4" s="18" t="n">
        <x:v>4.1</x:v>
      </x:c>
      <x:c r="H4" s="18" t="n">
        <x:v>2.25</x:v>
      </x:c>
      <x:c r="I4" s="18" t="n">
        <x:v>0.42</x:v>
      </x:c>
      <x:c r="J4" s="18" t="n">
        <x:v>1.85</x:v>
      </x:c>
      <x:c r="K4" s="15" t="str">
        <x:v>ret_1day_pct</x:v>
      </x:c>
      <x:c r="L4" s="15" t="str">
        <x:v>DOWN</x:v>
      </x:c>
      <x:c r="M4" s="15" t="str">
        <x:v>## Prior Context
TJX entered Q3 after the August guidance-driven selloff, but consumer traffic and off-price inventory conditions remained favorable.
### Verified prior source
2016-08-16 | TJX Companies | TJX Reports Above-Plan Q2 FY17 Results with 4% Comp Sales Growth and Raises Full-Year Guidance | https://investor.tjx.com/news-releases/news-release-details/tjx-companies-inc-reports-above-plan-q2-fy17-results-4-comp
## Current Earnings Release
Q3 was fundamentally strong. Revenue rose **7% to $8.29 billion**, adjusted EPS was **$0.91** versus roughly $0.87 expected, and consolidated comps increased **5%** versus expectations near 3.6%. Marmaxx, HomeGoods and Canada all beat comp expectations, while merchandise margin improved.
TJX raised full-year adjusted EPS guidance to **$3.46–$3.48**. GAAP EPS of $0.83 was depressed by a debt-extinguishment charge and pension-settlement charge rather than operating weakness. The release therefore contained little obvious fundamental bad news.
### Verified release source
2016-11-15 | TJX Companies | TJX Reports Q3 FY17 Results with 5% Comp Sales Growth | https://investor.tjx.com/node/17056
## Possible Drivers
**First-order driver.** The negative close is not cleanly attributable to the earnings release; verified contemporaneous coverage described a broad operating beat and positive premarket reaction.
**Second-order driver.** Adjusted results and comps were materially better than expected, so the closing decline may reflect intraday positioning or broader market forces.
**Third-order driver.** Debt and pension charges affected GAAP EPS but did not change the underlying retail trend.
### Verified reaction source
2016-11-15 | TheStreet | TJX Blows Away Everyone in Retail, Proves Americans Remain Thrifty | https://www.thestreet.com/investing/stocks/tjx-cos-blows-away-everyone-in-retail-proves-americans-remain-thrifty-13892633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4" s="15" t="str">
        <x:v>2016-08-16 | TJX Companies | TJX Reports Above-Plan Q2 FY17 Results with 4% Comp Sales Growth and Raises Full-Year Guidance | https://investor.tjx.com/news-releases/news-release-details/tjx-companies-inc-reports-above-plan-q2-fy17-results-4-comp</x:v>
      </x:c>
      <x:c r="O4" s="15" t="str">
        <x:v>2016-11-15 | TJX Companies | TJX Reports Q3 FY17 Results with 5% Comp Sales Growth | https://investor.tjx.com/node/17056</x:v>
      </x:c>
      <x:c r="P4" s="15" t="str">
        <x:v>2016-11-15 | TheStreet | TJX Blows Away Everyone in Retail, Proves Americans Remain Thrifty | https://www.thestreet.com/investing/stocks/tjx-cos-blows-away-everyone-in-retail-proves-americans-remain-thrifty-13892633</x:v>
      </x:c>
      <x:c r="Q4" s="15" t="str">
        <x:v>2016-08-16 | TJX Companies | TJX Reports Above-Plan Q2 FY17 Results with 4% Comp Sales Growth and Raises Full-Year Guidance | https://investor.tjx.com/news-releases/news-release-details/tjx-companies-inc-reports-above-plan-q2-fy17-results-4-comp
2016-11-15 | TJX Companies | TJX Reports Q3 FY17 Results with 5% Comp Sales Growth | https://investor.tjx.com/node/17056
2016-11-15 | TheStreet | TJX Blows Away Everyone in Retail, Proves Americans Remain Thrifty | https://www.thestreet.com/investing/stocks/tjx-cos-blows-away-everyone-in-retail-proves-americans-remain-thrifty-13892633</x:v>
      </x:c>
      <x:c r="R4" s="15" t="n">
        <x:v>3</x:v>
      </x:c>
      <x:c r="S4" s="15" t="str">
        <x:v>PASS</x:v>
      </x:c>
    </x:row>
    <x:row r="5" ht="340" customHeight="1">
      <x:c r="A5" s="15" t="n">
        <x:v>3</x:v>
      </x:c>
      <x:c r="B5" s="15" t="str">
        <x:v>TJX</x:v>
      </x:c>
      <x:c r="C5" s="15" t="str">
        <x:v>TJX Companies</x:v>
      </x:c>
      <x:c r="D5" s="15" t="str">
        <x:v>2017q1</x:v>
      </x:c>
      <x:c r="E5" s="15" t="str">
        <x:v>2017-02-22</x:v>
      </x:c>
      <x:c r="F5" s="18" t="n">
        <x:v>0.32</x:v>
      </x:c>
      <x:c r="G5" s="18" t="n">
        <x:v>2</x:v>
      </x:c>
      <x:c r="H5" s="18" t="n">
        <x:v>2.33</x:v>
      </x:c>
      <x:c r="I5" s="18" t="n">
        <x:v>0.47</x:v>
      </x:c>
      <x:c r="J5" s="18" t="n">
        <x:v>1.27</x:v>
      </x:c>
      <x:c r="K5" s="15" t="str">
        <x:v>ret_1day_pct</x:v>
      </x:c>
      <x:c r="L5" s="15" t="str">
        <x:v>UP</x:v>
      </x:c>
      <x:c r="M5" s="15" t="str">
        <x:v>## Prior Context
By year-end, TJX had established a multi-quarter pattern of traffic-led share gains while department stores were losing relevance. Investors wanted evidence that this advantage could persist through tougher comparisons.
### Verified prior source
2016-11-15 | TJX Companies | TJX Reports Q3 FY17 Results with 5% Comp Sales Growth | https://investor.tjx.com/node/17056
## Current Earnings Release
Q4 revenue increased **6% to $9.47 billion**, EPS was **$1.03**, and comparable-store sales rose **3%**, all above TJX’s plan. For the full year, comps increased **5%**, marking another year of broad market-share gains. Customer traffic again drove the comp increase and merchandise margin improved.
TJX also announced plans for a **20% dividend increase** and **$1.3–$1.8 billion of buybacks**. Fiscal-2018 guidance remained conservative because wage and currency headwinds were expected to persist. The quarter confirmed strong underlying demand while setting a lower near-term earnings bar.
### Verified release source
2017-02-22 | TJX Companies | TJX Reports Above-Plan Q4 and FY17 Results; Q4 Comp Sales Up 3% | https://investor.tjx.com/news-releases/news-release-details/tjx-companies-inc-reports-above-plan-q4-and-fy17-comp-sales-and
## Possible Drivers
**First-order driver.** Shares edged higher as above-plan comps and traffic confirmed continued share gains.
**Second-order driver.** Capital returns reinforced confidence in cash generation.
**Third-order driver.** Conservative forward guidance limited the size of the positive reaction.
### Verified reaction source
2017-02-22 | Fortune | T.J. Maxx Demolished Macy's During the Holiday Season | https://fortune.com/2017/02/22/tjmaxx-macys-earnings-holidays/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5" s="15" t="str">
        <x:v>2016-11-15 | TJX Companies | TJX Reports Q3 FY17 Results with 5% Comp Sales Growth | https://investor.tjx.com/node/17056</x:v>
      </x:c>
      <x:c r="O5" s="15" t="str">
        <x:v>2017-02-22 | TJX Companies | TJX Reports Above-Plan Q4 and FY17 Results; Q4 Comp Sales Up 3% | https://investor.tjx.com/news-releases/news-release-details/tjx-companies-inc-reports-above-plan-q4-and-fy17-comp-sales-and</x:v>
      </x:c>
      <x:c r="P5" s="15" t="str">
        <x:v>2017-02-22 | Fortune | T.J. Maxx Demolished Macy's During the Holiday Season | https://fortune.com/2017/02/22/tjmaxx-macys-earnings-holidays/</x:v>
      </x:c>
      <x:c r="Q5" s="15" t="str">
        <x:v>2016-11-15 | TJX Companies | TJX Reports Q3 FY17 Results with 5% Comp Sales Growth | https://investor.tjx.com/node/17056
2017-02-22 | TJX Companies | TJX Reports Above-Plan Q4 and FY17 Results; Q4 Comp Sales Up 3% | https://investor.tjx.com/news-releases/news-release-details/tjx-companies-inc-reports-above-plan-q4-and-fy17-comp-sales-and
2017-02-22 | Fortune | T.J. Maxx Demolished Macy's During the Holiday Season | https://fortune.com/2017/02/22/tjmaxx-macys-earnings-holidays/</x:v>
      </x:c>
      <x:c r="R5" s="15" t="n">
        <x:v>3</x:v>
      </x:c>
      <x:c r="S5" s="15" t="str">
        <x:v>PASS</x:v>
      </x:c>
    </x:row>
    <x:row r="6" ht="340" customHeight="1">
      <x:c r="A6" s="15" t="n">
        <x:v>4</x:v>
      </x:c>
      <x:c r="B6" s="15" t="str">
        <x:v>TJX</x:v>
      </x:c>
      <x:c r="C6" s="15" t="str">
        <x:v>TJX Companies</x:v>
      </x:c>
      <x:c r="D6" s="15" t="str">
        <x:v>2017q2</x:v>
      </x:c>
      <x:c r="E6" s="15" t="str">
        <x:v>2017-05-16</x:v>
      </x:c>
      <x:c r="F6" s="18" t="n">
        <x:v>-4.04</x:v>
      </x:c>
      <x:c r="G6" s="18" t="n">
        <x:v>3.18</x:v>
      </x:c>
      <x:c r="H6" s="18" t="n">
        <x:v>-0.99</x:v>
      </x:c>
      <x:c r="I6" s="18" t="n">
        <x:v>-2.07</x:v>
      </x:c>
      <x:c r="J6" s="18" t="n">
        <x:v>-3.79</x:v>
      </x:c>
      <x:c r="K6" s="15" t="str">
        <x:v>ret_1day_pct</x:v>
      </x:c>
      <x:c r="L6" s="15" t="str">
        <x:v>DOWN</x:v>
      </x:c>
      <x:c r="M6" s="15" t="str">
        <x:v>## Prior Context
TJX was lapping an exceptional 7% comp from the prior year, so some slowdown was expected. The market still wanted evidence that traffic momentum remained strong enough to justify a premium valuation.
### Verified prior source
2017-02-22 | TJX Companies | TJX Reports Above-Plan Q4 and FY17 Results; Q4 Comp Sales Up 3% | https://investor.tjx.com/news-releases/news-release-details/tjx-companies-inc-reports-above-plan-q4-and-fy17-comp-sales-and
## Current Earnings Release
Q1 revenue increased only **3% to $7.8 billion** and consolidated comps rose **1%**, below the roughly 1.6% Street expectation. EPS of **$0.82** beat consensus, but roughly **$0.04** of the upside versus management’s plan came from share-based-compensation accounting and favorable FX rather than core operating performance.
Management maintained its full-year outlook rather than raising it. Marmaxx comps were flat and the quality of the EPS beat was weak. This was a clear case where the headline earnings number overstated the strength of the underlying quarter.
### Verified release source
2017-05-16 | TJX Companies | TJX Reports Q1 FY18 Results | https://investor.tjx.com/news-releases/news-release-details/tjx-companies-inc-reports-q1-fy18-results
## Possible Drivers
**First-order driver.** The stock fell because revenue and comps missed expectations despite an EPS beat.
**Second-order driver.** Much of the EPS upside came from accounting and FX benefits, reducing its information value.
**Third-order driver.** Flat Marmaxx comps raised concern that the core U.S. traffic engine had slowed.
### Verified reaction source
2017-05-16 | TheStreet Pro | TJX Reports Disappointing Results | https://pro.thestreet.com/portfolio/tjx-reports-disappointing-results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6" s="15" t="str">
        <x:v>2017-02-22 | TJX Companies | TJX Reports Above-Plan Q4 and FY17 Results; Q4 Comp Sales Up 3% | https://investor.tjx.com/news-releases/news-release-details/tjx-companies-inc-reports-above-plan-q4-and-fy17-comp-sales-and</x:v>
      </x:c>
      <x:c r="O6" s="15" t="str">
        <x:v>2017-05-16 | TJX Companies | TJX Reports Q1 FY18 Results | https://investor.tjx.com/news-releases/news-release-details/tjx-companies-inc-reports-q1-fy18-results</x:v>
      </x:c>
      <x:c r="P6" s="15" t="str">
        <x:v>2017-05-16 | TheStreet Pro | TJX Reports Disappointing Results | https://pro.thestreet.com/portfolio/tjx-reports-disappointing-results</x:v>
      </x:c>
      <x:c r="Q6" s="15" t="str">
        <x:v>2017-02-22 | TJX Companies | TJX Reports Above-Plan Q4 and FY17 Results; Q4 Comp Sales Up 3% | https://investor.tjx.com/news-releases/news-release-details/tjx-companies-inc-reports-above-plan-q4-and-fy17-comp-sales-and
2017-05-16 | TJX Companies | TJX Reports Q1 FY18 Results | https://investor.tjx.com/news-releases/news-release-details/tjx-companies-inc-reports-q1-fy18-results
2017-05-16 | TheStreet Pro | TJX Reports Disappointing Results | https://pro.thestreet.com/portfolio/tjx-reports-disappointing-results</x:v>
      </x:c>
      <x:c r="R6" s="15" t="n">
        <x:v>3</x:v>
      </x:c>
      <x:c r="S6" s="15" t="str">
        <x:v>PASS</x:v>
      </x:c>
    </x:row>
    <x:row r="7" ht="340" customHeight="1">
      <x:c r="A7" s="15" t="n">
        <x:v>5</x:v>
      </x:c>
      <x:c r="B7" s="15" t="str">
        <x:v>TJX</x:v>
      </x:c>
      <x:c r="C7" s="15" t="str">
        <x:v>TJX Companies</x:v>
      </x:c>
      <x:c r="D7" s="15" t="str">
        <x:v>2017q3</x:v>
      </x:c>
      <x:c r="E7" s="15" t="str">
        <x:v>2017-08-15</x:v>
      </x:c>
      <x:c r="F7" s="18" t="n">
        <x:v>0.92</x:v>
      </x:c>
      <x:c r="G7" s="18" t="n">
        <x:v>1.82</x:v>
      </x:c>
      <x:c r="H7" s="18" t="n">
        <x:v>2.76</x:v>
      </x:c>
      <x:c r="I7" s="18" t="n">
        <x:v>-0.35</x:v>
      </x:c>
      <x:c r="J7" s="18" t="n">
        <x:v>-0.33</x:v>
      </x:c>
      <x:c r="K7" s="15" t="str">
        <x:v>ret_1day_pct</x:v>
      </x:c>
      <x:c r="L7" s="15" t="str">
        <x:v>UP</x:v>
      </x:c>
      <x:c r="M7" s="15" t="str">
        <x:v>## Prior Context
After the weak 1% Q1 comp, Q2 was an important test of whether the slowdown was temporary or the start of a more persistent deceleration.
### Verified prior source
2017-05-16 | TJX Companies | TJX Reports Q1 FY18 Results | https://investor.tjx.com/news-releases/news-release-details/tjx-companies-inc-reports-q1-fy18-results
## Current Earnings Release
Q2 revenue increased **6% to $8.36 billion**, above consensus, and EPS of **$0.85** edged past expectations. Consolidated comps improved to **3%**, beating the roughly 2.2% estimate, with positive comps across every division. Customer traffic again drove growth.
Management raised its full-year earnings outlook. Merchandise margin improved, although wage costs and foreign exchange still pressured reported profitability. The quarter therefore restored confidence that Q1’s slowdown was not becoming structural.
### Verified release source
2017-08-15 | TJX Companies | TJX Reports Above-Plan Q2 FY18 Results with 3% Comp Sales Growth and Raises Guidance | https://investor.tjx.com/node/17106/pdf
## Possible Drivers
**First-order driver.** Shares rose because revenue, EPS and comps all beat expectations.
**Second-order driver.** The rebound from 1% to 3% comps showed renewed momentum in the core business.
**Third-order driver.** Traffic-led growth and better merchandise margin supported the quality of the beat.
### Verified reaction source
2017-08-15 | The Motley Fool | TJX Companies Earnings: Accelerating Growth and a Rising Profit Forecast | https://www.fool.com/investing/2017/08/15/tjx-companies-earnings-accelerating-growth-and-a-r.aspx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7" s="15" t="str">
        <x:v>2017-05-16 | TJX Companies | TJX Reports Q1 FY18 Results | https://investor.tjx.com/news-releases/news-release-details/tjx-companies-inc-reports-q1-fy18-results</x:v>
      </x:c>
      <x:c r="O7" s="15" t="str">
        <x:v>2017-08-15 | TJX Companies | TJX Reports Above-Plan Q2 FY18 Results with 3% Comp Sales Growth and Raises Guidance | https://investor.tjx.com/node/17106/pdf</x:v>
      </x:c>
      <x:c r="P7" s="15" t="str">
        <x:v>2017-08-15 | The Motley Fool | TJX Companies Earnings: Accelerating Growth and a Rising Profit Forecast | https://www.fool.com/investing/2017/08/15/tjx-companies-earnings-accelerating-growth-and-a-r.aspx</x:v>
      </x:c>
      <x:c r="Q7" s="15" t="str">
        <x:v>2017-05-16 | TJX Companies | TJX Reports Q1 FY18 Results | https://investor.tjx.com/news-releases/news-release-details/tjx-companies-inc-reports-q1-fy18-results
2017-08-15 | TJX Companies | TJX Reports Above-Plan Q2 FY18 Results with 3% Comp Sales Growth and Raises Guidance | https://investor.tjx.com/node/17106/pdf
2017-08-15 | The Motley Fool | TJX Companies Earnings: Accelerating Growth and a Rising Profit Forecast | https://www.fool.com/investing/2017/08/15/tjx-companies-earnings-accelerating-growth-and-a-r.aspx</x:v>
      </x:c>
      <x:c r="R7" s="15" t="n">
        <x:v>3</x:v>
      </x:c>
      <x:c r="S7" s="15" t="str">
        <x:v>PASS</x:v>
      </x:c>
    </x:row>
    <x:row r="8" ht="340" customHeight="1">
      <x:c r="A8" s="15" t="n">
        <x:v>6</x:v>
      </x:c>
      <x:c r="B8" s="15" t="str">
        <x:v>TJX</x:v>
      </x:c>
      <x:c r="C8" s="15" t="str">
        <x:v>TJX Companies</x:v>
      </x:c>
      <x:c r="D8" s="15" t="str">
        <x:v>2017q4</x:v>
      </x:c>
      <x:c r="E8" s="15" t="str">
        <x:v>2017-11-14</x:v>
      </x:c>
      <x:c r="F8" s="18" t="n">
        <x:v>-3.73</x:v>
      </x:c>
      <x:c r="G8" s="18" t="n">
        <x:v>2.1</x:v>
      </x:c>
      <x:c r="H8" s="18" t="n">
        <x:v>-1.7</x:v>
      </x:c>
      <x:c r="I8" s="18" t="n">
        <x:v>-0.97</x:v>
      </x:c>
      <x:c r="J8" s="18" t="n">
        <x:v>1.01</x:v>
      </x:c>
      <x:c r="K8" s="15" t="str">
        <x:v>ret_1day_pct</x:v>
      </x:c>
      <x:c r="L8" s="15" t="str">
        <x:v>DOWN</x:v>
      </x:c>
      <x:c r="M8" s="15" t="str">
        <x:v>## Prior Context
TJX entered Q3 with improving momentum, but hurricanes and unusually warm fall weather created a difficult operating backdrop for apparel retailers.
### Verified prior source
2017-08-15 | TJX Companies | TJX Reports Above-Plan Q2 FY18 Results with 3% Comp Sales Growth and Raises Guidance | https://investor.tjx.com/node/17106/pdf
## Current Earnings Release
Q3 revenue rose **6% to $8.8 billion**, but consolidated comparable sales were **flat**, missing management’s 1%–2% guidance and market expectations. Marmaxx comps fell **1%**, while HomeGoods and Canada remained positive. EPS of **$1.00** reached the high end of guidance.
Management estimated that hurricanes reduced EPS by about **$0.03**, while warm weather depressed cold-weather apparel sales. Customer traffic and merchandise margin still increased, and the company maintained the high end of its annual outlook. The miss was therefore concentrated in sales momentum rather than profitability.
### Verified release source
2017-11-14 | TJX Companies | TJX Reports Q3 FY18 Results | https://investor.tjx.com/news-releases/news-release-details/tjx-companies-inc-reports-q3-fy18-results
## Possible Drivers
**First-order driver.** The stock fell because flat comps and a revenue miss broke TJX’s long streak of above-plan sales results.
**Second-order driver.** Hurricanes and warm weather explained part of the weakness, but Marmaxx still posted a negative comp.
**Third-order driver.** Strong traffic and merchandise margin prevented the quarter from becoming a broader profitability problem.
### Verified reaction source
2017-11-14 | The Motley Fool | Even Retail Stalwart TJX Couldn't Meet Expectations Last Quarter | https://www.fool.com/investing/2017/11/14/even-retail-stalwart-tjx-couldnt-meet-expectations.aspx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8" s="15" t="str">
        <x:v>2017-08-15 | TJX Companies | TJX Reports Above-Plan Q2 FY18 Results with 3% Comp Sales Growth and Raises Guidance | https://investor.tjx.com/node/17106/pdf</x:v>
      </x:c>
      <x:c r="O8" s="15" t="str">
        <x:v>2017-11-14 | TJX Companies | TJX Reports Q3 FY18 Results | https://investor.tjx.com/news-releases/news-release-details/tjx-companies-inc-reports-q3-fy18-results</x:v>
      </x:c>
      <x:c r="P8" s="15" t="str">
        <x:v>2017-11-14 | The Motley Fool | Even Retail Stalwart TJX Couldn't Meet Expectations Last Quarter | https://www.fool.com/investing/2017/11/14/even-retail-stalwart-tjx-couldnt-meet-expectations.aspx</x:v>
      </x:c>
      <x:c r="Q8" s="15" t="str">
        <x:v>2017-08-15 | TJX Companies | TJX Reports Above-Plan Q2 FY18 Results with 3% Comp Sales Growth and Raises Guidance | https://investor.tjx.com/node/17106/pdf
2017-11-14 | TJX Companies | TJX Reports Q3 FY18 Results | https://investor.tjx.com/news-releases/news-release-details/tjx-companies-inc-reports-q3-fy18-results
2017-11-14 | The Motley Fool | Even Retail Stalwart TJX Couldn't Meet Expectations Last Quarter | https://www.fool.com/investing/2017/11/14/even-retail-stalwart-tjx-couldnt-meet-expectations.aspx</x:v>
      </x:c>
      <x:c r="R8" s="15" t="n">
        <x:v>3</x:v>
      </x:c>
      <x:c r="S8" s="15" t="str">
        <x:v>PASS</x:v>
      </x:c>
    </x:row>
    <x:row r="9" ht="340" customHeight="1">
      <x:c r="A9" s="15" t="n">
        <x:v>7</x:v>
      </x:c>
      <x:c r="B9" s="15" t="str">
        <x:v>TJX</x:v>
      </x:c>
      <x:c r="C9" s="15" t="str">
        <x:v>TJX Companies</x:v>
      </x:c>
      <x:c r="D9" s="15" t="str">
        <x:v>2018q1</x:v>
      </x:c>
      <x:c r="E9" s="15" t="str">
        <x:v>2018-02-28</x:v>
      </x:c>
      <x:c r="F9" s="18" t="n">
        <x:v>8.05</x:v>
      </x:c>
      <x:c r="G9" s="18" t="n">
        <x:v>1.27</x:v>
      </x:c>
      <x:c r="H9" s="18" t="n">
        <x:v>9.42</x:v>
      </x:c>
      <x:c r="I9" s="18" t="n">
        <x:v>8.66</x:v>
      </x:c>
      <x:c r="J9" s="18" t="n">
        <x:v>8.22</x:v>
      </x:c>
      <x:c r="K9" s="15" t="str">
        <x:v>ret_1day_pct</x:v>
      </x:c>
      <x:c r="L9" s="15" t="str">
        <x:v>UP</x:v>
      </x:c>
      <x:c r="M9" s="15" t="str">
        <x:v>## Prior Context
After the weather-disrupted Q3, investors wanted proof that Marmaxx traffic had recovered during the holiday period.
### Verified prior source
2018-02-25 | The Motley Fool | TJX Companies Earnings: What to Watch | https://www.fool.com/investing/2018/02/25/tjx-companies-earnings-what-to-watch.aspx
## Current Earnings Release
Q4 revenue increased **16% to about $11.0 billion**, helped by an extra week, while comparable-store sales rose **4%** across the company. The comp result was above plan, with growth at every major division and customer traffic again the primary driver.
Adjusted EPS was **$1.19**, above TJX’s own forecast although below one published consensus estimate. Management announced a **25% dividend increase**, **$2.5–$3.0 billion of planned buybacks**, and fiscal-2019 guidance that incorporated a major benefit from U.S. tax reform. The quarter showed that the Q3 sales stall was temporary.
### Verified release source
2018-02-28 | TJX Companies | TJX Reports Q4 and FY18 Results; Q4 Comp Sales Growth 4% | https://investor.tjx.com/news-releases/news-release-details/tjx-companies-inc-reports-q4-and-fy18-results-achieves-above-0
## Possible Drivers
**First-order driver.** Shares surged because 4% comps and revenue were stronger than expected and showed a clear holiday rebound.
**Second-order driver.** Traffic growth across every division restored confidence in the core off-price model.
**Third-order driver.** A large dividend increase and buyback plan strengthened the capital-return story.
### Verified reaction source
2018-02-28 | The Motley Fool | Why TJX Companies Inc. Stock Was Climbing Today | https://www.fool.com/investing/2018/02/28/why-tjx-companies-inc-stock-was-climbing-today.aspx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9" s="15" t="str">
        <x:v>2018-02-25 | The Motley Fool | TJX Companies Earnings: What to Watch | https://www.fool.com/investing/2018/02/25/tjx-companies-earnings-what-to-watch.aspx</x:v>
      </x:c>
      <x:c r="O9" s="15" t="str">
        <x:v>2018-02-28 | TJX Companies | TJX Reports Q4 and FY18 Results; Q4 Comp Sales Growth 4% | https://investor.tjx.com/news-releases/news-release-details/tjx-companies-inc-reports-q4-and-fy18-results-achieves-above-0</x:v>
      </x:c>
      <x:c r="P9" s="15" t="str">
        <x:v>2018-02-28 | The Motley Fool | Why TJX Companies Inc. Stock Was Climbing Today | https://www.fool.com/investing/2018/02/28/why-tjx-companies-inc-stock-was-climbing-today.aspx</x:v>
      </x:c>
      <x:c r="Q9" s="15" t="str">
        <x:v>2018-02-25 | The Motley Fool | TJX Companies Earnings: What to Watch | https://www.fool.com/investing/2018/02/25/tjx-companies-earnings-what-to-watch.aspx
2018-02-28 | TJX Companies | TJX Reports Q4 and FY18 Results; Q4 Comp Sales Growth 4% | https://investor.tjx.com/news-releases/news-release-details/tjx-companies-inc-reports-q4-and-fy18-results-achieves-above-0
2018-02-28 | The Motley Fool | Why TJX Companies Inc. Stock Was Climbing Today | https://www.fool.com/investing/2018/02/28/why-tjx-companies-inc-stock-was-climbing-today.aspx</x:v>
      </x:c>
      <x:c r="R9" s="15" t="n">
        <x:v>3</x:v>
      </x:c>
      <x:c r="S9" s="15" t="str">
        <x:v>PASS</x:v>
      </x:c>
    </x:row>
    <x:row r="10" ht="340" customHeight="1">
      <x:c r="A10" s="15" t="n">
        <x:v>8</x:v>
      </x:c>
      <x:c r="B10" s="15" t="str">
        <x:v>TJX</x:v>
      </x:c>
      <x:c r="C10" s="15" t="str">
        <x:v>TJX Companies</x:v>
      </x:c>
      <x:c r="D10" s="15" t="str">
        <x:v>2018q2</x:v>
      </x:c>
      <x:c r="E10" s="15" t="str">
        <x:v>2018-05-22</x:v>
      </x:c>
      <x:c r="F10" s="18" t="n">
        <x:v>3.59</x:v>
      </x:c>
      <x:c r="G10" s="18" t="n">
        <x:v>0.27</x:v>
      </x:c>
      <x:c r="H10" s="18" t="n">
        <x:v>3.88</x:v>
      </x:c>
      <x:c r="I10" s="18" t="n">
        <x:v>3.04</x:v>
      </x:c>
      <x:c r="J10" s="18" t="n">
        <x:v>3.72</x:v>
      </x:c>
      <x:c r="K10" s="15" t="str">
        <x:v>ret_1day_pct</x:v>
      </x:c>
      <x:c r="L10" s="15" t="str">
        <x:v>UP</x:v>
      </x:c>
      <x:c r="M10" s="15" t="str">
        <x:v>## Prior Context
TJX entered fiscal 2019 with renewed momentum after the holiday rebound. Investors were looking for Marmaxx acceleration and evidence that tax benefits would translate into stronger per-share earnings.
### Verified prior source
2018-05-18 | The Motley Fool | TJX Companies Earnings Preview: What to Watch | https://www.fool.com/investing/2018/05/18/tjx-companies-earnings-preview-what-to-watch.aspx
## Current Earnings Release
Q1 revenue jumped **12% to $8.69 billion**, above consensus near $8.47 billion, and EPS rose to **$1.13**, well above guidance of $1.00–$1.02 and consensus near $1.02. Consolidated comps increased **3%**, while Marmaxx comps rose **4%**. Customer traffic was positive at every division.
Pre-tax margin improved despite a difficult retail environment. Management updated annual guidance for the strong quarter but also warned that **higher freight costs**, reversal of inventory-hedge benefits and less favorable FX would absorb part of the upside later in the year.
### Verified release source
2018-05-22 | TJX Companies | TJX Reports Above-Plan Q1 FY19 Comp Sales Growth of 3% | https://www.tjx.com/docs/default-source/investor-docs/quarterly-results/tjx-q1-fy19-earnings-press-release.pdf?sfvrsn=f7f571e3_1
## Possible Drivers
**First-order driver.** Shares rose because sales, EPS and comps all beat expectations.
**Second-order driver.** Marmaxx returned to strong 4% comp growth, confirming momentum in the largest division.
**Third-order driver.** Freight and FX warnings tempered the full-year earnings upside.
### Verified reaction source
2018-05-22 | The Motley Fool | What Happened in the Stock Market Today | https://www.fool.com/investing/2018/05/22/what-happened-in-the-stock-market-today.aspx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10" s="15" t="str">
        <x:v>2018-05-18 | The Motley Fool | TJX Companies Earnings Preview: What to Watch | https://www.fool.com/investing/2018/05/18/tjx-companies-earnings-preview-what-to-watch.aspx</x:v>
      </x:c>
      <x:c r="O10" s="15" t="str">
        <x:v>2018-05-22 | TJX Companies | TJX Reports Above-Plan Q1 FY19 Comp Sales Growth of 3% | https://www.tjx.com/docs/default-source/investor-docs/quarterly-results/tjx-q1-fy19-earnings-press-release.pdf?sfvrsn=f7f571e3_1</x:v>
      </x:c>
      <x:c r="P10" s="15" t="str">
        <x:v>2018-05-22 | The Motley Fool | What Happened in the Stock Market Today | https://www.fool.com/investing/2018/05/22/what-happened-in-the-stock-market-today.aspx</x:v>
      </x:c>
      <x:c r="Q10" s="15" t="str">
        <x:v>2018-05-18 | The Motley Fool | TJX Companies Earnings Preview: What to Watch | https://www.fool.com/investing/2018/05/18/tjx-companies-earnings-preview-what-to-watch.aspx
2018-05-22 | TJX Companies | TJX Reports Above-Plan Q1 FY19 Comp Sales Growth of 3% | https://www.tjx.com/docs/default-source/investor-docs/quarterly-results/tjx-q1-fy19-earnings-press-release.pdf?sfvrsn=f7f571e3_1
2018-05-22 | The Motley Fool | What Happened in the Stock Market Today | https://www.fool.com/investing/2018/05/22/what-happened-in-the-stock-market-today.aspx</x:v>
      </x:c>
      <x:c r="R10" s="15" t="n">
        <x:v>3</x:v>
      </x:c>
      <x:c r="S10" s="15" t="str">
        <x:v>PASS</x:v>
      </x:c>
    </x:row>
    <x:row r="11" ht="340" customHeight="1">
      <x:c r="A11" s="15" t="n">
        <x:v>9</x:v>
      </x:c>
      <x:c r="B11" s="15" t="str">
        <x:v>TJX</x:v>
      </x:c>
      <x:c r="C11" s="15" t="str">
        <x:v>TJX Companies</x:v>
      </x:c>
      <x:c r="D11" s="15" t="str">
        <x:v>2018q3</x:v>
      </x:c>
      <x:c r="E11" s="15" t="str">
        <x:v>2018-08-21</x:v>
      </x:c>
      <x:c r="F11" s="18" t="n">
        <x:v>4.42</x:v>
      </x:c>
      <x:c r="G11" s="18" t="n">
        <x:v>-0.73</x:v>
      </x:c>
      <x:c r="H11" s="18" t="n">
        <x:v>3.66</x:v>
      </x:c>
      <x:c r="I11" s="18" t="n">
        <x:v>4.71</x:v>
      </x:c>
      <x:c r="J11" s="18" t="n">
        <x:v>6.57</x:v>
      </x:c>
      <x:c r="K11" s="15" t="str">
        <x:v>ret_1day_pct</x:v>
      </x:c>
      <x:c r="L11" s="15" t="str">
        <x:v>UP</x:v>
      </x:c>
      <x:c r="M11" s="15" t="str">
        <x:v>## Prior Context
Following the strong Q1, expectations had improved but management was still guiding only 1%–2% Q2 comp growth. That left room for a meaningful positive surprise if traffic remained strong.
### Verified prior source
2018-08-15 | The Motley Fool | Will TJX Companies Boost Its 2018 Outlook on Tuesday? | https://www.fool.com/investing/2018/08/15/will-tjx-companies-boost-its-2018-outlook-on-tuesd.aspx
## Current Earnings Release
Q2 revenue rose **12% to $9.3 billion** and EPS reached **$1.17**. Even excluding an $0.18 tax-related benefit, adjusted EPS was **$0.99**. Consolidated comparable-store sales surged **6%**, far above management’s 1%–2% plan, and **customer traffic was the primary driver at every division**.
TJX raised both full-year comp and EPS guidance. The strength was broad: Marmaxx, HomeGoods, Canada and International all contributed. This was one of the cleanest operating beats in the sample because the upside came from demand rather than accounting or tax effects.
### Verified release source
2018-08-21 | TJX Companies | TJX Reports Above-Plan Q2 FY19 Results with 6% Comp Sales Growth; Raises Guidance | https://investor.tjx.com/news-releases/news-release-details/tjx-companies-inc-reports-above-plan-q2-fy19-results-comp-sales
## Possible Drivers
**First-order driver.** Shares jumped because revenue, EPS and 6% comp growth all exceeded expectations.
**Second-order driver.** Traffic drove the beat across every division, signaling broad market-share gains.
**Third-order driver.** Raised full-year guidance confirmed that the strength was not viewed as a one-quarter anomaly.
### Verified reaction source
2018-08-21 | The Motley Fool | Why TJX Companies, Inc. Stock Jumped Tuesday | https://www.fool.com/investing/2018/08/21/why-tjx-companies-inc-stock-jumped-tuesday.aspx
## Verification Status
Included sources were checked for TJX identity, the correct earnings event, publication date, timing window and source origin. TJX Investor Relations is the factual anchor. No WSJ, Reuters, Dow Jones or MarketWatch-syndicated article is included. For 2016-11-15, the workbook deliberately does **not** claim an earnings-specific cause for the negative close because the verified same-day source described a positive premarket reaction to a strong report.
</x:v>
      </x:c>
      <x:c r="N11" s="15" t="str">
        <x:v>2018-08-15 | The Motley Fool | Will TJX Companies Boost Its 2018 Outlook on Tuesday? | https://www.fool.com/investing/2018/08/15/will-tjx-companies-boost-its-2018-outlook-on-tuesd.aspx</x:v>
      </x:c>
      <x:c r="O11" s="15" t="str">
        <x:v>2018-08-21 | TJX Companies | TJX Reports Above-Plan Q2 FY19 Results with 6% Comp Sales Growth; Raises Guidance | https://investor.tjx.com/news-releases/news-release-details/tjx-companies-inc-reports-above-plan-q2-fy19-results-comp-sales</x:v>
      </x:c>
      <x:c r="P11" s="15" t="str">
        <x:v>2018-08-21 | The Motley Fool | Why TJX Companies, Inc. Stock Jumped Tuesday | https://www.fool.com/investing/2018/08/21/why-tjx-companies-inc-stock-jumped-tuesday.aspx</x:v>
      </x:c>
      <x:c r="Q11" s="15" t="str">
        <x:v>2018-08-15 | The Motley Fool | Will TJX Companies Boost Its 2018 Outlook on Tuesday? | https://www.fool.com/investing/2018/08/15/will-tjx-companies-boost-its-2018-outlook-on-tuesd.aspx
2018-08-21 | TJX Companies | TJX Reports Above-Plan Q2 FY19 Results with 6% Comp Sales Growth; Raises Guidance | https://investor.tjx.com/news-releases/news-release-details/tjx-companies-inc-reports-above-plan-q2-fy19-results-comp-sales
2018-08-21 | The Motley Fool | Why TJX Companies, Inc. Stock Jumped Tuesday | https://www.fool.com/investing/2018/08/21/why-tjx-companies-inc-stock-jumped-tuesday.aspx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30"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2016-05-17</x:v>
      </x:c>
      <x:c r="B2" s="12" t="str">
        <x:v>TJX</x:v>
      </x:c>
      <x:c r="C2" s="12" t="str">
        <x:v>prior</x:v>
      </x:c>
      <x:c r="D2" s="12" t="str">
        <x:v>2016-02-24</x:v>
      </x:c>
      <x:c r="E2" s="12" t="n">
        <x:v>-83</x:v>
      </x:c>
      <x:c r="F2" s="12" t="str">
        <x:v>TJX Companies</x:v>
      </x:c>
      <x:c r="G2" s="12" t="str">
        <x:v>TJX Reports Above-Plan Q4 and FY16 Results; Provides FY17 Guidance</x:v>
      </x:c>
      <x:c r="H2" s="12" t="str">
        <x:v>https://investor.tjx.com/news-releases/news-release-details/tjx-companies-inc-reports-above-plan-q4-and-fy16-results-q4-comp</x:v>
      </x:c>
      <x:c r="I2" s="12" t="str">
        <x:v>VERIFIED</x:v>
      </x:c>
      <x:c r="J2" s="12" t="str">
        <x:v>PASS</x:v>
      </x:c>
      <x:c r="K2" s="12" t="str">
        <x:v>PASS</x:v>
      </x:c>
      <x:c r="L2" s="12" t="str">
        <x:v>PASS</x:v>
      </x:c>
      <x:c r="M2" s="12" t="str">
        <x:v>NO</x:v>
      </x:c>
      <x:c r="N2" s="12" t="str">
        <x:v>PASS</x:v>
      </x:c>
      <x:c r="O2" s="12" t="str">
        <x:v>FACTUAL</x:v>
      </x:c>
      <x:c r="P2" s="12" t="str">
        <x:v>PASS</x:v>
      </x:c>
      <x:c r="Q2" s="12" t="str">
        <x:v>Checked for TJX identity, exact event/date, timing window and prohibited-source origin. 2016-11-15 is explicitly marked as lacking a clean source attribution for the negative close.</x:v>
      </x:c>
    </x:row>
    <x:row r="3">
      <x:c r="A3" s="12" t="str">
        <x:v>2016-05-17</x:v>
      </x:c>
      <x:c r="B3" s="12" t="str">
        <x:v>TJX</x:v>
      </x:c>
      <x:c r="C3" s="12" t="str">
        <x:v>release</x:v>
      </x:c>
      <x:c r="D3" s="12" t="str">
        <x:v>2016-05-17</x:v>
      </x:c>
      <x:c r="E3" s="12" t="n">
        <x:v>0</x:v>
      </x:c>
      <x:c r="F3" s="12" t="str">
        <x:v>TJX Companies</x:v>
      </x:c>
      <x:c r="G3" s="12" t="str">
        <x:v>TJX Reports Above-Plan Q1 FY17 Results with 7% Comp Sales Growth and Raises Guidance</x:v>
      </x:c>
      <x:c r="H3" s="12" t="str">
        <x:v>https://investor.tjx.com/static-files/4c192470-9d77-46db-b959-fe6546ab8ae4</x:v>
      </x:c>
      <x:c r="I3" s="12" t="str">
        <x:v>VERIFIED</x:v>
      </x:c>
      <x:c r="J3" s="12" t="str">
        <x:v>PASS</x:v>
      </x:c>
      <x:c r="K3" s="12" t="str">
        <x:v>PASS</x:v>
      </x:c>
      <x:c r="L3" s="12" t="str">
        <x:v>PASS</x:v>
      </x:c>
      <x:c r="M3" s="12" t="str">
        <x:v>NO</x:v>
      </x:c>
      <x:c r="N3" s="12" t="str">
        <x:v>PASS</x:v>
      </x:c>
      <x:c r="O3" s="12" t="str">
        <x:v>FACTUAL</x:v>
      </x:c>
      <x:c r="P3" s="12" t="str">
        <x:v>PASS</x:v>
      </x:c>
      <x:c r="Q3" s="12" t="str">
        <x:v>Checked for TJX identity, exact event/date, timing window and prohibited-source origin. 2016-11-15 is explicitly marked as lacking a clean source attribution for the negative close.</x:v>
      </x:c>
    </x:row>
    <x:row r="4">
      <x:c r="A4" s="12" t="str">
        <x:v>2016-05-17</x:v>
      </x:c>
      <x:c r="B4" s="12" t="str">
        <x:v>TJX</x:v>
      </x:c>
      <x:c r="C4" s="12" t="str">
        <x:v>reaction</x:v>
      </x:c>
      <x:c r="D4" s="12" t="str">
        <x:v>2016-05-17</x:v>
      </x:c>
      <x:c r="E4" s="12" t="n">
        <x:v>0</x:v>
      </x:c>
      <x:c r="F4" s="12" t="str">
        <x:v>TheStreet</x:v>
      </x:c>
      <x:c r="G4" s="12" t="str">
        <x:v>TJX Results Reinforce View That Off-Price Is Winning the 'Retail War'</x:v>
      </x:c>
      <x:c r="H4" s="12" t="str">
        <x:v>https://www.thestreet.com/investing/tjx-results-reinforce-view-that-off-price-is-winning-the-retail-war-13574562</x:v>
      </x:c>
      <x:c r="I4" s="12" t="str">
        <x:v>VERIFIED</x:v>
      </x:c>
      <x:c r="J4" s="12" t="str">
        <x:v>PASS</x:v>
      </x:c>
      <x:c r="K4" s="12" t="str">
        <x:v>PASS</x:v>
      </x:c>
      <x:c r="L4" s="12" t="str">
        <x:v>PASS</x:v>
      </x:c>
      <x:c r="M4" s="12" t="str">
        <x:v>NO</x:v>
      </x:c>
      <x:c r="N4" s="12" t="str">
        <x:v>PASS</x:v>
      </x:c>
      <x:c r="O4" s="12" t="str">
        <x:v>CONTEMPORANEOUS_ATTRIBUTION</x:v>
      </x:c>
      <x:c r="P4" s="12" t="str">
        <x:v>PASS</x:v>
      </x:c>
      <x:c r="Q4" s="12" t="str">
        <x:v>Checked for TJX identity, exact event/date, timing window and prohibited-source origin. 2016-11-15 is explicitly marked as lacking a clean source attribution for the negative close.</x:v>
      </x:c>
    </x:row>
    <x:row r="5">
      <x:c r="A5" s="12" t="str">
        <x:v>2016-08-16</x:v>
      </x:c>
      <x:c r="B5" s="12" t="str">
        <x:v>TJX</x:v>
      </x:c>
      <x:c r="C5" s="12" t="str">
        <x:v>prior</x:v>
      </x:c>
      <x:c r="D5" s="12" t="str">
        <x:v>2016-05-17</x:v>
      </x:c>
      <x:c r="E5" s="12" t="n">
        <x:v>-91</x:v>
      </x:c>
      <x:c r="F5" s="12" t="str">
        <x:v>TJX Companies</x:v>
      </x:c>
      <x:c r="G5" s="12" t="str">
        <x:v>TJX Reports Above-Plan Q1 FY17 Results with 7% Comp Sales Growth and Raises Guidance</x:v>
      </x:c>
      <x:c r="H5" s="12" t="str">
        <x:v>https://investor.tjx.com/static-files/4c192470-9d77-46db-b959-fe6546ab8ae4</x:v>
      </x:c>
      <x:c r="I5" s="12" t="str">
        <x:v>VERIFIED</x:v>
      </x:c>
      <x:c r="J5" s="12" t="str">
        <x:v>PASS</x:v>
      </x:c>
      <x:c r="K5" s="12" t="str">
        <x:v>PASS</x:v>
      </x:c>
      <x:c r="L5" s="12" t="str">
        <x:v>PASS</x:v>
      </x:c>
      <x:c r="M5" s="12" t="str">
        <x:v>NO</x:v>
      </x:c>
      <x:c r="N5" s="12" t="str">
        <x:v>PASS</x:v>
      </x:c>
      <x:c r="O5" s="12" t="str">
        <x:v>FACTUAL</x:v>
      </x:c>
      <x:c r="P5" s="12" t="str">
        <x:v>PASS</x:v>
      </x:c>
      <x:c r="Q5" s="12" t="str">
        <x:v>Checked for TJX identity, exact event/date, timing window and prohibited-source origin. 2016-11-15 is explicitly marked as lacking a clean source attribution for the negative close.</x:v>
      </x:c>
    </x:row>
    <x:row r="6">
      <x:c r="A6" s="12" t="str">
        <x:v>2016-08-16</x:v>
      </x:c>
      <x:c r="B6" s="12" t="str">
        <x:v>TJX</x:v>
      </x:c>
      <x:c r="C6" s="12" t="str">
        <x:v>release</x:v>
      </x:c>
      <x:c r="D6" s="12" t="str">
        <x:v>2016-08-16</x:v>
      </x:c>
      <x:c r="E6" s="12" t="n">
        <x:v>0</x:v>
      </x:c>
      <x:c r="F6" s="12" t="str">
        <x:v>TJX Companies</x:v>
      </x:c>
      <x:c r="G6" s="12" t="str">
        <x:v>TJX Reports Above-Plan Q2 FY17 Results with 4% Comp Sales Growth and Raises Full-Year Guidance</x:v>
      </x:c>
      <x:c r="H6" s="12" t="str">
        <x:v>https://investor.tjx.com/news-releases/news-release-details/tjx-companies-inc-reports-above-plan-q2-fy17-results-4-comp</x:v>
      </x:c>
      <x:c r="I6" s="12" t="str">
        <x:v>VERIFIED</x:v>
      </x:c>
      <x:c r="J6" s="12" t="str">
        <x:v>PASS</x:v>
      </x:c>
      <x:c r="K6" s="12" t="str">
        <x:v>PASS</x:v>
      </x:c>
      <x:c r="L6" s="12" t="str">
        <x:v>PASS</x:v>
      </x:c>
      <x:c r="M6" s="12" t="str">
        <x:v>NO</x:v>
      </x:c>
      <x:c r="N6" s="12" t="str">
        <x:v>PASS</x:v>
      </x:c>
      <x:c r="O6" s="12" t="str">
        <x:v>FACTUAL</x:v>
      </x:c>
      <x:c r="P6" s="12" t="str">
        <x:v>PASS</x:v>
      </x:c>
      <x:c r="Q6" s="12" t="str">
        <x:v>Checked for TJX identity, exact event/date, timing window and prohibited-source origin. 2016-11-15 is explicitly marked as lacking a clean source attribution for the negative close.</x:v>
      </x:c>
    </x:row>
    <x:row r="7">
      <x:c r="A7" s="12" t="str">
        <x:v>2016-08-16</x:v>
      </x:c>
      <x:c r="B7" s="12" t="str">
        <x:v>TJX</x:v>
      </x:c>
      <x:c r="C7" s="12" t="str">
        <x:v>reaction</x:v>
      </x:c>
      <x:c r="D7" s="12" t="str">
        <x:v>2016-08-16</x:v>
      </x:c>
      <x:c r="E7" s="12" t="n">
        <x:v>0</x:v>
      </x:c>
      <x:c r="F7" s="12" t="str">
        <x:v>TheStreet</x:v>
      </x:c>
      <x:c r="G7" s="12" t="str">
        <x:v>TJX Stock Down on Outlook Despite Q2 Beat</x:v>
      </x:c>
      <x:c r="H7" s="12" t="str">
        <x:v>https://www.thestreet.com/story/13676215/1/tjx-stock-down-on-outlook-despite-q2-beat.html</x:v>
      </x:c>
      <x:c r="I7" s="12" t="str">
        <x:v>VERIFIED</x:v>
      </x:c>
      <x:c r="J7" s="12" t="str">
        <x:v>PASS</x:v>
      </x:c>
      <x:c r="K7" s="12" t="str">
        <x:v>PASS</x:v>
      </x:c>
      <x:c r="L7" s="12" t="str">
        <x:v>PASS</x:v>
      </x:c>
      <x:c r="M7" s="12" t="str">
        <x:v>NO</x:v>
      </x:c>
      <x:c r="N7" s="12" t="str">
        <x:v>PASS</x:v>
      </x:c>
      <x:c r="O7" s="12" t="str">
        <x:v>CONTEMPORANEOUS_ATTRIBUTION</x:v>
      </x:c>
      <x:c r="P7" s="12" t="str">
        <x:v>PASS</x:v>
      </x:c>
      <x:c r="Q7" s="12" t="str">
        <x:v>Checked for TJX identity, exact event/date, timing window and prohibited-source origin. 2016-11-15 is explicitly marked as lacking a clean source attribution for the negative close.</x:v>
      </x:c>
    </x:row>
    <x:row r="8">
      <x:c r="A8" s="12" t="str">
        <x:v>2016-11-15</x:v>
      </x:c>
      <x:c r="B8" s="12" t="str">
        <x:v>TJX</x:v>
      </x:c>
      <x:c r="C8" s="12" t="str">
        <x:v>prior</x:v>
      </x:c>
      <x:c r="D8" s="12" t="str">
        <x:v>2016-08-16</x:v>
      </x:c>
      <x:c r="E8" s="12" t="n">
        <x:v>-91</x:v>
      </x:c>
      <x:c r="F8" s="12" t="str">
        <x:v>TJX Companies</x:v>
      </x:c>
      <x:c r="G8" s="12" t="str">
        <x:v>TJX Reports Above-Plan Q2 FY17 Results with 4% Comp Sales Growth and Raises Full-Year Guidance</x:v>
      </x:c>
      <x:c r="H8" s="12" t="str">
        <x:v>https://investor.tjx.com/news-releases/news-release-details/tjx-companies-inc-reports-above-plan-q2-fy17-results-4-comp</x:v>
      </x:c>
      <x:c r="I8" s="12" t="str">
        <x:v>VERIFIED</x:v>
      </x:c>
      <x:c r="J8" s="12" t="str">
        <x:v>PASS</x:v>
      </x:c>
      <x:c r="K8" s="12" t="str">
        <x:v>PASS</x:v>
      </x:c>
      <x:c r="L8" s="12" t="str">
        <x:v>PASS</x:v>
      </x:c>
      <x:c r="M8" s="12" t="str">
        <x:v>NO</x:v>
      </x:c>
      <x:c r="N8" s="12" t="str">
        <x:v>PASS</x:v>
      </x:c>
      <x:c r="O8" s="12" t="str">
        <x:v>FACTUAL</x:v>
      </x:c>
      <x:c r="P8" s="12" t="str">
        <x:v>PASS</x:v>
      </x:c>
      <x:c r="Q8" s="12" t="str">
        <x:v>Checked for TJX identity, exact event/date, timing window and prohibited-source origin. 2016-11-15 is explicitly marked as lacking a clean source attribution for the negative close.</x:v>
      </x:c>
    </x:row>
    <x:row r="9">
      <x:c r="A9" s="12" t="str">
        <x:v>2016-11-15</x:v>
      </x:c>
      <x:c r="B9" s="12" t="str">
        <x:v>TJX</x:v>
      </x:c>
      <x:c r="C9" s="12" t="str">
        <x:v>release</x:v>
      </x:c>
      <x:c r="D9" s="12" t="str">
        <x:v>2016-11-15</x:v>
      </x:c>
      <x:c r="E9" s="12" t="n">
        <x:v>0</x:v>
      </x:c>
      <x:c r="F9" s="12" t="str">
        <x:v>TJX Companies</x:v>
      </x:c>
      <x:c r="G9" s="12" t="str">
        <x:v>TJX Reports Q3 FY17 Results with 5% Comp Sales Growth</x:v>
      </x:c>
      <x:c r="H9" s="12" t="str">
        <x:v>https://investor.tjx.com/node/17056</x:v>
      </x:c>
      <x:c r="I9" s="12" t="str">
        <x:v>VERIFIED</x:v>
      </x:c>
      <x:c r="J9" s="12" t="str">
        <x:v>PASS</x:v>
      </x:c>
      <x:c r="K9" s="12" t="str">
        <x:v>PASS</x:v>
      </x:c>
      <x:c r="L9" s="12" t="str">
        <x:v>PASS</x:v>
      </x:c>
      <x:c r="M9" s="12" t="str">
        <x:v>NO</x:v>
      </x:c>
      <x:c r="N9" s="12" t="str">
        <x:v>PASS</x:v>
      </x:c>
      <x:c r="O9" s="12" t="str">
        <x:v>FACTUAL</x:v>
      </x:c>
      <x:c r="P9" s="12" t="str">
        <x:v>PASS</x:v>
      </x:c>
      <x:c r="Q9" s="12" t="str">
        <x:v>Checked for TJX identity, exact event/date, timing window and prohibited-source origin. 2016-11-15 is explicitly marked as lacking a clean source attribution for the negative close.</x:v>
      </x:c>
    </x:row>
    <x:row r="10">
      <x:c r="A10" s="12" t="str">
        <x:v>2016-11-15</x:v>
      </x:c>
      <x:c r="B10" s="12" t="str">
        <x:v>TJX</x:v>
      </x:c>
      <x:c r="C10" s="12" t="str">
        <x:v>reaction</x:v>
      </x:c>
      <x:c r="D10" s="12" t="str">
        <x:v>2016-11-15</x:v>
      </x:c>
      <x:c r="E10" s="12" t="n">
        <x:v>0</x:v>
      </x:c>
      <x:c r="F10" s="12" t="str">
        <x:v>TheStreet</x:v>
      </x:c>
      <x:c r="G10" s="12" t="str">
        <x:v>TJX Blows Away Everyone in Retail, Proves Americans Remain Thrifty</x:v>
      </x:c>
      <x:c r="H10" s="12" t="str">
        <x:v>https://www.thestreet.com/investing/stocks/tjx-cos-blows-away-everyone-in-retail-proves-americans-remain-thrifty-13892633</x:v>
      </x:c>
      <x:c r="I10" s="12" t="str">
        <x:v>VERIFIED</x:v>
      </x:c>
      <x:c r="J10" s="12" t="str">
        <x:v>PASS</x:v>
      </x:c>
      <x:c r="K10" s="12" t="str">
        <x:v>PASS</x:v>
      </x:c>
      <x:c r="L10" s="12" t="str">
        <x:v>PASS</x:v>
      </x:c>
      <x:c r="M10" s="12" t="str">
        <x:v>NO</x:v>
      </x:c>
      <x:c r="N10" s="12" t="str">
        <x:v>PASS</x:v>
      </x:c>
      <x:c r="O10" s="12" t="str">
        <x:v>NO_EXPLICIT_CLOSE_ATTRIBUTION</x:v>
      </x:c>
      <x:c r="P10" s="12" t="str">
        <x:v>PASS</x:v>
      </x:c>
      <x:c r="Q10" s="12" t="str">
        <x:v>Checked for TJX identity, exact event/date, timing window and prohibited-source origin. 2016-11-15 is explicitly marked as lacking a clean source attribution for the negative close.</x:v>
      </x:c>
    </x:row>
    <x:row r="11">
      <x:c r="A11" s="12" t="str">
        <x:v>2017-02-22</x:v>
      </x:c>
      <x:c r="B11" s="12" t="str">
        <x:v>TJX</x:v>
      </x:c>
      <x:c r="C11" s="12" t="str">
        <x:v>prior</x:v>
      </x:c>
      <x:c r="D11" s="12" t="str">
        <x:v>2016-11-15</x:v>
      </x:c>
      <x:c r="E11" s="12" t="n">
        <x:v>-99</x:v>
      </x:c>
      <x:c r="F11" s="12" t="str">
        <x:v>TJX Companies</x:v>
      </x:c>
      <x:c r="G11" s="12" t="str">
        <x:v>TJX Reports Q3 FY17 Results with 5% Comp Sales Growth</x:v>
      </x:c>
      <x:c r="H11" s="12" t="str">
        <x:v>https://investor.tjx.com/node/17056</x:v>
      </x:c>
      <x:c r="I11" s="12" t="str">
        <x:v>VERIFIED</x:v>
      </x:c>
      <x:c r="J11" s="12" t="str">
        <x:v>PASS</x:v>
      </x:c>
      <x:c r="K11" s="12" t="str">
        <x:v>PASS</x:v>
      </x:c>
      <x:c r="L11" s="12" t="str">
        <x:v>PASS</x:v>
      </x:c>
      <x:c r="M11" s="12" t="str">
        <x:v>NO</x:v>
      </x:c>
      <x:c r="N11" s="12" t="str">
        <x:v>PASS</x:v>
      </x:c>
      <x:c r="O11" s="12" t="str">
        <x:v>FACTUAL</x:v>
      </x:c>
      <x:c r="P11" s="12" t="str">
        <x:v>PASS</x:v>
      </x:c>
      <x:c r="Q11" s="12" t="str">
        <x:v>Checked for TJX identity, exact event/date, timing window and prohibited-source origin. 2016-11-15 is explicitly marked as lacking a clean source attribution for the negative close.</x:v>
      </x:c>
    </x:row>
    <x:row r="12">
      <x:c r="A12" s="12" t="str">
        <x:v>2017-02-22</x:v>
      </x:c>
      <x:c r="B12" s="12" t="str">
        <x:v>TJX</x:v>
      </x:c>
      <x:c r="C12" s="12" t="str">
        <x:v>release</x:v>
      </x:c>
      <x:c r="D12" s="12" t="str">
        <x:v>2017-02-22</x:v>
      </x:c>
      <x:c r="E12" s="12" t="n">
        <x:v>0</x:v>
      </x:c>
      <x:c r="F12" s="12" t="str">
        <x:v>TJX Companies</x:v>
      </x:c>
      <x:c r="G12" s="12" t="str">
        <x:v>TJX Reports Above-Plan Q4 and FY17 Results; Q4 Comp Sales Up 3%</x:v>
      </x:c>
      <x:c r="H12" s="12" t="str">
        <x:v>https://investor.tjx.com/news-releases/news-release-details/tjx-companies-inc-reports-above-plan-q4-and-fy17-comp-sales-and</x:v>
      </x:c>
      <x:c r="I12" s="12" t="str">
        <x:v>VERIFIED</x:v>
      </x:c>
      <x:c r="J12" s="12" t="str">
        <x:v>PASS</x:v>
      </x:c>
      <x:c r="K12" s="12" t="str">
        <x:v>PASS</x:v>
      </x:c>
      <x:c r="L12" s="12" t="str">
        <x:v>PASS</x:v>
      </x:c>
      <x:c r="M12" s="12" t="str">
        <x:v>NO</x:v>
      </x:c>
      <x:c r="N12" s="12" t="str">
        <x:v>PASS</x:v>
      </x:c>
      <x:c r="O12" s="12" t="str">
        <x:v>FACTUAL</x:v>
      </x:c>
      <x:c r="P12" s="12" t="str">
        <x:v>PASS</x:v>
      </x:c>
      <x:c r="Q12" s="12" t="str">
        <x:v>Checked for TJX identity, exact event/date, timing window and prohibited-source origin. 2016-11-15 is explicitly marked as lacking a clean source attribution for the negative close.</x:v>
      </x:c>
    </x:row>
    <x:row r="13">
      <x:c r="A13" s="12" t="str">
        <x:v>2017-02-22</x:v>
      </x:c>
      <x:c r="B13" s="12" t="str">
        <x:v>TJX</x:v>
      </x:c>
      <x:c r="C13" s="12" t="str">
        <x:v>reaction</x:v>
      </x:c>
      <x:c r="D13" s="12" t="str">
        <x:v>2017-02-22</x:v>
      </x:c>
      <x:c r="E13" s="12" t="n">
        <x:v>0</x:v>
      </x:c>
      <x:c r="F13" s="12" t="str">
        <x:v>Fortune</x:v>
      </x:c>
      <x:c r="G13" s="12" t="str">
        <x:v>T.J. Maxx Demolished Macy's During the Holiday Season</x:v>
      </x:c>
      <x:c r="H13" s="12" t="str">
        <x:v>https://fortune.com/2017/02/22/tjmaxx-macys-earnings-holidays/</x:v>
      </x:c>
      <x:c r="I13" s="12" t="str">
        <x:v>VERIFIED</x:v>
      </x:c>
      <x:c r="J13" s="12" t="str">
        <x:v>PASS</x:v>
      </x:c>
      <x:c r="K13" s="12" t="str">
        <x:v>PASS</x:v>
      </x:c>
      <x:c r="L13" s="12" t="str">
        <x:v>PASS</x:v>
      </x:c>
      <x:c r="M13" s="12" t="str">
        <x:v>NO</x:v>
      </x:c>
      <x:c r="N13" s="12" t="str">
        <x:v>PASS</x:v>
      </x:c>
      <x:c r="O13" s="12" t="str">
        <x:v>CONTEMPORANEOUS_ATTRIBUTION</x:v>
      </x:c>
      <x:c r="P13" s="12" t="str">
        <x:v>PASS</x:v>
      </x:c>
      <x:c r="Q13" s="12" t="str">
        <x:v>Checked for TJX identity, exact event/date, timing window and prohibited-source origin. 2016-11-15 is explicitly marked as lacking a clean source attribution for the negative close.</x:v>
      </x:c>
    </x:row>
    <x:row r="14">
      <x:c r="A14" s="12" t="str">
        <x:v>2017-05-16</x:v>
      </x:c>
      <x:c r="B14" s="12" t="str">
        <x:v>TJX</x:v>
      </x:c>
      <x:c r="C14" s="12" t="str">
        <x:v>prior</x:v>
      </x:c>
      <x:c r="D14" s="12" t="str">
        <x:v>2017-02-22</x:v>
      </x:c>
      <x:c r="E14" s="12" t="n">
        <x:v>-83</x:v>
      </x:c>
      <x:c r="F14" s="12" t="str">
        <x:v>TJX Companies</x:v>
      </x:c>
      <x:c r="G14" s="12" t="str">
        <x:v>TJX Reports Above-Plan Q4 and FY17 Results; Q4 Comp Sales Up 3%</x:v>
      </x:c>
      <x:c r="H14" s="12" t="str">
        <x:v>https://investor.tjx.com/news-releases/news-release-details/tjx-companies-inc-reports-above-plan-q4-and-fy17-comp-sales-and</x:v>
      </x:c>
      <x:c r="I14" s="12" t="str">
        <x:v>VERIFIED</x:v>
      </x:c>
      <x:c r="J14" s="12" t="str">
        <x:v>PASS</x:v>
      </x:c>
      <x:c r="K14" s="12" t="str">
        <x:v>PASS</x:v>
      </x:c>
      <x:c r="L14" s="12" t="str">
        <x:v>PASS</x:v>
      </x:c>
      <x:c r="M14" s="12" t="str">
        <x:v>NO</x:v>
      </x:c>
      <x:c r="N14" s="12" t="str">
        <x:v>PASS</x:v>
      </x:c>
      <x:c r="O14" s="12" t="str">
        <x:v>FACTUAL</x:v>
      </x:c>
      <x:c r="P14" s="12" t="str">
        <x:v>PASS</x:v>
      </x:c>
      <x:c r="Q14" s="12" t="str">
        <x:v>Checked for TJX identity, exact event/date, timing window and prohibited-source origin. 2016-11-15 is explicitly marked as lacking a clean source attribution for the negative close.</x:v>
      </x:c>
    </x:row>
    <x:row r="15">
      <x:c r="A15" s="12" t="str">
        <x:v>2017-05-16</x:v>
      </x:c>
      <x:c r="B15" s="12" t="str">
        <x:v>TJX</x:v>
      </x:c>
      <x:c r="C15" s="12" t="str">
        <x:v>release</x:v>
      </x:c>
      <x:c r="D15" s="12" t="str">
        <x:v>2017-05-16</x:v>
      </x:c>
      <x:c r="E15" s="12" t="n">
        <x:v>0</x:v>
      </x:c>
      <x:c r="F15" s="12" t="str">
        <x:v>TJX Companies</x:v>
      </x:c>
      <x:c r="G15" s="12" t="str">
        <x:v>TJX Reports Q1 FY18 Results</x:v>
      </x:c>
      <x:c r="H15" s="12" t="str">
        <x:v>https://investor.tjx.com/news-releases/news-release-details/tjx-companies-inc-reports-q1-fy18-results</x:v>
      </x:c>
      <x:c r="I15" s="12" t="str">
        <x:v>VERIFIED</x:v>
      </x:c>
      <x:c r="J15" s="12" t="str">
        <x:v>PASS</x:v>
      </x:c>
      <x:c r="K15" s="12" t="str">
        <x:v>PASS</x:v>
      </x:c>
      <x:c r="L15" s="12" t="str">
        <x:v>PASS</x:v>
      </x:c>
      <x:c r="M15" s="12" t="str">
        <x:v>NO</x:v>
      </x:c>
      <x:c r="N15" s="12" t="str">
        <x:v>PASS</x:v>
      </x:c>
      <x:c r="O15" s="12" t="str">
        <x:v>FACTUAL</x:v>
      </x:c>
      <x:c r="P15" s="12" t="str">
        <x:v>PASS</x:v>
      </x:c>
      <x:c r="Q15" s="12" t="str">
        <x:v>Checked for TJX identity, exact event/date, timing window and prohibited-source origin. 2016-11-15 is explicitly marked as lacking a clean source attribution for the negative close.</x:v>
      </x:c>
    </x:row>
    <x:row r="16">
      <x:c r="A16" s="12" t="str">
        <x:v>2017-05-16</x:v>
      </x:c>
      <x:c r="B16" s="12" t="str">
        <x:v>TJX</x:v>
      </x:c>
      <x:c r="C16" s="12" t="str">
        <x:v>reaction</x:v>
      </x:c>
      <x:c r="D16" s="12" t="str">
        <x:v>2017-05-16</x:v>
      </x:c>
      <x:c r="E16" s="12" t="n">
        <x:v>0</x:v>
      </x:c>
      <x:c r="F16" s="12" t="str">
        <x:v>TheStreet Pro</x:v>
      </x:c>
      <x:c r="G16" s="12" t="str">
        <x:v>TJX Reports Disappointing Results</x:v>
      </x:c>
      <x:c r="H16" s="12" t="str">
        <x:v>https://pro.thestreet.com/portfolio/tjx-reports-disappointing-results</x:v>
      </x:c>
      <x:c r="I16" s="12" t="str">
        <x:v>VERIFIED</x:v>
      </x:c>
      <x:c r="J16" s="12" t="str">
        <x:v>PASS</x:v>
      </x:c>
      <x:c r="K16" s="12" t="str">
        <x:v>PASS</x:v>
      </x:c>
      <x:c r="L16" s="12" t="str">
        <x:v>PASS</x:v>
      </x:c>
      <x:c r="M16" s="12" t="str">
        <x:v>NO</x:v>
      </x:c>
      <x:c r="N16" s="12" t="str">
        <x:v>PASS</x:v>
      </x:c>
      <x:c r="O16" s="12" t="str">
        <x:v>CONTEMPORANEOUS_ATTRIBUTION</x:v>
      </x:c>
      <x:c r="P16" s="12" t="str">
        <x:v>PASS</x:v>
      </x:c>
      <x:c r="Q16" s="12" t="str">
        <x:v>Checked for TJX identity, exact event/date, timing window and prohibited-source origin. 2016-11-15 is explicitly marked as lacking a clean source attribution for the negative close.</x:v>
      </x:c>
    </x:row>
    <x:row r="17">
      <x:c r="A17" s="12" t="str">
        <x:v>2017-08-15</x:v>
      </x:c>
      <x:c r="B17" s="12" t="str">
        <x:v>TJX</x:v>
      </x:c>
      <x:c r="C17" s="12" t="str">
        <x:v>prior</x:v>
      </x:c>
      <x:c r="D17" s="12" t="str">
        <x:v>2017-05-16</x:v>
      </x:c>
      <x:c r="E17" s="12" t="n">
        <x:v>-91</x:v>
      </x:c>
      <x:c r="F17" s="12" t="str">
        <x:v>TJX Companies</x:v>
      </x:c>
      <x:c r="G17" s="12" t="str">
        <x:v>TJX Reports Q1 FY18 Results</x:v>
      </x:c>
      <x:c r="H17" s="12" t="str">
        <x:v>https://investor.tjx.com/news-releases/news-release-details/tjx-companies-inc-reports-q1-fy18-results</x:v>
      </x:c>
      <x:c r="I17" s="12" t="str">
        <x:v>VERIFIED</x:v>
      </x:c>
      <x:c r="J17" s="12" t="str">
        <x:v>PASS</x:v>
      </x:c>
      <x:c r="K17" s="12" t="str">
        <x:v>PASS</x:v>
      </x:c>
      <x:c r="L17" s="12" t="str">
        <x:v>PASS</x:v>
      </x:c>
      <x:c r="M17" s="12" t="str">
        <x:v>NO</x:v>
      </x:c>
      <x:c r="N17" s="12" t="str">
        <x:v>PASS</x:v>
      </x:c>
      <x:c r="O17" s="12" t="str">
        <x:v>FACTUAL</x:v>
      </x:c>
      <x:c r="P17" s="12" t="str">
        <x:v>PASS</x:v>
      </x:c>
      <x:c r="Q17" s="12" t="str">
        <x:v>Checked for TJX identity, exact event/date, timing window and prohibited-source origin. 2016-11-15 is explicitly marked as lacking a clean source attribution for the negative close.</x:v>
      </x:c>
    </x:row>
    <x:row r="18">
      <x:c r="A18" s="12" t="str">
        <x:v>2017-08-15</x:v>
      </x:c>
      <x:c r="B18" s="12" t="str">
        <x:v>TJX</x:v>
      </x:c>
      <x:c r="C18" s="12" t="str">
        <x:v>release</x:v>
      </x:c>
      <x:c r="D18" s="12" t="str">
        <x:v>2017-08-15</x:v>
      </x:c>
      <x:c r="E18" s="12" t="n">
        <x:v>0</x:v>
      </x:c>
      <x:c r="F18" s="12" t="str">
        <x:v>TJX Companies</x:v>
      </x:c>
      <x:c r="G18" s="12" t="str">
        <x:v>TJX Reports Above-Plan Q2 FY18 Results with 3% Comp Sales Growth and Raises Guidance</x:v>
      </x:c>
      <x:c r="H18" s="12" t="str">
        <x:v>https://investor.tjx.com/node/17106/pdf</x:v>
      </x:c>
      <x:c r="I18" s="12" t="str">
        <x:v>VERIFIED</x:v>
      </x:c>
      <x:c r="J18" s="12" t="str">
        <x:v>PASS</x:v>
      </x:c>
      <x:c r="K18" s="12" t="str">
        <x:v>PASS</x:v>
      </x:c>
      <x:c r="L18" s="12" t="str">
        <x:v>PASS</x:v>
      </x:c>
      <x:c r="M18" s="12" t="str">
        <x:v>NO</x:v>
      </x:c>
      <x:c r="N18" s="12" t="str">
        <x:v>PASS</x:v>
      </x:c>
      <x:c r="O18" s="12" t="str">
        <x:v>FACTUAL</x:v>
      </x:c>
      <x:c r="P18" s="12" t="str">
        <x:v>PASS</x:v>
      </x:c>
      <x:c r="Q18" s="12" t="str">
        <x:v>Checked for TJX identity, exact event/date, timing window and prohibited-source origin. 2016-11-15 is explicitly marked as lacking a clean source attribution for the negative close.</x:v>
      </x:c>
    </x:row>
    <x:row r="19">
      <x:c r="A19" s="12" t="str">
        <x:v>2017-08-15</x:v>
      </x:c>
      <x:c r="B19" s="12" t="str">
        <x:v>TJX</x:v>
      </x:c>
      <x:c r="C19" s="12" t="str">
        <x:v>reaction</x:v>
      </x:c>
      <x:c r="D19" s="12" t="str">
        <x:v>2017-08-15</x:v>
      </x:c>
      <x:c r="E19" s="12" t="n">
        <x:v>0</x:v>
      </x:c>
      <x:c r="F19" s="12" t="str">
        <x:v>The Motley Fool</x:v>
      </x:c>
      <x:c r="G19" s="12" t="str">
        <x:v>TJX Companies Earnings: Accelerating Growth and a Rising Profit Forecast</x:v>
      </x:c>
      <x:c r="H19" s="12" t="str">
        <x:v>https://www.fool.com/investing/2017/08/15/tjx-companies-earnings-accelerating-growth-and-a-r.aspx</x:v>
      </x:c>
      <x:c r="I19" s="12" t="str">
        <x:v>VERIFIED</x:v>
      </x:c>
      <x:c r="J19" s="12" t="str">
        <x:v>PASS</x:v>
      </x:c>
      <x:c r="K19" s="12" t="str">
        <x:v>PASS</x:v>
      </x:c>
      <x:c r="L19" s="12" t="str">
        <x:v>PASS</x:v>
      </x:c>
      <x:c r="M19" s="12" t="str">
        <x:v>NO</x:v>
      </x:c>
      <x:c r="N19" s="12" t="str">
        <x:v>PASS</x:v>
      </x:c>
      <x:c r="O19" s="12" t="str">
        <x:v>CONTEMPORANEOUS_ATTRIBUTION</x:v>
      </x:c>
      <x:c r="P19" s="12" t="str">
        <x:v>PASS</x:v>
      </x:c>
      <x:c r="Q19" s="12" t="str">
        <x:v>Checked for TJX identity, exact event/date, timing window and prohibited-source origin. 2016-11-15 is explicitly marked as lacking a clean source attribution for the negative close.</x:v>
      </x:c>
    </x:row>
    <x:row r="20">
      <x:c r="A20" s="12" t="str">
        <x:v>2017-11-14</x:v>
      </x:c>
      <x:c r="B20" s="12" t="str">
        <x:v>TJX</x:v>
      </x:c>
      <x:c r="C20" s="12" t="str">
        <x:v>prior</x:v>
      </x:c>
      <x:c r="D20" s="12" t="str">
        <x:v>2017-08-15</x:v>
      </x:c>
      <x:c r="E20" s="12" t="n">
        <x:v>-91</x:v>
      </x:c>
      <x:c r="F20" s="12" t="str">
        <x:v>TJX Companies</x:v>
      </x:c>
      <x:c r="G20" s="12" t="str">
        <x:v>TJX Reports Above-Plan Q2 FY18 Results with 3% Comp Sales Growth and Raises Guidance</x:v>
      </x:c>
      <x:c r="H20" s="12" t="str">
        <x:v>https://investor.tjx.com/node/17106/pdf</x:v>
      </x:c>
      <x:c r="I20" s="12" t="str">
        <x:v>VERIFIED</x:v>
      </x:c>
      <x:c r="J20" s="12" t="str">
        <x:v>PASS</x:v>
      </x:c>
      <x:c r="K20" s="12" t="str">
        <x:v>PASS</x:v>
      </x:c>
      <x:c r="L20" s="12" t="str">
        <x:v>PASS</x:v>
      </x:c>
      <x:c r="M20" s="12" t="str">
        <x:v>NO</x:v>
      </x:c>
      <x:c r="N20" s="12" t="str">
        <x:v>PASS</x:v>
      </x:c>
      <x:c r="O20" s="12" t="str">
        <x:v>FACTUAL</x:v>
      </x:c>
      <x:c r="P20" s="12" t="str">
        <x:v>PASS</x:v>
      </x:c>
      <x:c r="Q20" s="12" t="str">
        <x:v>Checked for TJX identity, exact event/date, timing window and prohibited-source origin. 2016-11-15 is explicitly marked as lacking a clean source attribution for the negative close.</x:v>
      </x:c>
    </x:row>
    <x:row r="21">
      <x:c r="A21" s="12" t="str">
        <x:v>2017-11-14</x:v>
      </x:c>
      <x:c r="B21" s="12" t="str">
        <x:v>TJX</x:v>
      </x:c>
      <x:c r="C21" s="12" t="str">
        <x:v>release</x:v>
      </x:c>
      <x:c r="D21" s="12" t="str">
        <x:v>2017-11-14</x:v>
      </x:c>
      <x:c r="E21" s="12" t="n">
        <x:v>0</x:v>
      </x:c>
      <x:c r="F21" s="12" t="str">
        <x:v>TJX Companies</x:v>
      </x:c>
      <x:c r="G21" s="12" t="str">
        <x:v>TJX Reports Q3 FY18 Results</x:v>
      </x:c>
      <x:c r="H21" s="12" t="str">
        <x:v>https://investor.tjx.com/news-releases/news-release-details/tjx-companies-inc-reports-q3-fy18-results</x:v>
      </x:c>
      <x:c r="I21" s="12" t="str">
        <x:v>VERIFIED</x:v>
      </x:c>
      <x:c r="J21" s="12" t="str">
        <x:v>PASS</x:v>
      </x:c>
      <x:c r="K21" s="12" t="str">
        <x:v>PASS</x:v>
      </x:c>
      <x:c r="L21" s="12" t="str">
        <x:v>PASS</x:v>
      </x:c>
      <x:c r="M21" s="12" t="str">
        <x:v>NO</x:v>
      </x:c>
      <x:c r="N21" s="12" t="str">
        <x:v>PASS</x:v>
      </x:c>
      <x:c r="O21" s="12" t="str">
        <x:v>FACTUAL</x:v>
      </x:c>
      <x:c r="P21" s="12" t="str">
        <x:v>PASS</x:v>
      </x:c>
      <x:c r="Q21" s="12" t="str">
        <x:v>Checked for TJX identity, exact event/date, timing window and prohibited-source origin. 2016-11-15 is explicitly marked as lacking a clean source attribution for the negative close.</x:v>
      </x:c>
    </x:row>
    <x:row r="22">
      <x:c r="A22" s="12" t="str">
        <x:v>2017-11-14</x:v>
      </x:c>
      <x:c r="B22" s="12" t="str">
        <x:v>TJX</x:v>
      </x:c>
      <x:c r="C22" s="12" t="str">
        <x:v>reaction</x:v>
      </x:c>
      <x:c r="D22" s="12" t="str">
        <x:v>2017-11-14</x:v>
      </x:c>
      <x:c r="E22" s="12" t="n">
        <x:v>0</x:v>
      </x:c>
      <x:c r="F22" s="12" t="str">
        <x:v>The Motley Fool</x:v>
      </x:c>
      <x:c r="G22" s="12" t="str">
        <x:v>Even Retail Stalwart TJX Couldn't Meet Expectations Last Quarter</x:v>
      </x:c>
      <x:c r="H22" s="12" t="str">
        <x:v>https://www.fool.com/investing/2017/11/14/even-retail-stalwart-tjx-couldnt-meet-expectations.aspx</x:v>
      </x:c>
      <x:c r="I22" s="12" t="str">
        <x:v>VERIFIED</x:v>
      </x:c>
      <x:c r="J22" s="12" t="str">
        <x:v>PASS</x:v>
      </x:c>
      <x:c r="K22" s="12" t="str">
        <x:v>PASS</x:v>
      </x:c>
      <x:c r="L22" s="12" t="str">
        <x:v>PASS</x:v>
      </x:c>
      <x:c r="M22" s="12" t="str">
        <x:v>NO</x:v>
      </x:c>
      <x:c r="N22" s="12" t="str">
        <x:v>PASS</x:v>
      </x:c>
      <x:c r="O22" s="12" t="str">
        <x:v>CONTEMPORANEOUS_ATTRIBUTION</x:v>
      </x:c>
      <x:c r="P22" s="12" t="str">
        <x:v>PASS</x:v>
      </x:c>
      <x:c r="Q22" s="12" t="str">
        <x:v>Checked for TJX identity, exact event/date, timing window and prohibited-source origin. 2016-11-15 is explicitly marked as lacking a clean source attribution for the negative close.</x:v>
      </x:c>
    </x:row>
    <x:row r="23">
      <x:c r="A23" s="12" t="str">
        <x:v>2018-02-28</x:v>
      </x:c>
      <x:c r="B23" s="12" t="str">
        <x:v>TJX</x:v>
      </x:c>
      <x:c r="C23" s="12" t="str">
        <x:v>prior</x:v>
      </x:c>
      <x:c r="D23" s="12" t="str">
        <x:v>2018-02-25</x:v>
      </x:c>
      <x:c r="E23" s="12" t="n">
        <x:v>-3</x:v>
      </x:c>
      <x:c r="F23" s="12" t="str">
        <x:v>The Motley Fool</x:v>
      </x:c>
      <x:c r="G23" s="12" t="str">
        <x:v>TJX Companies Earnings: What to Watch</x:v>
      </x:c>
      <x:c r="H23" s="12" t="str">
        <x:v>https://www.fool.com/investing/2018/02/25/tjx-companies-earnings-what-to-watch.aspx</x:v>
      </x:c>
      <x:c r="I23" s="12" t="str">
        <x:v>VERIFIED</x:v>
      </x:c>
      <x:c r="J23" s="12" t="str">
        <x:v>PASS</x:v>
      </x:c>
      <x:c r="K23" s="12" t="str">
        <x:v>PASS</x:v>
      </x:c>
      <x:c r="L23" s="12" t="str">
        <x:v>PASS</x:v>
      </x:c>
      <x:c r="M23" s="12" t="str">
        <x:v>NO</x:v>
      </x:c>
      <x:c r="N23" s="12" t="str">
        <x:v>PASS</x:v>
      </x:c>
      <x:c r="O23" s="12" t="str">
        <x:v>FACTUAL</x:v>
      </x:c>
      <x:c r="P23" s="12" t="str">
        <x:v>PASS</x:v>
      </x:c>
      <x:c r="Q23" s="12" t="str">
        <x:v>Checked for TJX identity, exact event/date, timing window and prohibited-source origin. 2016-11-15 is explicitly marked as lacking a clean source attribution for the negative close.</x:v>
      </x:c>
    </x:row>
    <x:row r="24">
      <x:c r="A24" s="12" t="str">
        <x:v>2018-02-28</x:v>
      </x:c>
      <x:c r="B24" s="12" t="str">
        <x:v>TJX</x:v>
      </x:c>
      <x:c r="C24" s="12" t="str">
        <x:v>release</x:v>
      </x:c>
      <x:c r="D24" s="12" t="str">
        <x:v>2018-02-28</x:v>
      </x:c>
      <x:c r="E24" s="12" t="n">
        <x:v>0</x:v>
      </x:c>
      <x:c r="F24" s="12" t="str">
        <x:v>TJX Companies</x:v>
      </x:c>
      <x:c r="G24" s="12" t="str">
        <x:v>TJX Reports Q4 and FY18 Results; Q4 Comp Sales Growth 4%</x:v>
      </x:c>
      <x:c r="H24" s="12" t="str">
        <x:v>https://investor.tjx.com/news-releases/news-release-details/tjx-companies-inc-reports-q4-and-fy18-results-achieves-above-0</x:v>
      </x:c>
      <x:c r="I24" s="12" t="str">
        <x:v>VERIFIED</x:v>
      </x:c>
      <x:c r="J24" s="12" t="str">
        <x:v>PASS</x:v>
      </x:c>
      <x:c r="K24" s="12" t="str">
        <x:v>PASS</x:v>
      </x:c>
      <x:c r="L24" s="12" t="str">
        <x:v>PASS</x:v>
      </x:c>
      <x:c r="M24" s="12" t="str">
        <x:v>NO</x:v>
      </x:c>
      <x:c r="N24" s="12" t="str">
        <x:v>PASS</x:v>
      </x:c>
      <x:c r="O24" s="12" t="str">
        <x:v>FACTUAL</x:v>
      </x:c>
      <x:c r="P24" s="12" t="str">
        <x:v>PASS</x:v>
      </x:c>
      <x:c r="Q24" s="12" t="str">
        <x:v>Checked for TJX identity, exact event/date, timing window and prohibited-source origin. 2016-11-15 is explicitly marked as lacking a clean source attribution for the negative close.</x:v>
      </x:c>
    </x:row>
    <x:row r="25">
      <x:c r="A25" s="12" t="str">
        <x:v>2018-02-28</x:v>
      </x:c>
      <x:c r="B25" s="12" t="str">
        <x:v>TJX</x:v>
      </x:c>
      <x:c r="C25" s="12" t="str">
        <x:v>reaction</x:v>
      </x:c>
      <x:c r="D25" s="12" t="str">
        <x:v>2018-02-28</x:v>
      </x:c>
      <x:c r="E25" s="12" t="n">
        <x:v>0</x:v>
      </x:c>
      <x:c r="F25" s="12" t="str">
        <x:v>The Motley Fool</x:v>
      </x:c>
      <x:c r="G25" s="12" t="str">
        <x:v>Why TJX Companies Inc. Stock Was Climbing Today</x:v>
      </x:c>
      <x:c r="H25" s="12" t="str">
        <x:v>https://www.fool.com/investing/2018/02/28/why-tjx-companies-inc-stock-was-climbing-today.aspx</x:v>
      </x:c>
      <x:c r="I25" s="12" t="str">
        <x:v>VERIFIED</x:v>
      </x:c>
      <x:c r="J25" s="12" t="str">
        <x:v>PASS</x:v>
      </x:c>
      <x:c r="K25" s="12" t="str">
        <x:v>PASS</x:v>
      </x:c>
      <x:c r="L25" s="12" t="str">
        <x:v>PASS</x:v>
      </x:c>
      <x:c r="M25" s="12" t="str">
        <x:v>NO</x:v>
      </x:c>
      <x:c r="N25" s="12" t="str">
        <x:v>PASS</x:v>
      </x:c>
      <x:c r="O25" s="12" t="str">
        <x:v>CONTEMPORANEOUS_ATTRIBUTION</x:v>
      </x:c>
      <x:c r="P25" s="12" t="str">
        <x:v>PASS</x:v>
      </x:c>
      <x:c r="Q25" s="12" t="str">
        <x:v>Checked for TJX identity, exact event/date, timing window and prohibited-source origin. 2016-11-15 is explicitly marked as lacking a clean source attribution for the negative close.</x:v>
      </x:c>
    </x:row>
    <x:row r="26">
      <x:c r="A26" s="12" t="str">
        <x:v>2018-05-22</x:v>
      </x:c>
      <x:c r="B26" s="12" t="str">
        <x:v>TJX</x:v>
      </x:c>
      <x:c r="C26" s="12" t="str">
        <x:v>prior</x:v>
      </x:c>
      <x:c r="D26" s="12" t="str">
        <x:v>2018-05-18</x:v>
      </x:c>
      <x:c r="E26" s="12" t="n">
        <x:v>-4</x:v>
      </x:c>
      <x:c r="F26" s="12" t="str">
        <x:v>The Motley Fool</x:v>
      </x:c>
      <x:c r="G26" s="12" t="str">
        <x:v>TJX Companies Earnings Preview: What to Watch</x:v>
      </x:c>
      <x:c r="H26" s="12" t="str">
        <x:v>https://www.fool.com/investing/2018/05/18/tjx-companies-earnings-preview-what-to-watch.aspx</x:v>
      </x:c>
      <x:c r="I26" s="12" t="str">
        <x:v>VERIFIED</x:v>
      </x:c>
      <x:c r="J26" s="12" t="str">
        <x:v>PASS</x:v>
      </x:c>
      <x:c r="K26" s="12" t="str">
        <x:v>PASS</x:v>
      </x:c>
      <x:c r="L26" s="12" t="str">
        <x:v>PASS</x:v>
      </x:c>
      <x:c r="M26" s="12" t="str">
        <x:v>NO</x:v>
      </x:c>
      <x:c r="N26" s="12" t="str">
        <x:v>PASS</x:v>
      </x:c>
      <x:c r="O26" s="12" t="str">
        <x:v>FACTUAL</x:v>
      </x:c>
      <x:c r="P26" s="12" t="str">
        <x:v>PASS</x:v>
      </x:c>
      <x:c r="Q26" s="12" t="str">
        <x:v>Checked for TJX identity, exact event/date, timing window and prohibited-source origin. 2016-11-15 is explicitly marked as lacking a clean source attribution for the negative close.</x:v>
      </x:c>
    </x:row>
    <x:row r="27">
      <x:c r="A27" s="12" t="str">
        <x:v>2018-05-22</x:v>
      </x:c>
      <x:c r="B27" s="12" t="str">
        <x:v>TJX</x:v>
      </x:c>
      <x:c r="C27" s="12" t="str">
        <x:v>release</x:v>
      </x:c>
      <x:c r="D27" s="12" t="str">
        <x:v>2018-05-22</x:v>
      </x:c>
      <x:c r="E27" s="12" t="n">
        <x:v>0</x:v>
      </x:c>
      <x:c r="F27" s="12" t="str">
        <x:v>TJX Companies</x:v>
      </x:c>
      <x:c r="G27" s="12" t="str">
        <x:v>TJX Reports Above-Plan Q1 FY19 Comp Sales Growth of 3%</x:v>
      </x:c>
      <x:c r="H27" s="12" t="str">
        <x:v>https://www.tjx.com/docs/default-source/investor-docs/quarterly-results/tjx-q1-fy19-earnings-press-release.pdf?sfvrsn=f7f571e3_1</x:v>
      </x:c>
      <x:c r="I27" s="12" t="str">
        <x:v>VERIFIED</x:v>
      </x:c>
      <x:c r="J27" s="12" t="str">
        <x:v>PASS</x:v>
      </x:c>
      <x:c r="K27" s="12" t="str">
        <x:v>PASS</x:v>
      </x:c>
      <x:c r="L27" s="12" t="str">
        <x:v>PASS</x:v>
      </x:c>
      <x:c r="M27" s="12" t="str">
        <x:v>NO</x:v>
      </x:c>
      <x:c r="N27" s="12" t="str">
        <x:v>PASS</x:v>
      </x:c>
      <x:c r="O27" s="12" t="str">
        <x:v>FACTUAL</x:v>
      </x:c>
      <x:c r="P27" s="12" t="str">
        <x:v>PASS</x:v>
      </x:c>
      <x:c r="Q27" s="12" t="str">
        <x:v>Checked for TJX identity, exact event/date, timing window and prohibited-source origin. 2016-11-15 is explicitly marked as lacking a clean source attribution for the negative close.</x:v>
      </x:c>
    </x:row>
    <x:row r="28">
      <x:c r="A28" s="12" t="str">
        <x:v>2018-05-22</x:v>
      </x:c>
      <x:c r="B28" s="12" t="str">
        <x:v>TJX</x:v>
      </x:c>
      <x:c r="C28" s="12" t="str">
        <x:v>reaction</x:v>
      </x:c>
      <x:c r="D28" s="12" t="str">
        <x:v>2018-05-22</x:v>
      </x:c>
      <x:c r="E28" s="12" t="n">
        <x:v>0</x:v>
      </x:c>
      <x:c r="F28" s="12" t="str">
        <x:v>The Motley Fool</x:v>
      </x:c>
      <x:c r="G28" s="12" t="str">
        <x:v>What Happened in the Stock Market Today</x:v>
      </x:c>
      <x:c r="H28" s="12" t="str">
        <x:v>https://www.fool.com/investing/2018/05/22/what-happened-in-the-stock-market-today.aspx</x:v>
      </x:c>
      <x:c r="I28" s="12" t="str">
        <x:v>VERIFIED</x:v>
      </x:c>
      <x:c r="J28" s="12" t="str">
        <x:v>PASS</x:v>
      </x:c>
      <x:c r="K28" s="12" t="str">
        <x:v>PASS</x:v>
      </x:c>
      <x:c r="L28" s="12" t="str">
        <x:v>PASS</x:v>
      </x:c>
      <x:c r="M28" s="12" t="str">
        <x:v>NO</x:v>
      </x:c>
      <x:c r="N28" s="12" t="str">
        <x:v>PASS</x:v>
      </x:c>
      <x:c r="O28" s="12" t="str">
        <x:v>CONTEMPORANEOUS_ATTRIBUTION</x:v>
      </x:c>
      <x:c r="P28" s="12" t="str">
        <x:v>PASS</x:v>
      </x:c>
      <x:c r="Q28" s="12" t="str">
        <x:v>Checked for TJX identity, exact event/date, timing window and prohibited-source origin. 2016-11-15 is explicitly marked as lacking a clean source attribution for the negative close.</x:v>
      </x:c>
    </x:row>
    <x:row r="29">
      <x:c r="A29" s="12" t="str">
        <x:v>2018-08-21</x:v>
      </x:c>
      <x:c r="B29" s="12" t="str">
        <x:v>TJX</x:v>
      </x:c>
      <x:c r="C29" s="12" t="str">
        <x:v>prior</x:v>
      </x:c>
      <x:c r="D29" s="12" t="str">
        <x:v>2018-08-15</x:v>
      </x:c>
      <x:c r="E29" s="12" t="n">
        <x:v>-6</x:v>
      </x:c>
      <x:c r="F29" s="12" t="str">
        <x:v>The Motley Fool</x:v>
      </x:c>
      <x:c r="G29" s="12" t="str">
        <x:v>Will TJX Companies Boost Its 2018 Outlook on Tuesday?</x:v>
      </x:c>
      <x:c r="H29" s="12" t="str">
        <x:v>https://www.fool.com/investing/2018/08/15/will-tjx-companies-boost-its-2018-outlook-on-tuesd.aspx</x:v>
      </x:c>
      <x:c r="I29" s="12" t="str">
        <x:v>VERIFIED</x:v>
      </x:c>
      <x:c r="J29" s="12" t="str">
        <x:v>PASS</x:v>
      </x:c>
      <x:c r="K29" s="12" t="str">
        <x:v>PASS</x:v>
      </x:c>
      <x:c r="L29" s="12" t="str">
        <x:v>PASS</x:v>
      </x:c>
      <x:c r="M29" s="12" t="str">
        <x:v>NO</x:v>
      </x:c>
      <x:c r="N29" s="12" t="str">
        <x:v>PASS</x:v>
      </x:c>
      <x:c r="O29" s="12" t="str">
        <x:v>FACTUAL</x:v>
      </x:c>
      <x:c r="P29" s="12" t="str">
        <x:v>PASS</x:v>
      </x:c>
      <x:c r="Q29" s="12" t="str">
        <x:v>Checked for TJX identity, exact event/date, timing window and prohibited-source origin. 2016-11-15 is explicitly marked as lacking a clean source attribution for the negative close.</x:v>
      </x:c>
    </x:row>
    <x:row r="30">
      <x:c r="A30" s="12" t="str">
        <x:v>2018-08-21</x:v>
      </x:c>
      <x:c r="B30" s="12" t="str">
        <x:v>TJX</x:v>
      </x:c>
      <x:c r="C30" s="12" t="str">
        <x:v>release</x:v>
      </x:c>
      <x:c r="D30" s="12" t="str">
        <x:v>2018-08-21</x:v>
      </x:c>
      <x:c r="E30" s="12" t="n">
        <x:v>0</x:v>
      </x:c>
      <x:c r="F30" s="12" t="str">
        <x:v>TJX Companies</x:v>
      </x:c>
      <x:c r="G30" s="12" t="str">
        <x:v>TJX Reports Above-Plan Q2 FY19 Results with 6% Comp Sales Growth; Raises Guidance</x:v>
      </x:c>
      <x:c r="H30" s="12" t="str">
        <x:v>https://investor.tjx.com/news-releases/news-release-details/tjx-companies-inc-reports-above-plan-q2-fy19-results-comp-sales</x:v>
      </x:c>
      <x:c r="I30" s="12" t="str">
        <x:v>VERIFIED</x:v>
      </x:c>
      <x:c r="J30" s="12" t="str">
        <x:v>PASS</x:v>
      </x:c>
      <x:c r="K30" s="12" t="str">
        <x:v>PASS</x:v>
      </x:c>
      <x:c r="L30" s="12" t="str">
        <x:v>PASS</x:v>
      </x:c>
      <x:c r="M30" s="12" t="str">
        <x:v>NO</x:v>
      </x:c>
      <x:c r="N30" s="12" t="str">
        <x:v>PASS</x:v>
      </x:c>
      <x:c r="O30" s="12" t="str">
        <x:v>FACTUAL</x:v>
      </x:c>
      <x:c r="P30" s="12" t="str">
        <x:v>PASS</x:v>
      </x:c>
      <x:c r="Q30" s="12" t="str">
        <x:v>Checked for TJX identity, exact event/date, timing window and prohibited-source origin. 2016-11-15 is explicitly marked as lacking a clean source attribution for the negative close.</x:v>
      </x:c>
    </x:row>
    <x:row r="31">
      <x:c r="A31" s="12" t="str">
        <x:v>2018-08-21</x:v>
      </x:c>
      <x:c r="B31" s="12" t="str">
        <x:v>TJX</x:v>
      </x:c>
      <x:c r="C31" s="12" t="str">
        <x:v>reaction</x:v>
      </x:c>
      <x:c r="D31" s="12" t="str">
        <x:v>2018-08-21</x:v>
      </x:c>
      <x:c r="E31" s="12" t="n">
        <x:v>0</x:v>
      </x:c>
      <x:c r="F31" s="12" t="str">
        <x:v>The Motley Fool</x:v>
      </x:c>
      <x:c r="G31" s="12" t="str">
        <x:v>Why TJX Companies, Inc. Stock Jumped Tuesday</x:v>
      </x:c>
      <x:c r="H31" s="12" t="str">
        <x:v>https://www.fool.com/investing/2018/08/21/why-tjx-companies-inc-stock-jumped-tuesday.aspx</x:v>
      </x:c>
      <x:c r="I31" s="12" t="str">
        <x:v>VERIFIED</x:v>
      </x:c>
      <x:c r="J31" s="12" t="str">
        <x:v>PASS</x:v>
      </x:c>
      <x:c r="K31" s="12" t="str">
        <x:v>PASS</x:v>
      </x:c>
      <x:c r="L31" s="12" t="str">
        <x:v>PASS</x:v>
      </x:c>
      <x:c r="M31" s="12" t="str">
        <x:v>NO</x:v>
      </x:c>
      <x:c r="N31" s="12" t="str">
        <x:v>PASS</x:v>
      </x:c>
      <x:c r="O31" s="12" t="str">
        <x:v>CONTEMPORANEOUS_ATTRIBUTION</x:v>
      </x:c>
      <x:c r="P31" s="12" t="str">
        <x:v>PASS</x:v>
      </x:c>
      <x:c r="Q31" s="12" t="str">
        <x:v>Checked for TJX identity, exact event/date, timing window and prohibited-source origin. 2016-11-15 is explicitly marked as lacking a clean source attribution for the negative close.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2016-05-17</x:v>
      </x:c>
      <x:c r="B2" t="str">
        <x:v>TJX</x:v>
      </x:c>
      <x:c r="C2" s="20" t="n">
        <x:v>1.39</x:v>
      </x:c>
      <x:c r="D2" s="20" t="n">
        <x:v>-1.07</x:v>
      </x:c>
      <x:c r="E2" t="str">
        <x:v>ret_1day_pct</x:v>
      </x:c>
      <x:c r="F2" t="str">
        <x:f>IF(C2&gt;0.1,"UP",IF(C2&lt;-0.1,"DOWN","FLAT"))</x:f>
        <x:v>UP</x:v>
      </x:c>
      <x:c r="G2" t="str">
        <x:v>UP</x:v>
      </x:c>
      <x:c r="H2" t="str">
        <x:f>IF(F2=G2,"PASS","FAIL")</x:f>
        <x:v>PASS</x:v>
      </x:c>
      <x:c r="I2" t="n">
        <x:v>3</x:v>
      </x:c>
      <x:c r="J2" t="n">
        <x:f>COUNTIFS('Source Audit'!$A:$A,A2,'Source Audit'!$P:$P,"PASS")</x:f>
        <x:v>3</x:v>
      </x:c>
      <x:c r="K2" t="str">
        <x:f>IF(AND(H2="PASS",J2=I2),"PASS","FAIL")</x:f>
        <x:v>PASS</x:v>
      </x:c>
    </x:row>
    <x:row r="3">
      <x:c r="A3" t="str">
        <x:v>2016-08-16</x:v>
      </x:c>
      <x:c r="B3" t="str">
        <x:v>TJX</x:v>
      </x:c>
      <x:c r="C3" s="20" t="n">
        <x:v>-5.25</x:v>
      </x:c>
      <x:c r="D3" s="20" t="n">
        <x:v>0.18</x:v>
      </x:c>
      <x:c r="E3" t="str">
        <x:v>ret_1day_pct</x:v>
      </x:c>
      <x:c r="F3" t="str">
        <x:f>IF(C3&gt;0.1,"UP",IF(C3&lt;-0.1,"DOWN","FLAT"))</x:f>
        <x:v>DOWN</x:v>
      </x:c>
      <x:c r="G3" t="str">
        <x:v>DOWN</x:v>
      </x:c>
      <x:c r="H3" t="str">
        <x:f>IF(F3=G3,"PASS","FAIL")</x:f>
        <x:v>PASS</x:v>
      </x:c>
      <x:c r="I3" t="n">
        <x:v>3</x:v>
      </x:c>
      <x:c r="J3" t="n">
        <x:f>COUNTIFS('Source Audit'!$A:$A,A3,'Source Audit'!$P:$P,"PASS")</x:f>
        <x:v>3</x:v>
      </x:c>
      <x:c r="K3" t="str">
        <x:f>IF(AND(H3="PASS",J3=I3),"PASS","FAIL")</x:f>
        <x:v>PASS</x:v>
      </x:c>
    </x:row>
    <x:row r="4">
      <x:c r="A4" t="str">
        <x:v>2016-11-15</x:v>
      </x:c>
      <x:c r="B4" t="str">
        <x:v>TJX</x:v>
      </x:c>
      <x:c r="C4" s="20" t="n">
        <x:v>-1.77</x:v>
      </x:c>
      <x:c r="D4" s="20" t="n">
        <x:v>4.1</x:v>
      </x:c>
      <x:c r="E4" t="str">
        <x:v>ret_1day_pct</x:v>
      </x:c>
      <x:c r="F4" t="str">
        <x:f>IF(C4&gt;0.1,"UP",IF(C4&lt;-0.1,"DOWN","FLAT"))</x:f>
        <x:v>DOWN</x:v>
      </x:c>
      <x:c r="G4" t="str">
        <x:v>DOWN</x:v>
      </x:c>
      <x:c r="H4" t="str">
        <x:f>IF(F4=G4,"PASS","FAIL")</x:f>
        <x:v>PASS</x:v>
      </x:c>
      <x:c r="I4" t="n">
        <x:v>3</x:v>
      </x:c>
      <x:c r="J4" t="n">
        <x:f>COUNTIFS('Source Audit'!$A:$A,A4,'Source Audit'!$P:$P,"PASS")</x:f>
        <x:v>3</x:v>
      </x:c>
      <x:c r="K4" t="str">
        <x:f>IF(AND(H4="PASS",J4=I4),"PASS","FAIL")</x:f>
        <x:v>PASS</x:v>
      </x:c>
    </x:row>
    <x:row r="5">
      <x:c r="A5" t="str">
        <x:v>2017-02-22</x:v>
      </x:c>
      <x:c r="B5" t="str">
        <x:v>TJX</x:v>
      </x:c>
      <x:c r="C5" s="20" t="n">
        <x:v>0.32</x:v>
      </x:c>
      <x:c r="D5" s="20" t="n">
        <x:v>2</x:v>
      </x:c>
      <x:c r="E5" t="str">
        <x:v>ret_1day_pct</x:v>
      </x:c>
      <x:c r="F5" t="str">
        <x:f>IF(C5&gt;0.1,"UP",IF(C5&lt;-0.1,"DOWN","FLAT"))</x:f>
        <x:v>UP</x:v>
      </x:c>
      <x:c r="G5" t="str">
        <x:v>UP</x:v>
      </x:c>
      <x:c r="H5" t="str">
        <x:f>IF(F5=G5,"PASS","FAIL")</x:f>
        <x:v>PASS</x:v>
      </x:c>
      <x:c r="I5" t="n">
        <x:v>3</x:v>
      </x:c>
      <x:c r="J5" t="n">
        <x:f>COUNTIFS('Source Audit'!$A:$A,A5,'Source Audit'!$P:$P,"PASS")</x:f>
        <x:v>3</x:v>
      </x:c>
      <x:c r="K5" t="str">
        <x:f>IF(AND(H5="PASS",J5=I5),"PASS","FAIL")</x:f>
        <x:v>PASS</x:v>
      </x:c>
    </x:row>
    <x:row r="6">
      <x:c r="A6" t="str">
        <x:v>2017-05-16</x:v>
      </x:c>
      <x:c r="B6" t="str">
        <x:v>TJX</x:v>
      </x:c>
      <x:c r="C6" s="20" t="n">
        <x:v>-4.04</x:v>
      </x:c>
      <x:c r="D6" s="20" t="n">
        <x:v>3.18</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2017-08-15</x:v>
      </x:c>
      <x:c r="B7" t="str">
        <x:v>TJX</x:v>
      </x:c>
      <x:c r="C7" s="20" t="n">
        <x:v>0.92</x:v>
      </x:c>
      <x:c r="D7" s="20" t="n">
        <x:v>1.82</x:v>
      </x:c>
      <x:c r="E7" t="str">
        <x:v>ret_1day_pct</x:v>
      </x:c>
      <x:c r="F7" t="str">
        <x:f>IF(C7&gt;0.1,"UP",IF(C7&lt;-0.1,"DOWN","FLAT"))</x:f>
        <x:v>UP</x:v>
      </x:c>
      <x:c r="G7" t="str">
        <x:v>UP</x:v>
      </x:c>
      <x:c r="H7" t="str">
        <x:f>IF(F7=G7,"PASS","FAIL")</x:f>
        <x:v>PASS</x:v>
      </x:c>
      <x:c r="I7" t="n">
        <x:v>3</x:v>
      </x:c>
      <x:c r="J7" t="n">
        <x:f>COUNTIFS('Source Audit'!$A:$A,A7,'Source Audit'!$P:$P,"PASS")</x:f>
        <x:v>3</x:v>
      </x:c>
      <x:c r="K7" t="str">
        <x:f>IF(AND(H7="PASS",J7=I7),"PASS","FAIL")</x:f>
        <x:v>PASS</x:v>
      </x:c>
    </x:row>
    <x:row r="8">
      <x:c r="A8" t="str">
        <x:v>2017-11-14</x:v>
      </x:c>
      <x:c r="B8" t="str">
        <x:v>TJX</x:v>
      </x:c>
      <x:c r="C8" s="20" t="n">
        <x:v>-3.73</x:v>
      </x:c>
      <x:c r="D8" s="20" t="n">
        <x:v>2.1</x:v>
      </x:c>
      <x:c r="E8" t="str">
        <x:v>ret_1day_pct</x:v>
      </x:c>
      <x:c r="F8" t="str">
        <x:f>IF(C8&gt;0.1,"UP",IF(C8&lt;-0.1,"DOWN","FLAT"))</x:f>
        <x:v>DOWN</x:v>
      </x:c>
      <x:c r="G8" t="str">
        <x:v>DOWN</x:v>
      </x:c>
      <x:c r="H8" t="str">
        <x:f>IF(F8=G8,"PASS","FAIL")</x:f>
        <x:v>PASS</x:v>
      </x:c>
      <x:c r="I8" t="n">
        <x:v>3</x:v>
      </x:c>
      <x:c r="J8" t="n">
        <x:f>COUNTIFS('Source Audit'!$A:$A,A8,'Source Audit'!$P:$P,"PASS")</x:f>
        <x:v>3</x:v>
      </x:c>
      <x:c r="K8" t="str">
        <x:f>IF(AND(H8="PASS",J8=I8),"PASS","FAIL")</x:f>
        <x:v>PASS</x:v>
      </x:c>
    </x:row>
    <x:row r="9">
      <x:c r="A9" t="str">
        <x:v>2018-02-28</x:v>
      </x:c>
      <x:c r="B9" t="str">
        <x:v>TJX</x:v>
      </x:c>
      <x:c r="C9" s="20" t="n">
        <x:v>8.05</x:v>
      </x:c>
      <x:c r="D9" s="20" t="n">
        <x:v>1.27</x:v>
      </x:c>
      <x:c r="E9" t="str">
        <x:v>ret_1day_pct</x:v>
      </x:c>
      <x:c r="F9" t="str">
        <x:f>IF(C9&gt;0.1,"UP",IF(C9&lt;-0.1,"DOWN","FLAT"))</x:f>
        <x:v>UP</x:v>
      </x:c>
      <x:c r="G9" t="str">
        <x:v>UP</x:v>
      </x:c>
      <x:c r="H9" t="str">
        <x:f>IF(F9=G9,"PASS","FAIL")</x:f>
        <x:v>PASS</x:v>
      </x:c>
      <x:c r="I9" t="n">
        <x:v>3</x:v>
      </x:c>
      <x:c r="J9" t="n">
        <x:f>COUNTIFS('Source Audit'!$A:$A,A9,'Source Audit'!$P:$P,"PASS")</x:f>
        <x:v>3</x:v>
      </x:c>
      <x:c r="K9" t="str">
        <x:f>IF(AND(H9="PASS",J9=I9),"PASS","FAIL")</x:f>
        <x:v>PASS</x:v>
      </x:c>
    </x:row>
    <x:row r="10">
      <x:c r="A10" t="str">
        <x:v>2018-05-22</x:v>
      </x:c>
      <x:c r="B10" t="str">
        <x:v>TJX</x:v>
      </x:c>
      <x:c r="C10" s="20" t="n">
        <x:v>3.59</x:v>
      </x:c>
      <x:c r="D10" s="20" t="n">
        <x:v>0.27</x:v>
      </x:c>
      <x:c r="E10" t="str">
        <x:v>ret_1day_pct</x:v>
      </x:c>
      <x:c r="F10" t="str">
        <x:f>IF(C10&gt;0.1,"UP",IF(C10&lt;-0.1,"DOWN","FLAT"))</x:f>
        <x:v>UP</x:v>
      </x:c>
      <x:c r="G10" t="str">
        <x:v>UP</x:v>
      </x:c>
      <x:c r="H10" t="str">
        <x:f>IF(F10=G10,"PASS","FAIL")</x:f>
        <x:v>PASS</x:v>
      </x:c>
      <x:c r="I10" t="n">
        <x:v>3</x:v>
      </x:c>
      <x:c r="J10" t="n">
        <x:f>COUNTIFS('Source Audit'!$A:$A,A10,'Source Audit'!$P:$P,"PASS")</x:f>
        <x:v>3</x:v>
      </x:c>
      <x:c r="K10" t="str">
        <x:f>IF(AND(H10="PASS",J10=I10),"PASS","FAIL")</x:f>
        <x:v>PASS</x:v>
      </x:c>
    </x:row>
    <x:row r="11">
      <x:c r="A11" t="str">
        <x:v>2018-08-21</x:v>
      </x:c>
      <x:c r="B11" t="str">
        <x:v>TJX</x:v>
      </x:c>
      <x:c r="C11" s="20" t="n">
        <x:v>4.42</x:v>
      </x:c>
      <x:c r="D11" s="20" t="n">
        <x:v>-0.73</x:v>
      </x:c>
      <x:c r="E11" t="str">
        <x:v>ret_1day_pct</x:v>
      </x:c>
      <x:c r="F11" t="str">
        <x:f>IF(C11&gt;0.1,"UP",IF(C11&lt;-0.1,"DOWN","FLAT"))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TJX rebuilt from scratch under the corrected verification protocol.</x:v>
      </x:c>
    </x:row>
    <x:row r="3">
      <x:c r="A3" s="12" t="str">
        <x:v>Identity source</x:v>
      </x:c>
      <x:c r="B3" s="12" t="str">
        <x:v>Ticker/company, exact earnings dates and return fields come from group_observations.csv.</x:v>
      </x:c>
    </x:row>
    <x:row r="4">
      <x:c r="A4" s="12" t="str">
        <x:v>Reaction basis</x:v>
      </x:c>
      <x:c r="B4" s="12" t="str">
        <x:v>TJX released the sampled earnings before the market open; ret_1day_pct is therefore the primary earnings-reaction field.</x:v>
      </x:c>
    </x:row>
    <x:row r="5">
      <x:c r="A5" s="12" t="str">
        <x:v>Narrative</x:v>
      </x:c>
      <x:c r="B5" s="12" t="str">
        <x:v>Short Prior Context, detailed Current Earnings Release, and three concise event-specific Possible Drivers.</x:v>
      </x:c>
    </x:row>
    <x:row r="6">
      <x:c r="A6" s="12" t="str">
        <x:v>Sources</x:v>
      </x:c>
      <x:c r="B6" s="12" t="str">
        <x:v>TJX Investor Relations anchors factual results. Each event has a contemporaneous open reaction source; a current preview is used as prior context when the preceding quarter falls outside the -100 day window.</x:v>
      </x:c>
    </x:row>
    <x:row r="7">
      <x:c r="A7" s="12" t="str">
        <x:v>Timing</x:v>
      </x:c>
      <x:c r="B7" s="12" t="str">
        <x:v>Prior = -100..-1 days; release = day 0; reaction = day 0..+3.</x:v>
      </x:c>
    </x:row>
    <x:row r="8">
      <x:c r="A8" s="12" t="str">
        <x:v>Restrictions</x:v>
      </x:c>
      <x:c r="B8" s="12" t="str">
        <x:v>No WSJ, Reuters, Dow Jones or MarketWatch-syndicated article is included. Reuters-authored Fortune coverage was rejected and replaced.</x:v>
      </x:c>
    </x:row>
    <x:row r="9">
      <x:c r="A9" s="12" t="str">
        <x:v>Causal discipline</x:v>
      </x:c>
      <x:c r="B9" s="12" t="str">
        <x:v>If verified coverage does not explain the closing move, the narrative says so. No driver is invented solely because the stock moved.</x:v>
      </x:c>
    </x:row>
    <x:row r="10">
      <x:c r="A10" s="12" t="str">
        <x:v>QA</x:v>
      </x:c>
      <x:c r="B10" s="12" t="str">
        <x:v>Event QA mechanically recomputes direction from ret_1day_pct and checks each event's exact PASS source count.</x:v>
      </x:c>
    </x:row>
  </x:sheetData>
  <x:pageMargins left="0.7" right="0.7" top="0.75" bottom="0.75" header="0.3" footer="0.3"/>
</x:worksheet>
</file>