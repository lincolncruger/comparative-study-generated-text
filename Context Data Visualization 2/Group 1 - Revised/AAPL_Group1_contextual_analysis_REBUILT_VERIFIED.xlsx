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0eb3d9645d4b85" /></Relationships>
</file>

<file path=xl/workbook.xml><?xml version="1.0" encoding="utf-8"?>
<x:workbook xmlns:x="http://schemas.openxmlformats.org/spreadsheetml/2006/main">
  <x:sheets>
    <x:sheet xmlns:r="http://schemas.openxmlformats.org/officeDocument/2006/relationships" name="AAPL" sheetId="1" r:id="R98130ed8e17d4d7a"/>
    <x:sheet xmlns:r="http://schemas.openxmlformats.org/officeDocument/2006/relationships" name="Source Audit" sheetId="2" r:id="Rcd51d03c36a446b3"/>
    <x:sheet xmlns:r="http://schemas.openxmlformats.org/officeDocument/2006/relationships" name="Event QA" sheetId="3" r:id="R9b18c8e52932415a"/>
    <x:sheet xmlns:r="http://schemas.openxmlformats.org/officeDocument/2006/relationships" name="Methodology" sheetId="4" r:id="R64003bd4c72e48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063749c1b948c3" /><Relationship Type="http://schemas.openxmlformats.org/officeDocument/2006/relationships/theme" Target="/xl/theme/theme1.xml" Id="Rca1b787a0b644da8" /><Relationship Type="http://schemas.openxmlformats.org/officeDocument/2006/relationships/sharedStrings" Target="/xl/sharedStrings.xml" Id="R14b6902554024a32" /><Relationship Type="http://schemas.openxmlformats.org/officeDocument/2006/relationships/worksheet" Target="/xl/worksheets/sheet1.xml" Id="R98130ed8e17d4d7a" /><Relationship Type="http://schemas.openxmlformats.org/officeDocument/2006/relationships/worksheet" Target="/xl/worksheets/sheet2.xml" Id="Rcd51d03c36a446b3" /><Relationship Type="http://schemas.openxmlformats.org/officeDocument/2006/relationships/worksheet" Target="/xl/worksheets/sheet3.xml" Id="R9b18c8e52932415a" /><Relationship Type="http://schemas.openxmlformats.org/officeDocument/2006/relationships/worksheet" Target="/xl/worksheets/sheet4.xml" Id="R64003bd4c72e48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6"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2" hidden="0" customWidth="1"/>
    <x:col min="15" max="15" width="62" hidden="0" customWidth="1"/>
    <x:col min="16" max="16" width="62" hidden="0" customWidth="1"/>
    <x:col min="17" max="17" width="76"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AAPL</x:v>
      </x:c>
      <x:c r="C2" s="15" t="str">
        <x:v>Apple</x:v>
      </x:c>
      <x:c r="D2" s="15" t="str">
        <x:v>2016q2</x:v>
      </x:c>
      <x:c r="E2" s="15" t="str">
        <x:v>2016-04-26</x:v>
      </x:c>
      <x:c r="F2" s="18" t="n">
        <x:v>-1.03</x:v>
      </x:c>
      <x:c r="G2" s="18" t="n">
        <x:v>-6.52</x:v>
      </x:c>
      <x:c r="H2" s="18" t="n">
        <x:v>-7.49</x:v>
      </x:c>
      <x:c r="I2" s="18" t="n">
        <x:v>-7.75</x:v>
      </x:c>
      <x:c r="J2" s="18" t="n">
        <x:v>-10.42</x:v>
      </x:c>
      <x:c r="K2" s="15" t="str">
        <x:v>ret_1daypost_pct</x:v>
      </x:c>
      <x:c r="L2" s="15" t="str">
        <x:v>DOWN</x:v>
      </x:c>
      <x:c r="M2" s="15" t="str">
        <x:v>## Prior Context
The January quarter had still produced record revenue and EPS, but Apple’s own guidance already pointed to a sharp slowdown. The central issue going into April was whether the iPhone 6s cycle had peaked and whether Services could meaningfully cushion a hardware contraction.
### Verified prior source
2016-01-26 | Apple | Apple Reports Record First Quarter Results | https://www...
## Current Earnings Release
Apple reported fiscal Q2 revenue of **$50.6 billion**, down from $58.0 billion a year earlier, and diluted EPS of **$1.90**. Both were below contemporaneous expectations of roughly $52 billion of revenue and $2.00 EPS. The deterioration was broadest in the iPhone business: unit sales fell sharply year over year, making this Apple’s first year-over-year quarterly revenue decline in many years.
The more important information was the **forward guide**. Apple projected fiscal Q3 revenue of only **$41–$43 billion**, confirming that the slowdown would continue rather than end with Q2. Services remained a structural positive, but at this stage it was too small to offset the scale of the iPhone contraction. The release therefore changed the market’s view from “temporary product-cycle softness” toward a more extended revenue reset.
### Verified release source
2016-04-26 | Apple | Apple Reports Second Quarter Results | https://www.apple...
## Possible Drivers
**First-order driver.** The stock fell sharply because Apple missed revenue/EPS expectations and issued a much weaker Q3 revenue guide.
**Second-order driver.** iPhone weakness was no longer just sequential; the year-over-year decline suggested the 6s cycle had materially peaked.
**Third-order driver.** Services growth helped the long-term story, but it was not yet large enough to offset the hardware slowdown.
### Verified reaction source
2016-04-26 | TechCrunch | Why Apple’s stock fell off a cliff today | https://...
## Verification Status
All included pages were opened and checked for Apple/AAPL identity, the correct earnings event, publication date, timing window, and source-origin restrictions. No Reuters, Dow Jones, WSJ, or MarketWatch-syndicated article is included. Attribution strength: **EXPLICIT**.
</x:v>
      </x:c>
      <x:c r="N2" s="15" t="str">
        <x:v>2016-01-26 | Apple | Apple Reports Record First Quarter Results | https://www.apple.com/ca/newsroom/2016/01/26Apple-Reports-Record-First-Quarter-Results/</x:v>
      </x:c>
      <x:c r="O2" s="15" t="str">
        <x:v>2016-04-26 | Apple | Apple Reports Second Quarter Results | https://www.apple.com/ca/newsroom/2016/04/26Apple-Reports-Second-Quarter-Results/</x:v>
      </x:c>
      <x:c r="P2" s="15" t="str">
        <x:v>2016-04-26 | TechCrunch | Why Apple’s stock fell off a cliff today | https://techcrunch.com/2016/04/26/why-apples-stock-fell-off-a-cliff-today/</x:v>
      </x:c>
      <x:c r="Q2" s="15" t="str">
        <x:v>2016-01-26 | Apple | Apple Reports Record First Quarter Results | https://www.apple.com/ca/newsroom/2016/01/26Apple-Reports-Record-First-Quarter-Results/
2016-04-26 | Apple | Apple Reports Second Quarter Results | https://www.apple.com/ca/newsroom/2016/04/26Apple-Reports-Second-Quarter-Results/
2016-04-26 | TechCrunch | Why Apple’s stock fell off a cliff today | https://techcrunch.com/2016/04/26/why-apples-stock-fell-off-a-cliff-today/</x:v>
      </x:c>
      <x:c r="R2" s="15" t="n">
        <x:v>3</x:v>
      </x:c>
      <x:c r="S2" s="15" t="str">
        <x:v>PASS</x:v>
      </x:c>
    </x:row>
    <x:row r="3" ht="340" customHeight="1">
      <x:c r="A3" s="15" t="n">
        <x:v>1</x:v>
      </x:c>
      <x:c r="B3" s="15" t="str">
        <x:v>AAPL</x:v>
      </x:c>
      <x:c r="C3" s="15" t="str">
        <x:v>Apple</x:v>
      </x:c>
      <x:c r="D3" s="15" t="str">
        <x:v>2016q3</x:v>
      </x:c>
      <x:c r="E3" s="15" t="str">
        <x:v>2016-07-26</x:v>
      </x:c>
      <x:c r="F3" s="18" t="n">
        <x:v>-0.85</x:v>
      </x:c>
      <x:c r="G3" s="18" t="n">
        <x:v>6.62</x:v>
      </x:c>
      <x:c r="H3" s="18" t="n">
        <x:v>5.71</x:v>
      </x:c>
      <x:c r="I3" s="18" t="n">
        <x:v>4.63</x:v>
      </x:c>
      <x:c r="J3" s="18" t="n">
        <x:v>5.46</x:v>
      </x:c>
      <x:c r="K3" s="15" t="str">
        <x:v>ret_1daypost_pct</x:v>
      </x:c>
      <x:c r="L3" s="15" t="str">
        <x:v>UP</x:v>
      </x:c>
      <x:c r="M3" s="15" t="str">
        <x:v>## Prior Context
After the April collapse, expectations had reset materially lower. Apple had guided Q3 revenue to $41–$43 billion, so the July quarter was mainly a test of whether the iPhone decline was stabilizing and whether Services could soften the downturn.
### Verified prior source
2016-04-26 | Apple | Apple Reports Second Quarter Results | https://www.apple...
## Current Earnings Release
Apple reported fiscal Q3 revenue of **$42.4 billion** and EPS of **$1.42**. Revenue remained below the prior-year level, but it landed inside Apple’s guidance range and ahead of the market’s very depressed expectations. Management explicitly said demand and business performance were stronger than it had anticipated at the start of the quarter.
The mix also improved. **Services revenue grew 19%**, while the lower-priced iPhone SE helped support unit demand. The quarter did not mark a return to iPhone growth, but it showed that the contraction was less severe than feared. That distinction mattered because the market had already priced in a much deeper deterioration after April.
### Verified release source
2016-07-26 | Apple | Apple Reports Third Quarter Results | https://www.apple....
## Possible Drivers
**First-order driver.** Results were better than feared, producing a strong positive repricing after the April reset.
**Second-order driver.** iPhone SE demand reduced the severity of the unit decline.
**Third-order driver.** Services growth strengthened the case that Apple’s installed base could support earnings even during a hardware down-cycle.
### Verified reaction source
2016-07-27 | The Motley Fool | Apple Outperforms Expectations on Strong iPhon...
## Verification Status
All included pages were opened and checked for Apple/AAPL identity, the correct earnings event, publication date, timing window, and source-origin restrictions. No Reuters, Dow Jones, WSJ, or MarketWatch-syndicated article is included. Attribution strength: **EXPLICIT**.
</x:v>
      </x:c>
      <x:c r="N3" s="15" t="str">
        <x:v>2016-04-26 | Apple | Apple Reports Second Quarter Results | https://www.apple.com/ca/newsroom/2016/04/26Apple-Reports-Second-Quarter-Results/</x:v>
      </x:c>
      <x:c r="O3" s="15" t="str">
        <x:v>2016-07-26 | Apple | Apple Reports Third Quarter Results | https://www.apple.com/ca/newsroom/2016/07/apple-reports-third-quarter-results/</x:v>
      </x:c>
      <x:c r="P3" s="15" t="str">
        <x:v>2016-07-27 | The Motley Fool | Apple Outperforms Expectations on Strong iPhone SE Sales | https://www.fool.com/investing/2016/07/27/apple-outperforms-expectations-on-strong-iphone-se.aspx</x:v>
      </x:c>
      <x:c r="Q3" s="15" t="str">
        <x:v>2016-04-26 | Apple | Apple Reports Second Quarter Results | https://www.apple.com/ca/newsroom/2016/04/26Apple-Reports-Second-Quarter-Results/
2016-07-26 | Apple | Apple Reports Third Quarter Results | https://www.apple.com/ca/newsroom/2016/07/apple-reports-third-quarter-results/
2016-07-27 | The Motley Fool | Apple Outperforms Expectations on Strong iPhone SE Sales | https://www.fool.com/investing/2016/07/27/apple-outperforms-expectations-on-strong-iphone-se.aspx</x:v>
      </x:c>
      <x:c r="R3" s="15" t="n">
        <x:v>3</x:v>
      </x:c>
      <x:c r="S3" s="15" t="str">
        <x:v>PASS</x:v>
      </x:c>
    </x:row>
    <x:row r="4" ht="340" customHeight="1">
      <x:c r="A4" s="15" t="n">
        <x:v>2</x:v>
      </x:c>
      <x:c r="B4" s="15" t="str">
        <x:v>AAPL</x:v>
      </x:c>
      <x:c r="C4" s="15" t="str">
        <x:v>Apple</x:v>
      </x:c>
      <x:c r="D4" s="15" t="str">
        <x:v>2016q4</x:v>
      </x:c>
      <x:c r="E4" s="15" t="str">
        <x:v>2016-10-25</x:v>
      </x:c>
      <x:c r="F4" s="18" t="n">
        <x:v>0.95</x:v>
      </x:c>
      <x:c r="G4" s="18" t="n">
        <x:v>-1.97</x:v>
      </x:c>
      <x:c r="H4" s="18" t="n">
        <x:v>-1.04</x:v>
      </x:c>
      <x:c r="I4" s="18" t="n">
        <x:v>-0.59</x:v>
      </x:c>
      <x:c r="J4" s="18" t="n">
        <x:v>-1.55</x:v>
      </x:c>
      <x:c r="K4" s="15" t="str">
        <x:v>ret_1daypost_pct</x:v>
      </x:c>
      <x:c r="L4" s="15" t="str">
        <x:v>DOWN</x:v>
      </x:c>
      <x:c r="M4" s="15" t="str">
        <x:v>## Prior Context
The July quarter showed that Apple could beat a very low expectations bar. By October, attention had shifted to the iPhone 7 launch and whether the holiday quarter would finally return the company to year-over-year revenue growth.
### Verified prior source
2016-07-26 | Apple | Apple Reports Third Quarter Results | https://www.apple....
## Current Earnings Release
Fiscal Q4 revenue was **$46.9 billion** and EPS **$1.67**. iPhone shipments were **45.5 million**, down from 48.0 million a year earlier, while Services revenue increased **24%** to a record $6.3 billion. The quarter therefore still reflected declining hardware volume but a rapidly expanding recurring-services base.
Apple’s holiday-quarter revenue guidance of **$76–$78 billion** was important because it implied a return to year-over-year growth. However, gross-margin guidance was softer than investors wanted, limiting the earnings leverage associated with that revenue recovery. The result was therefore better on top-line trajectory than on expected profitability.
### Verified release source
2016-10-25 | Apple | Apple Reports Fourth Quarter Results | https://www.apple...
## Possible Drivers
**First-order driver.** Shares fell because the margin outlook disappointed despite guidance for renewed revenue growth.
**Second-order driver.** iPhone units were still declining year over year, so the hardware recovery remained incomplete.
**Third-order driver.** Record Services growth improved the mix, but not enough to overcome near-term margin concerns.
### Verified reaction source
2016-10-26 | The Motley Fool | What Happened in the Stock Market Today | http...
## Verification Status
All included pages were opened and checked for Apple/AAPL identity, the correct earnings event, publication date, timing window, and source-origin restrictions. No Reuters, Dow Jones, WSJ, or MarketWatch-syndicated article is included. Attribution strength: **EXPLICIT**.
</x:v>
      </x:c>
      <x:c r="N4" s="15" t="str">
        <x:v>2016-07-26 | Apple | Apple Reports Third Quarter Results | https://www.apple.com/ca/newsroom/2016/07/apple-reports-third-quarter-results/</x:v>
      </x:c>
      <x:c r="O4" s="15" t="str">
        <x:v>2016-10-25 | Apple | Apple Reports Fourth Quarter Results | https://www.apple.com/newsroom/2016/10/apple-reports-fourth-quarter-results/</x:v>
      </x:c>
      <x:c r="P4" s="15" t="str">
        <x:v>2016-10-26 | The Motley Fool | What Happened in the Stock Market Today | https://www.fool.com/investing/2016/10/26/what-happened-in-the-stock-market-today.aspx</x:v>
      </x:c>
      <x:c r="Q4" s="15" t="str">
        <x:v>2016-07-26 | Apple | Apple Reports Third Quarter Results | https://www.apple.com/ca/newsroom/2016/07/apple-reports-third-quarter-results/
2016-10-25 | Apple | Apple Reports Fourth Quarter Results | https://www.apple.com/newsroom/2016/10/apple-reports-fourth-quarter-results/
2016-10-26 | The Motley Fool | What Happened in the Stock Market Today | https://www.fool.com/investing/2016/10/26/what-happened-in-the-stock-market-today.aspx</x:v>
      </x:c>
      <x:c r="R4" s="15" t="n">
        <x:v>3</x:v>
      </x:c>
      <x:c r="S4" s="15" t="str">
        <x:v>PASS</x:v>
      </x:c>
    </x:row>
    <x:row r="5" ht="340" customHeight="1">
      <x:c r="A5" s="15" t="n">
        <x:v>3</x:v>
      </x:c>
      <x:c r="B5" s="15" t="str">
        <x:v>AAPL</x:v>
      </x:c>
      <x:c r="C5" s="15" t="str">
        <x:v>Apple</x:v>
      </x:c>
      <x:c r="D5" s="15" t="str">
        <x:v>2017q1</x:v>
      </x:c>
      <x:c r="E5" s="15" t="str">
        <x:v>2017-01-31</x:v>
      </x:c>
      <x:c r="F5" s="18" t="n">
        <x:v>-0.31</x:v>
      </x:c>
      <x:c r="G5" s="18" t="n">
        <x:v>6.07</x:v>
      </x:c>
      <x:c r="H5" s="18" t="n">
        <x:v>5.74</x:v>
      </x:c>
      <x:c r="I5" s="18" t="n">
        <x:v>6.21</x:v>
      </x:c>
      <x:c r="J5" s="18" t="n">
        <x:v>5.59</x:v>
      </x:c>
      <x:c r="K5" s="15" t="str">
        <x:v>ret_1daypost_pct</x:v>
      </x:c>
      <x:c r="L5" s="15" t="str">
        <x:v>UP</x:v>
      </x:c>
      <x:c r="M5" s="15" t="str">
        <x:v>## Prior Context
Apple entered the holiday quarter expecting its first return to year-over-year revenue growth after three declining quarters. The key question was whether the iPhone 7/7 Plus cycle could create a real growth inflection.
### Verified prior source
2016-10-25 | Apple | Apple Reports Fourth Quarter Results | https://www.apple...
## Current Earnings Release
Apple delivered a record fiscal Q1 with **$78.4 billion of revenue** and **$3.36 of EPS**, both above contemporaneous consensus. iPhone shipments reached a record **78.3 million units**, also ahead of expectations. Services, Mac and Apple Watch revenue all reached new highs.
The important qualitative change was that Apple had returned to growth while also improving product mix. Strong demand for higher-priced Plus models supported revenue even without an extraordinary unit-growth cycle. The one caution was the following quarter’s revenue guidance, which was slightly below consensus, but the market treated the holiday-quarter beat as the dominant information.
### Verified release source
2017-01-31 | Apple | Apple Reports Record First Quarter Results | https://www...
## Possible Drivers
**First-order driver.** The stock rose on a broad revenue, EPS and iPhone-unit beat.
**Second-order driver.** Higher-end iPhone mix strengthened revenue quality and average selling prices.
**Third-order driver.** Record Services revenue reinforced the shift toward recurring installed-base monetization.
### Verified reaction source
2017-01-31 | TechCrunch | Apple shares up 3% after company beats earnings exp...
## Verification Status
All included pages were opened and checked for Apple/AAPL identity, the correct earnings event, publication date, timing window, and source-origin restrictions. No Reuters, Dow Jones, WSJ, or MarketWatch-syndicated article is included. Attribution strength: **EXPLICIT**.
</x:v>
      </x:c>
      <x:c r="N5" s="15" t="str">
        <x:v>2016-10-25 | Apple | Apple Reports Fourth Quarter Results | https://www.apple.com/newsroom/2016/10/apple-reports-fourth-quarter-results/</x:v>
      </x:c>
      <x:c r="O5" s="15" t="str">
        <x:v>2017-01-31 | Apple | Apple Reports Record First Quarter Results | https://www.apple.com/ca/newsroom/2017/01/apple-reports-record-first-quarter-results/</x:v>
      </x:c>
      <x:c r="P5" s="15" t="str">
        <x:v>2017-01-31 | TechCrunch | Apple shares up 3% after company beats earnings expectations | https://techcrunch.com/2017/01/31/apple-shares-up-3-after-company-beats-earnings-expectations/</x:v>
      </x:c>
      <x:c r="Q5" s="15" t="str">
        <x:v>2016-10-25 | Apple | Apple Reports Fourth Quarter Results | https://www.apple.com/newsroom/2016/10/apple-reports-fourth-quarter-results/
2017-01-31 | Apple | Apple Reports Record First Quarter Results | https://www.apple.com/ca/newsroom/2017/01/apple-reports-record-first-quarter-results/
2017-01-31 | TechCrunch | Apple shares up 3% after company beats earnings expectations | https://techcrunch.com/2017/01/31/apple-shares-up-3-after-company-beats-earnings-expectations/</x:v>
      </x:c>
      <x:c r="R5" s="15" t="n">
        <x:v>3</x:v>
      </x:c>
      <x:c r="S5" s="15" t="str">
        <x:v>PASS</x:v>
      </x:c>
    </x:row>
    <x:row r="6" ht="340" customHeight="1">
      <x:c r="A6" s="15" t="n">
        <x:v>4</x:v>
      </x:c>
      <x:c r="B6" s="15" t="str">
        <x:v>AAPL</x:v>
      </x:c>
      <x:c r="C6" s="15" t="str">
        <x:v>Apple</x:v>
      </x:c>
      <x:c r="D6" s="15" t="str">
        <x:v>2017q2</x:v>
      </x:c>
      <x:c r="E6" s="15" t="str">
        <x:v>2017-05-02</x:v>
      </x:c>
      <x:c r="F6" s="18" t="n">
        <x:v>0.61</x:v>
      </x:c>
      <x:c r="G6" s="18" t="n">
        <x:v>-0.05</x:v>
      </x:c>
      <x:c r="H6" s="18" t="n">
        <x:v>0.56</x:v>
      </x:c>
      <x:c r="I6" s="18" t="n">
        <x:v>2.41</x:v>
      </x:c>
      <x:c r="J6" s="18" t="n">
        <x:v>3.22</x:v>
      </x:c>
      <x:c r="K6" s="15" t="str">
        <x:v>ret_1daypost_pct</x:v>
      </x:c>
      <x:c r="L6" s="15" t="str">
        <x:v>FLAT</x:v>
      </x:c>
      <x:c r="M6" s="15" t="str">
        <x:v>## Prior Context
Following the record holiday quarter, Apple shares had rallied strongly. Expectations were increasingly influenced by anticipation of the next flagship iPhone, creating a risk that customers would delay upgrades.
### Verified prior source
2017-01-31 | Apple | Apple Reports Record First Quarter Results | https://www...
## Current Earnings Release
Fiscal Q2 revenue was **$52.9 billion** and EPS **$2.10**. EPS exceeded consensus, but revenue was roughly in line to slightly below expectations and iPhone shipments of **50.8 million** were below the approximately 51.4 million expected. The weakness was consistent with some customers delaying purchases ahead of the next major iPhone launch.
Services remained the strongest structural component, and Apple expanded its capital-return authorization to **$300 billion**. The quarter therefore combined a modest iPhone disappointment with strong recurring revenue and shareholder returns. That explains why the first full post-release session was essentially flat rather than a meaningful selloff.
### Verified release source
2017-05-02 | Apple | Apple Reports Second Quarter Results | https://www.apple...
## Possible Drivers
**First-order driver.** The reaction was essentially flat: a small iPhone/revenue miss was offset by solid EPS and strong capital returns.
**Second-order driver.** Upgrade deferral ahead of the next iPhone likely weighed on unit demand.
**Third-order driver.** Services growth and the larger capital-return program limited the downside.
### Verified reaction source
2017-05-02 | TechCrunch | Apple hits a speed bump in Q2 after its stock soare...
## Verification Status
All included pages were opened and checked for Apple/AAPL identity, the correct earnings event, publication date, timing window, and source-origin restrictions. No Reuters, Dow Jones, WSJ, or MarketWatch-syndicated article is included. Attribution strength: **EXPLICIT_IMMEDIATE / FLAT_NEXT_DAY**.
</x:v>
      </x:c>
      <x:c r="N6" s="15" t="str">
        <x:v>2017-01-31 | Apple | Apple Reports Record First Quarter Results | https://www.apple.com/ca/newsroom/2017/01/apple-reports-record-first-quarter-results/</x:v>
      </x:c>
      <x:c r="O6" s="15" t="str">
        <x:v>2017-05-02 | Apple | Apple Reports Second Quarter Results | https://www.apple.com/ca/newsroom/2017/05/apple-reports-second-quarter-results/</x:v>
      </x:c>
      <x:c r="P6" s="15" t="str">
        <x:v>2017-05-02 | TechCrunch | Apple hits a speed bump in Q2 after its stock soared in the past year | https://techcrunch.com/2017/05/02/apple-hits-a-speed-bump-in-q2-after-its-stock-soared-in-the-past-year/</x:v>
      </x:c>
      <x:c r="Q6" s="15" t="str">
        <x:v>2017-01-31 | Apple | Apple Reports Record First Quarter Results | https://www.apple.com/ca/newsroom/2017/01/apple-reports-record-first-quarter-results/
2017-05-02 | Apple | Apple Reports Second Quarter Results | https://www.apple.com/ca/newsroom/2017/05/apple-reports-second-quarter-results/
2017-05-02 | TechCrunch | Apple hits a speed bump in Q2 after its stock soared in the past year | https://techcrunch.com/2017/05/02/apple-hits-a-speed-bump-in-q2-after-its-stock-soared-in-the-past-year/</x:v>
      </x:c>
      <x:c r="R6" s="15" t="n">
        <x:v>3</x:v>
      </x:c>
      <x:c r="S6" s="15" t="str">
        <x:v>PASS</x:v>
      </x:c>
    </x:row>
    <x:row r="7" ht="340" customHeight="1">
      <x:c r="A7" s="15" t="n">
        <x:v>5</x:v>
      </x:c>
      <x:c r="B7" s="15" t="str">
        <x:v>AAPL</x:v>
      </x:c>
      <x:c r="C7" s="15" t="str">
        <x:v>Apple</x:v>
      </x:c>
      <x:c r="D7" s="15" t="str">
        <x:v>2017q3</x:v>
      </x:c>
      <x:c r="E7" s="15" t="str">
        <x:v>2017-08-01</x:v>
      </x:c>
      <x:c r="F7" s="18" t="n">
        <x:v>0.65</x:v>
      </x:c>
      <x:c r="G7" s="18" t="n">
        <x:v>4.82</x:v>
      </x:c>
      <x:c r="H7" s="18" t="n">
        <x:v>5.51</x:v>
      </x:c>
      <x:c r="I7" s="18" t="n">
        <x:v>5.05</x:v>
      </x:c>
      <x:c r="J7" s="18" t="n">
        <x:v>4.57</x:v>
      </x:c>
      <x:c r="K7" s="15" t="str">
        <x:v>ret_1daypost_pct</x:v>
      </x:c>
      <x:c r="L7" s="15" t="str">
        <x:v>UP</x:v>
      </x:c>
      <x:c r="M7" s="15" t="str">
        <x:v>## Prior Context
The May quarter was stable but slightly disappointing on iPhone units. By August, investors wanted evidence that Services, iPad and installed-base monetization could keep Apple growing while customers waited for the next iPhone generation.
### Verified prior source
2017-05-02 | Apple | Apple Reports Second Quarter Results | https://www.apple...
## Current Earnings Release
Fiscal Q3 revenue increased **7% to $45.4 billion**, while EPS rose **17% to $1.67**. Both exceeded contemporaneous expectations. Services reached another quarterly record, and Apple’s broader ecosystem—rather than only iPhone units—was contributing more visibly to growth.
The most important piece was fiscal Q4 guidance of **$49–$52 billion**, whose midpoint was above consensus. That signaled accelerating revenue growth immediately before the new iPhone launch and reduced fears that upgrade deferral would create a weak bridge quarter.
### Verified release source
2017-08-01 | Apple | Apple Reports Third Quarter Results | https://www.apple....
## Possible Drivers
**First-order driver.** Shares jumped because revenue, EPS and forward guidance all beat expectations.
**Second-order driver.** Record Services revenue showed improving growth outside the iPhone.
**Third-order driver.** Strong guidance reduced concern that customers waiting for the next iPhone would materially depress near-term results.
### Verified reaction source
2017-08-02 | The Motley Fool | Why Apple, Inc. Stock Jumped on Wednesday | ht...
## Verification Status
All included pages were opened and checked for Apple/AAPL identity, the correct earnings event, publication date, timing window, and source-origin restrictions. No Reuters, Dow Jones, WSJ, or MarketWatch-syndicated article is included. Attribution strength: **EXPLICIT**.
</x:v>
      </x:c>
      <x:c r="N7" s="15" t="str">
        <x:v>2017-05-02 | Apple | Apple Reports Second Quarter Results | https://www.apple.com/ca/newsroom/2017/05/apple-reports-second-quarter-results/</x:v>
      </x:c>
      <x:c r="O7" s="15" t="str">
        <x:v>2017-08-01 | Apple | Apple Reports Third Quarter Results | https://www.apple.com/newsroom/2017/08/apple-reports-third-quarter-results/</x:v>
      </x:c>
      <x:c r="P7" s="15" t="str">
        <x:v>2017-08-02 | The Motley Fool | Why Apple, Inc. Stock Jumped on Wednesday | https://www.fool.com/investing/2017/08/02/why-apple-inc-stock-jumped-on-wednesday.aspx</x:v>
      </x:c>
      <x:c r="Q7" s="15" t="str">
        <x:v>2017-05-02 | Apple | Apple Reports Second Quarter Results | https://www.apple.com/ca/newsroom/2017/05/apple-reports-second-quarter-results/
2017-08-01 | Apple | Apple Reports Third Quarter Results | https://www.apple.com/newsroom/2017/08/apple-reports-third-quarter-results/
2017-08-02 | The Motley Fool | Why Apple, Inc. Stock Jumped on Wednesday | https://www.fool.com/investing/2017/08/02/why-apple-inc-stock-jumped-on-wednesday.aspx</x:v>
      </x:c>
      <x:c r="R7" s="15" t="n">
        <x:v>3</x:v>
      </x:c>
      <x:c r="S7" s="15" t="str">
        <x:v>PASS</x:v>
      </x:c>
    </x:row>
    <x:row r="8" ht="340" customHeight="1">
      <x:c r="A8" s="15" t="n">
        <x:v>6</x:v>
      </x:c>
      <x:c r="B8" s="15" t="str">
        <x:v>AAPL</x:v>
      </x:c>
      <x:c r="C8" s="15" t="str">
        <x:v>Apple</x:v>
      </x:c>
      <x:c r="D8" s="15" t="str">
        <x:v>2017q4</x:v>
      </x:c>
      <x:c r="E8" s="15" t="str">
        <x:v>2017-11-02</x:v>
      </x:c>
      <x:c r="F8" s="18" t="n">
        <x:v>0.7</x:v>
      </x:c>
      <x:c r="G8" s="18" t="n">
        <x:v>2.33</x:v>
      </x:c>
      <x:c r="H8" s="18" t="n">
        <x:v>3.04</x:v>
      </x:c>
      <x:c r="I8" s="18" t="n">
        <x:v>1.65</x:v>
      </x:c>
      <x:c r="J8" s="18" t="n">
        <x:v>2.99</x:v>
      </x:c>
      <x:c r="K8" s="15" t="str">
        <x:v>ret_1daypost_pct</x:v>
      </x:c>
      <x:c r="L8" s="15" t="str">
        <x:v>UP</x:v>
      </x:c>
      <x:c r="M8" s="15" t="str">
        <x:v>## Prior Context
The August quarter re-established accelerating growth. Going into November, investors were focused on whether the iPhone 8/8 Plus and imminent iPhone X could sustain that momentum despite supply constraints.
### Verified prior source
2017-08-01 | Apple | Apple Reports Third Quarter Results | https://www.apple....
## Current Earnings Release
Fiscal Q4 revenue increased **12% to $52.6 billion** and EPS rose **24% to $2.07**. Revenue grew across major product categories, while Services reached another all-time high. Importantly, the quarter was strong even though the iPhone X had not yet begun shipping.
That meant Apple entered the holiday period with momentum already in place before its highest-priced flagship reached consumers. The combination of broad-based growth, strong Services and optimism around early iPhone X demand supported a more favorable holiday-quarter earnings outlook.
### Verified release source
2017-11-02 | Apple | Apple Reports Fourth Quarter Results | https://www.apple...
## Possible Drivers
**First-order driver.** The stock rose on a broad earnings beat and confidence in the upcoming iPhone X cycle.
**Second-order driver.** Growth was not confined to one product line; Services and other hardware categories also contributed.
**Third-order driver.** Strong pre-iPhone-X results reduced concern that supply constraints would derail the holiday quarter.
### Verified reaction source
2017-11-03 | The Motley Fool | What Happened in the Stock Market Today | http...
## Verification Status
All included pages were opened and checked for Apple/AAPL identity, the correct earnings event, publication date, timing window, and source-origin restrictions. No Reuters, Dow Jones, WSJ, or MarketWatch-syndicated article is included. Attribution strength: **EXPLICIT**.
</x:v>
      </x:c>
      <x:c r="N8" s="15" t="str">
        <x:v>2017-08-01 | Apple | Apple Reports Third Quarter Results | https://www.apple.com/newsroom/2017/08/apple-reports-third-quarter-results/</x:v>
      </x:c>
      <x:c r="O8" s="15" t="str">
        <x:v>2017-11-02 | Apple | Apple Reports Fourth Quarter Results | https://www.apple.com/ca/newsroom/2017/11/apple-reports-fourth-quarter-results/</x:v>
      </x:c>
      <x:c r="P8" s="15" t="str">
        <x:v>2017-11-03 | The Motley Fool | What Happened in the Stock Market Today | https://www.fool.com/investing/2017/11/03/what-happened-in-the-stock-market-today.aspx</x:v>
      </x:c>
      <x:c r="Q8" s="15" t="str">
        <x:v>2017-08-01 | Apple | Apple Reports Third Quarter Results | https://www.apple.com/newsroom/2017/08/apple-reports-third-quarter-results/
2017-11-02 | Apple | Apple Reports Fourth Quarter Results | https://www.apple.com/ca/newsroom/2017/11/apple-reports-fourth-quarter-results/
2017-11-03 | The Motley Fool | What Happened in the Stock Market Today | https://www.fool.com/investing/2017/11/03/what-happened-in-the-stock-market-today.aspx</x:v>
      </x:c>
      <x:c r="R8" s="15" t="n">
        <x:v>3</x:v>
      </x:c>
      <x:c r="S8" s="15" t="str">
        <x:v>PASS</x:v>
      </x:c>
    </x:row>
    <x:row r="9" ht="340" customHeight="1">
      <x:c r="A9" s="15" t="n">
        <x:v>7</x:v>
      </x:c>
      <x:c r="B9" s="15" t="str">
        <x:v>AAPL</x:v>
      </x:c>
      <x:c r="C9" s="15" t="str">
        <x:v>Apple</x:v>
      </x:c>
      <x:c r="D9" s="15" t="str">
        <x:v>2018q1</x:v>
      </x:c>
      <x:c r="E9" s="15" t="str">
        <x:v>2018-02-01</x:v>
      </x:c>
      <x:c r="F9" s="18" t="n">
        <x:v>0.24</x:v>
      </x:c>
      <x:c r="G9" s="18" t="n">
        <x:v>-2.25</x:v>
      </x:c>
      <x:c r="H9" s="18" t="n">
        <x:v>-2.02</x:v>
      </x:c>
      <x:c r="I9" s="18" t="n">
        <x:v>-1.77</x:v>
      </x:c>
      <x:c r="J9" s="18" t="n">
        <x:v>2.15</x:v>
      </x:c>
      <x:c r="K9" s="15" t="str">
        <x:v>ret_1daypost_pct</x:v>
      </x:c>
      <x:c r="L9" s="15" t="str">
        <x:v>DOWN</x:v>
      </x:c>
      <x:c r="M9" s="15" t="str">
        <x:v>## Prior Context
Apple entered the holiday quarter with enormous expectations for the iPhone X. The core debate was whether the premium device would create a true unit ‘supercycle’ or mainly raise average selling prices.
### Verified prior source
2017-11-02 | Apple | Apple Reports Fourth Quarter Results | https://www.apple...
## Current Earnings Release
Apple reported record fiscal Q1 revenue of **$88.3 billion** and EPS of **$3.89**. iPhone shipments were **77.3 million**, below the roughly 80.2 million units expected, but iPhone average selling price rose sharply because of the iPhone X. Services also posted another record.
The problem was the **March-quarter outlook**. Apple guided revenue to **$60–$62 billion**, below the level many investors had expected after months of ‘supercycle’ optimism. The quarter therefore showed that Apple could generate record revenue through pricing and mix, but it weakened the thesis that the iPhone X would produce an exceptional unit upgrade cycle.
### Verified release source
2018-02-01 | Apple | Apple Reports First Quarter Results | https://www.apple....
## Possible Drivers
**First-order driver.** Shares fell because March-quarter guidance and iPhone unit demand were weaker than the supercycle expectations embedded in the stock.
**Second-order driver.** Higher iPhone ASP protected revenue despite disappointing unit volumes.
**Third-order driver.** Record Services remained positive, but it could not fully offset the forward hardware-demand reset.
### Verified reaction source
2018-02-02 | The Motley Fool | Apple Earnings: A Record Quarter With Mediocre...
## Verification Status
All included pages were opened and checked for Apple/AAPL identity, the correct earnings event, publication date, timing window, and source-origin restrictions. No Reuters, Dow Jones, WSJ, or MarketWatch-syndicated article is included. Attribution strength: **EXPLICIT**.
</x:v>
      </x:c>
      <x:c r="N9" s="15" t="str">
        <x:v>2017-11-02 | Apple | Apple Reports Fourth Quarter Results | https://www.apple.com/ca/newsroom/2017/11/apple-reports-fourth-quarter-results/</x:v>
      </x:c>
      <x:c r="O9" s="15" t="str">
        <x:v>2018-02-01 | Apple | Apple Reports First Quarter Results | https://www.apple.com/ca/newsroom/2018/02/apple-reports-first-quarter-results/</x:v>
      </x:c>
      <x:c r="P9" s="15" t="str">
        <x:v>2018-02-02 | The Motley Fool | Apple Earnings: A Record Quarter With Mediocre Guidance | https://www.fool.com/investing/2018/02/02/apple-earnings-a-record-quarter-with-mediocre-guid.aspx</x:v>
      </x:c>
      <x:c r="Q9" s="15" t="str">
        <x:v>2017-11-02 | Apple | Apple Reports Fourth Quarter Results | https://www.apple.com/ca/newsroom/2017/11/apple-reports-fourth-quarter-results/
2018-02-01 | Apple | Apple Reports First Quarter Results | https://www.apple.com/ca/newsroom/2018/02/apple-reports-first-quarter-results/
2018-02-02 | The Motley Fool | Apple Earnings: A Record Quarter With Mediocre Guidance | https://www.fool.com/investing/2018/02/02/apple-earnings-a-record-quarter-with-mediocre-guid.aspx</x:v>
      </x:c>
      <x:c r="R9" s="15" t="n">
        <x:v>3</x:v>
      </x:c>
      <x:c r="S9" s="15" t="str">
        <x:v>PASS</x:v>
      </x:c>
    </x:row>
    <x:row r="10" ht="340" customHeight="1">
      <x:c r="A10" s="15" t="n">
        <x:v>8</x:v>
      </x:c>
      <x:c r="B10" s="15" t="str">
        <x:v>AAPL</x:v>
      </x:c>
      <x:c r="C10" s="15" t="str">
        <x:v>Apple</x:v>
      </x:c>
      <x:c r="D10" s="15" t="str">
        <x:v>2018q2</x:v>
      </x:c>
      <x:c r="E10" s="15" t="str">
        <x:v>2018-05-01</x:v>
      </x:c>
      <x:c r="F10" s="18" t="n">
        <x:v>2.1</x:v>
      </x:c>
      <x:c r="G10" s="18" t="n">
        <x:v>4.97</x:v>
      </x:c>
      <x:c r="H10" s="18" t="n">
        <x:v>7.18</x:v>
      </x:c>
      <x:c r="I10" s="18" t="n">
        <x:v>9.9</x:v>
      </x:c>
      <x:c r="J10" s="18" t="n">
        <x:v>13.32</x:v>
      </x:c>
      <x:c r="K10" s="15" t="str">
        <x:v>ret_1daypost_pct</x:v>
      </x:c>
      <x:c r="L10" s="15" t="str">
        <x:v>UP</x:v>
      </x:c>
      <x:c r="M10" s="15" t="str">
        <x:v>## Prior Context
After February, investors were skeptical about iPhone X demand and feared a sharp slowdown. Tax reform also made Apple’s overseas cash more accessible, putting capital returns at the center of the thesis.
### Verified prior source
2018-02-01 | Apple | Apple Reports First Quarter Results | https://www.apple....
## Current Earnings Release
Fiscal Q2 revenue rose **16% to $61.1 billion** and EPS increased **30% to $2.73**. Apple said the iPhone X had been its best-selling iPhone every week of the quarter, directly contradicting the most bearish supply-chain narratives. Services revenue grew **31%**, providing a second major source of growth.
Apple also authorized a new **$100 billion share-repurchase program** and increased the dividend **16%**. This made the release important beyond the operating beat: it confirmed resilient premium-iPhone demand while simultaneously increasing the amount of excess cash being returned to shareholders.
### Verified release source
2018-05-01 | Apple | Apple Reports Second Quarter Results | https://www.apple...
## Possible Drivers
**First-order driver.** The stock rose sharply because revenue, EPS and guidance beat expectations and iPhone X demand proved better than feared.
**Second-order driver.** Services growth broadened the earnings story beyond handset units.
**Third-order driver.** The $100 billion buyback materially strengthened per-share earnings and capital-return expectations.
### Verified reaction source
2018-05-02 | The Motley Fool | Why Apple, Inc. Stock Popped 5% Wednesday | ht...
## Verification Status
All included pages were opened and checked for Apple/AAPL identity, the correct earnings event, publication date, timing window, and source-origin restrictions. No Reuters, Dow Jones, WSJ, or MarketWatch-syndicated article is included. Attribution strength: **EXPLICIT**.
</x:v>
      </x:c>
      <x:c r="N10" s="15" t="str">
        <x:v>2018-02-01 | Apple | Apple Reports First Quarter Results | https://www.apple.com/ca/newsroom/2018/02/apple-reports-first-quarter-results/</x:v>
      </x:c>
      <x:c r="O10" s="15" t="str">
        <x:v>2018-05-01 | Apple | Apple Reports Second Quarter Results | https://www.apple.com/ca/newsroom/2018/05/apple-reports-second-quarter-results/</x:v>
      </x:c>
      <x:c r="P10" s="15" t="str">
        <x:v>2018-05-02 | The Motley Fool | Why Apple, Inc. Stock Popped 5% Wednesday | https://www.fool.com/investing/2018/05/02/why-apple-inc-stock-popped-5-wednesday.aspx</x:v>
      </x:c>
      <x:c r="Q10" s="15" t="str">
        <x:v>2018-02-01 | Apple | Apple Reports First Quarter Results | https://www.apple.com/ca/newsroom/2018/02/apple-reports-first-quarter-results/
2018-05-01 | Apple | Apple Reports Second Quarter Results | https://www.apple.com/ca/newsroom/2018/05/apple-reports-second-quarter-results/
2018-05-02 | The Motley Fool | Why Apple, Inc. Stock Popped 5% Wednesday | https://www.fool.com/investing/2018/05/02/why-apple-inc-stock-popped-5-wednesday.aspx</x:v>
      </x:c>
      <x:c r="R10" s="15" t="n">
        <x:v>3</x:v>
      </x:c>
      <x:c r="S10" s="15" t="str">
        <x:v>PASS</x:v>
      </x:c>
    </x:row>
    <x:row r="11" ht="340" customHeight="1">
      <x:c r="A11" s="15" t="n">
        <x:v>9</x:v>
      </x:c>
      <x:c r="B11" s="15" t="str">
        <x:v>AAPL</x:v>
      </x:c>
      <x:c r="C11" s="15" t="str">
        <x:v>Apple</x:v>
      </x:c>
      <x:c r="D11" s="15" t="str">
        <x:v>2018q3</x:v>
      </x:c>
      <x:c r="E11" s="15" t="str">
        <x:v>2018-07-31</x:v>
      </x:c>
      <x:c r="F11" s="18" t="n">
        <x:v>-0.35</x:v>
      </x:c>
      <x:c r="G11" s="18" t="n">
        <x:v>6.02</x:v>
      </x:c>
      <x:c r="H11" s="18" t="n">
        <x:v>5.65</x:v>
      </x:c>
      <x:c r="I11" s="18" t="n">
        <x:v>5.64</x:v>
      </x:c>
      <x:c r="J11" s="18" t="n">
        <x:v>8.11</x:v>
      </x:c>
      <x:c r="K11" s="15" t="str">
        <x:v>ret_1daypost_pct</x:v>
      </x:c>
      <x:c r="L11" s="15" t="str">
        <x:v>UP</x:v>
      </x:c>
      <x:c r="M11" s="15" t="str">
        <x:v>## Prior Context
The May quarter had relieved iPhone X demand fears and introduced a massive new buyback. By July, the question was whether Apple could sustain double-digit growth with mature iPhone units.
### Verified prior source
2018-05-01 | Apple | Apple Reports Second Quarter Results | https://www.apple...
## Current Earnings Release
Fiscal Q3 revenue increased **17% to $53.3 billion** and EPS rose **40% to $2.34**, both above consensus. Services reached a new all-time revenue high. iPhone unit growth was limited, but higher average selling prices allowed the handset business to generate more revenue from a relatively stable unit base.
Apple also guided fiscal Q4 revenue to **$60–$62 billion**, above the then-consensus expectation. The quarter demonstrated that Apple no longer needed rapid iPhone unit growth to generate strong company-wide revenue and EPS growth: premium pricing, Services and capital returns were increasingly carrying the model.
### Verified release source
2018-07-31 | Apple | Apple Reports Third Quarter Results | https://www.apple....
## Possible Drivers
**First-order driver.** Shares jumped because revenue, EPS and forward guidance all exceeded expectations.
**Second-order driver.** Higher iPhone pricing compensated for mature unit volumes.
**Third-order driver.** Record Services growth reinforced the transition toward a more diversified earnings mix.
### Verified reaction source
2018-08-01 | The Motley Fool | Why Apple, Inc. Stock Jumped Today | https://w...
## Verification Status
All included pages were opened and checked for Apple/AAPL identity, the correct earnings event, publication date, timing window, and source-origin restrictions. No Reuters, Dow Jones, WSJ, or MarketWatch-syndicated article is included. Attribution strength: **EXPLICIT**.
</x:v>
      </x:c>
      <x:c r="N11" s="15" t="str">
        <x:v>2018-05-01 | Apple | Apple Reports Second Quarter Results | https://www.apple.com/ca/newsroom/2018/05/apple-reports-second-quarter-results/</x:v>
      </x:c>
      <x:c r="O11" s="15" t="str">
        <x:v>2018-07-31 | Apple | Apple Reports Third Quarter Results | https://www.apple.com/newsroom/2018/07/apple-reports-third-quarter-results/</x:v>
      </x:c>
      <x:c r="P11" s="15" t="str">
        <x:v>2018-08-01 | The Motley Fool | Why Apple, Inc. Stock Jumped Today | https://www.fool.com/investing/2018/08/01/why-apple-inc-stock-jumped-today.aspx</x:v>
      </x:c>
      <x:c r="Q11" s="15" t="str">
        <x:v>2018-05-01 | Apple | Apple Reports Second Quarter Results | https://www.apple.com/ca/newsroom/2018/05/apple-reports-second-quarter-results/
2018-07-31 | Apple | Apple Reports Third Quarter Results | https://www.apple.com/newsroom/2018/07/apple-reports-third-quarter-results/
2018-08-01 | The Motley Fool | Why Apple, Inc. Stock Jumped Today | https://www.fool.com/investing/2018/08/01/why-apple-inc-stock-jumped-today.aspx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2" hidden="0" customWidth="1"/>
    <x:col min="7" max="7" width="56" hidden="0" customWidth="1"/>
    <x:col min="8" max="8" width="90"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4" hidden="0" customWidth="1"/>
    <x:col min="16" max="16" width="14" hidden="0" customWidth="1"/>
    <x:col min="17" max="17" width="72"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2016-04-26</x:v>
      </x:c>
      <x:c r="B2" s="12" t="str">
        <x:v>AAPL</x:v>
      </x:c>
      <x:c r="C2" s="12" t="str">
        <x:v>prior</x:v>
      </x:c>
      <x:c r="D2" s="12" t="str">
        <x:v>2016-01-26</x:v>
      </x:c>
      <x:c r="E2" s="12" t="n">
        <x:v>-91</x:v>
      </x:c>
      <x:c r="F2" s="12" t="str">
        <x:v>Apple</x:v>
      </x:c>
      <x:c r="G2" s="12" t="str">
        <x:v>Apple Reports Record First Quarter Results</x:v>
      </x:c>
      <x:c r="H2" s="12" t="str">
        <x:v>https://www.apple.com/ca/newsroom/2016/01/26Apple-Reports-Record-First-Quarter-Results/</x:v>
      </x:c>
      <x:c r="I2" s="12" t="str">
        <x:v>OPENED_OK</x:v>
      </x:c>
      <x:c r="J2" s="12" t="str">
        <x:v>PASS</x:v>
      </x:c>
      <x:c r="K2" s="12" t="str">
        <x:v>PASS</x:v>
      </x:c>
      <x:c r="L2" s="12" t="str">
        <x:v>PASS</x:v>
      </x:c>
      <x:c r="M2" s="12" t="str">
        <x:v>NO</x:v>
      </x:c>
      <x:c r="N2" s="12" t="str">
        <x:v>PASS</x:v>
      </x:c>
      <x:c r="O2" s="12" t="str">
        <x:v>FACTUAL</x:v>
      </x:c>
      <x:c r="P2" s="12" t="str">
        <x:v>PASS</x:v>
      </x:c>
      <x:c r="Q2" s="12" t="str">
        <x:v>Page opened successfully; Apple/AAPL and the relevant earnings event/date were verified. Reaction source was checked for explicit move/driver language.</x:v>
      </x:c>
    </x:row>
    <x:row r="3">
      <x:c r="A3" s="12" t="str">
        <x:v>2016-04-26</x:v>
      </x:c>
      <x:c r="B3" s="12" t="str">
        <x:v>AAPL</x:v>
      </x:c>
      <x:c r="C3" s="12" t="str">
        <x:v>release</x:v>
      </x:c>
      <x:c r="D3" s="12" t="str">
        <x:v>2016-04-26</x:v>
      </x:c>
      <x:c r="E3" s="12" t="n">
        <x:v>0</x:v>
      </x:c>
      <x:c r="F3" s="12" t="str">
        <x:v>Apple</x:v>
      </x:c>
      <x:c r="G3" s="12" t="str">
        <x:v>Apple Reports Second Quarter Results</x:v>
      </x:c>
      <x:c r="H3" s="12" t="str">
        <x:v>https://www.apple.com/ca/newsroom/2016/04/26Apple-Reports-Second-Quarter-Results/</x:v>
      </x:c>
      <x:c r="I3" s="12" t="str">
        <x:v>OPENED_OK</x:v>
      </x:c>
      <x:c r="J3" s="12" t="str">
        <x:v>PASS</x:v>
      </x:c>
      <x:c r="K3" s="12" t="str">
        <x:v>PASS</x:v>
      </x:c>
      <x:c r="L3" s="12" t="str">
        <x:v>PASS</x:v>
      </x:c>
      <x:c r="M3" s="12" t="str">
        <x:v>NO</x:v>
      </x:c>
      <x:c r="N3" s="12" t="str">
        <x:v>PASS</x:v>
      </x:c>
      <x:c r="O3" s="12" t="str">
        <x:v>FACTUAL</x:v>
      </x:c>
      <x:c r="P3" s="12" t="str">
        <x:v>PASS</x:v>
      </x:c>
      <x:c r="Q3" s="12" t="str">
        <x:v>Page opened successfully; Apple/AAPL and the relevant earnings event/date were verified. Reaction source was checked for explicit move/driver language.</x:v>
      </x:c>
    </x:row>
    <x:row r="4">
      <x:c r="A4" s="12" t="str">
        <x:v>2016-04-26</x:v>
      </x:c>
      <x:c r="B4" s="12" t="str">
        <x:v>AAPL</x:v>
      </x:c>
      <x:c r="C4" s="12" t="str">
        <x:v>reaction</x:v>
      </x:c>
      <x:c r="D4" s="12" t="str">
        <x:v>2016-04-26</x:v>
      </x:c>
      <x:c r="E4" s="12" t="n">
        <x:v>0</x:v>
      </x:c>
      <x:c r="F4" s="12" t="str">
        <x:v>TechCrunch</x:v>
      </x:c>
      <x:c r="G4" s="12" t="str">
        <x:v>Why Apple’s stock fell off a cliff today</x:v>
      </x:c>
      <x:c r="H4" s="12" t="str">
        <x:v>https://techcrunch.com/2016/04/26/why-apples-stock-fell-off-a-cliff-today/</x:v>
      </x:c>
      <x:c r="I4" s="12" t="str">
        <x:v>OPENED_OK</x:v>
      </x:c>
      <x:c r="J4" s="12" t="str">
        <x:v>PASS</x:v>
      </x:c>
      <x:c r="K4" s="12" t="str">
        <x:v>PASS</x:v>
      </x:c>
      <x:c r="L4" s="12" t="str">
        <x:v>PASS</x:v>
      </x:c>
      <x:c r="M4" s="12" t="str">
        <x:v>NO</x:v>
      </x:c>
      <x:c r="N4" s="12" t="str">
        <x:v>PASS</x:v>
      </x:c>
      <x:c r="O4" s="12" t="str">
        <x:v>EXPLICIT</x:v>
      </x:c>
      <x:c r="P4" s="12" t="str">
        <x:v>PASS</x:v>
      </x:c>
      <x:c r="Q4" s="12" t="str">
        <x:v>Page opened successfully; Apple/AAPL and the relevant earnings event/date were verified. Reaction source was checked for explicit move/driver language.</x:v>
      </x:c>
    </x:row>
    <x:row r="5">
      <x:c r="A5" s="12" t="str">
        <x:v>2016-07-26</x:v>
      </x:c>
      <x:c r="B5" s="12" t="str">
        <x:v>AAPL</x:v>
      </x:c>
      <x:c r="C5" s="12" t="str">
        <x:v>prior</x:v>
      </x:c>
      <x:c r="D5" s="12" t="str">
        <x:v>2016-04-26</x:v>
      </x:c>
      <x:c r="E5" s="12" t="n">
        <x:v>-91</x:v>
      </x:c>
      <x:c r="F5" s="12" t="str">
        <x:v>Apple</x:v>
      </x:c>
      <x:c r="G5" s="12" t="str">
        <x:v>Apple Reports Second Quarter Results</x:v>
      </x:c>
      <x:c r="H5" s="12" t="str">
        <x:v>https://www.apple.com/ca/newsroom/2016/04/26Apple-Reports-Second-Quarter-Results/</x:v>
      </x:c>
      <x:c r="I5" s="12" t="str">
        <x:v>OPENED_OK</x:v>
      </x:c>
      <x:c r="J5" s="12" t="str">
        <x:v>PASS</x:v>
      </x:c>
      <x:c r="K5" s="12" t="str">
        <x:v>PASS</x:v>
      </x:c>
      <x:c r="L5" s="12" t="str">
        <x:v>PASS</x:v>
      </x:c>
      <x:c r="M5" s="12" t="str">
        <x:v>NO</x:v>
      </x:c>
      <x:c r="N5" s="12" t="str">
        <x:v>PASS</x:v>
      </x:c>
      <x:c r="O5" s="12" t="str">
        <x:v>FACTUAL</x:v>
      </x:c>
      <x:c r="P5" s="12" t="str">
        <x:v>PASS</x:v>
      </x:c>
      <x:c r="Q5" s="12" t="str">
        <x:v>Page opened successfully; Apple/AAPL and the relevant earnings event/date were verified. Reaction source was checked for explicit move/driver language.</x:v>
      </x:c>
    </x:row>
    <x:row r="6">
      <x:c r="A6" s="12" t="str">
        <x:v>2016-07-26</x:v>
      </x:c>
      <x:c r="B6" s="12" t="str">
        <x:v>AAPL</x:v>
      </x:c>
      <x:c r="C6" s="12" t="str">
        <x:v>release</x:v>
      </x:c>
      <x:c r="D6" s="12" t="str">
        <x:v>2016-07-26</x:v>
      </x:c>
      <x:c r="E6" s="12" t="n">
        <x:v>0</x:v>
      </x:c>
      <x:c r="F6" s="12" t="str">
        <x:v>Apple</x:v>
      </x:c>
      <x:c r="G6" s="12" t="str">
        <x:v>Apple Reports Third Quarter Results</x:v>
      </x:c>
      <x:c r="H6" s="12" t="str">
        <x:v>https://www.apple.com/ca/newsroom/2016/07/apple-reports-third-quarter-results/</x:v>
      </x:c>
      <x:c r="I6" s="12" t="str">
        <x:v>OPENED_OK</x:v>
      </x:c>
      <x:c r="J6" s="12" t="str">
        <x:v>PASS</x:v>
      </x:c>
      <x:c r="K6" s="12" t="str">
        <x:v>PASS</x:v>
      </x:c>
      <x:c r="L6" s="12" t="str">
        <x:v>PASS</x:v>
      </x:c>
      <x:c r="M6" s="12" t="str">
        <x:v>NO</x:v>
      </x:c>
      <x:c r="N6" s="12" t="str">
        <x:v>PASS</x:v>
      </x:c>
      <x:c r="O6" s="12" t="str">
        <x:v>FACTUAL</x:v>
      </x:c>
      <x:c r="P6" s="12" t="str">
        <x:v>PASS</x:v>
      </x:c>
      <x:c r="Q6" s="12" t="str">
        <x:v>Page opened successfully; Apple/AAPL and the relevant earnings event/date were verified. Reaction source was checked for explicit move/driver language.</x:v>
      </x:c>
    </x:row>
    <x:row r="7">
      <x:c r="A7" s="12" t="str">
        <x:v>2016-07-26</x:v>
      </x:c>
      <x:c r="B7" s="12" t="str">
        <x:v>AAPL</x:v>
      </x:c>
      <x:c r="C7" s="12" t="str">
        <x:v>reaction</x:v>
      </x:c>
      <x:c r="D7" s="12" t="str">
        <x:v>2016-07-27</x:v>
      </x:c>
      <x:c r="E7" s="12" t="n">
        <x:v>1</x:v>
      </x:c>
      <x:c r="F7" s="12" t="str">
        <x:v>The Motley Fool</x:v>
      </x:c>
      <x:c r="G7" s="12" t="str">
        <x:v>Apple Outperforms Expectations on Strong iPhone SE Sales</x:v>
      </x:c>
      <x:c r="H7" s="12" t="str">
        <x:v>https://www.fool.com/investing/2016/07/27/apple-outperforms-expectations-on-strong-iphone-se.aspx</x:v>
      </x:c>
      <x:c r="I7" s="12" t="str">
        <x:v>OPENED_OK</x:v>
      </x:c>
      <x:c r="J7" s="12" t="str">
        <x:v>PASS</x:v>
      </x:c>
      <x:c r="K7" s="12" t="str">
        <x:v>PASS</x:v>
      </x:c>
      <x:c r="L7" s="12" t="str">
        <x:v>PASS</x:v>
      </x:c>
      <x:c r="M7" s="12" t="str">
        <x:v>NO</x:v>
      </x:c>
      <x:c r="N7" s="12" t="str">
        <x:v>PASS</x:v>
      </x:c>
      <x:c r="O7" s="12" t="str">
        <x:v>EXPLICIT</x:v>
      </x:c>
      <x:c r="P7" s="12" t="str">
        <x:v>PASS</x:v>
      </x:c>
      <x:c r="Q7" s="12" t="str">
        <x:v>Page opened successfully; Apple/AAPL and the relevant earnings event/date were verified. Reaction source was checked for explicit move/driver language.</x:v>
      </x:c>
    </x:row>
    <x:row r="8">
      <x:c r="A8" s="12" t="str">
        <x:v>2016-10-25</x:v>
      </x:c>
      <x:c r="B8" s="12" t="str">
        <x:v>AAPL</x:v>
      </x:c>
      <x:c r="C8" s="12" t="str">
        <x:v>prior</x:v>
      </x:c>
      <x:c r="D8" s="12" t="str">
        <x:v>2016-07-26</x:v>
      </x:c>
      <x:c r="E8" s="12" t="n">
        <x:v>-91</x:v>
      </x:c>
      <x:c r="F8" s="12" t="str">
        <x:v>Apple</x:v>
      </x:c>
      <x:c r="G8" s="12" t="str">
        <x:v>Apple Reports Third Quarter Results</x:v>
      </x:c>
      <x:c r="H8" s="12" t="str">
        <x:v>https://www.apple.com/ca/newsroom/2016/07/apple-reports-third-quarter-results/</x:v>
      </x:c>
      <x:c r="I8" s="12" t="str">
        <x:v>OPENED_OK</x:v>
      </x:c>
      <x:c r="J8" s="12" t="str">
        <x:v>PASS</x:v>
      </x:c>
      <x:c r="K8" s="12" t="str">
        <x:v>PASS</x:v>
      </x:c>
      <x:c r="L8" s="12" t="str">
        <x:v>PASS</x:v>
      </x:c>
      <x:c r="M8" s="12" t="str">
        <x:v>NO</x:v>
      </x:c>
      <x:c r="N8" s="12" t="str">
        <x:v>PASS</x:v>
      </x:c>
      <x:c r="O8" s="12" t="str">
        <x:v>FACTUAL</x:v>
      </x:c>
      <x:c r="P8" s="12" t="str">
        <x:v>PASS</x:v>
      </x:c>
      <x:c r="Q8" s="12" t="str">
        <x:v>Page opened successfully; Apple/AAPL and the relevant earnings event/date were verified. Reaction source was checked for explicit move/driver language.</x:v>
      </x:c>
    </x:row>
    <x:row r="9">
      <x:c r="A9" s="12" t="str">
        <x:v>2016-10-25</x:v>
      </x:c>
      <x:c r="B9" s="12" t="str">
        <x:v>AAPL</x:v>
      </x:c>
      <x:c r="C9" s="12" t="str">
        <x:v>release</x:v>
      </x:c>
      <x:c r="D9" s="12" t="str">
        <x:v>2016-10-25</x:v>
      </x:c>
      <x:c r="E9" s="12" t="n">
        <x:v>0</x:v>
      </x:c>
      <x:c r="F9" s="12" t="str">
        <x:v>Apple</x:v>
      </x:c>
      <x:c r="G9" s="12" t="str">
        <x:v>Apple Reports Fourth Quarter Results</x:v>
      </x:c>
      <x:c r="H9" s="12" t="str">
        <x:v>https://www.apple.com/newsroom/2016/10/apple-reports-fourth-quarter-results/</x:v>
      </x:c>
      <x:c r="I9" s="12" t="str">
        <x:v>OPENED_OK</x:v>
      </x:c>
      <x:c r="J9" s="12" t="str">
        <x:v>PASS</x:v>
      </x:c>
      <x:c r="K9" s="12" t="str">
        <x:v>PASS</x:v>
      </x:c>
      <x:c r="L9" s="12" t="str">
        <x:v>PASS</x:v>
      </x:c>
      <x:c r="M9" s="12" t="str">
        <x:v>NO</x:v>
      </x:c>
      <x:c r="N9" s="12" t="str">
        <x:v>PASS</x:v>
      </x:c>
      <x:c r="O9" s="12" t="str">
        <x:v>FACTUAL</x:v>
      </x:c>
      <x:c r="P9" s="12" t="str">
        <x:v>PASS</x:v>
      </x:c>
      <x:c r="Q9" s="12" t="str">
        <x:v>Page opened successfully; Apple/AAPL and the relevant earnings event/date were verified. Reaction source was checked for explicit move/driver language.</x:v>
      </x:c>
    </x:row>
    <x:row r="10">
      <x:c r="A10" s="12" t="str">
        <x:v>2016-10-25</x:v>
      </x:c>
      <x:c r="B10" s="12" t="str">
        <x:v>AAPL</x:v>
      </x:c>
      <x:c r="C10" s="12" t="str">
        <x:v>reaction</x:v>
      </x:c>
      <x:c r="D10" s="12" t="str">
        <x:v>2016-10-26</x:v>
      </x:c>
      <x:c r="E10" s="12" t="n">
        <x:v>1</x:v>
      </x:c>
      <x:c r="F10" s="12" t="str">
        <x:v>The Motley Fool</x:v>
      </x:c>
      <x:c r="G10" s="12" t="str">
        <x:v>What Happened in the Stock Market Today</x:v>
      </x:c>
      <x:c r="H10" s="12" t="str">
        <x:v>https://www.fool.com/investing/2016/10/26/what-happened-in-the-stock-market-today.aspx</x:v>
      </x:c>
      <x:c r="I10" s="12" t="str">
        <x:v>OPENED_OK</x:v>
      </x:c>
      <x:c r="J10" s="12" t="str">
        <x:v>PASS</x:v>
      </x:c>
      <x:c r="K10" s="12" t="str">
        <x:v>PASS</x:v>
      </x:c>
      <x:c r="L10" s="12" t="str">
        <x:v>PASS</x:v>
      </x:c>
      <x:c r="M10" s="12" t="str">
        <x:v>NO</x:v>
      </x:c>
      <x:c r="N10" s="12" t="str">
        <x:v>PASS</x:v>
      </x:c>
      <x:c r="O10" s="12" t="str">
        <x:v>EXPLICIT</x:v>
      </x:c>
      <x:c r="P10" s="12" t="str">
        <x:v>PASS</x:v>
      </x:c>
      <x:c r="Q10" s="12" t="str">
        <x:v>Page opened successfully; Apple/AAPL and the relevant earnings event/date were verified. Reaction source was checked for explicit move/driver language.</x:v>
      </x:c>
    </x:row>
    <x:row r="11">
      <x:c r="A11" s="12" t="str">
        <x:v>2017-01-31</x:v>
      </x:c>
      <x:c r="B11" s="12" t="str">
        <x:v>AAPL</x:v>
      </x:c>
      <x:c r="C11" s="12" t="str">
        <x:v>prior</x:v>
      </x:c>
      <x:c r="D11" s="12" t="str">
        <x:v>2016-10-25</x:v>
      </x:c>
      <x:c r="E11" s="12" t="n">
        <x:v>-98</x:v>
      </x:c>
      <x:c r="F11" s="12" t="str">
        <x:v>Apple</x:v>
      </x:c>
      <x:c r="G11" s="12" t="str">
        <x:v>Apple Reports Fourth Quarter Results</x:v>
      </x:c>
      <x:c r="H11" s="12" t="str">
        <x:v>https://www.apple.com/newsroom/2016/10/apple-reports-fourth-quarter-results/</x:v>
      </x:c>
      <x:c r="I11" s="12" t="str">
        <x:v>OPENED_OK</x:v>
      </x:c>
      <x:c r="J11" s="12" t="str">
        <x:v>PASS</x:v>
      </x:c>
      <x:c r="K11" s="12" t="str">
        <x:v>PASS</x:v>
      </x:c>
      <x:c r="L11" s="12" t="str">
        <x:v>PASS</x:v>
      </x:c>
      <x:c r="M11" s="12" t="str">
        <x:v>NO</x:v>
      </x:c>
      <x:c r="N11" s="12" t="str">
        <x:v>PASS</x:v>
      </x:c>
      <x:c r="O11" s="12" t="str">
        <x:v>FACTUAL</x:v>
      </x:c>
      <x:c r="P11" s="12" t="str">
        <x:v>PASS</x:v>
      </x:c>
      <x:c r="Q11" s="12" t="str">
        <x:v>Page opened successfully; Apple/AAPL and the relevant earnings event/date were verified. Reaction source was checked for explicit move/driver language.</x:v>
      </x:c>
    </x:row>
    <x:row r="12">
      <x:c r="A12" s="12" t="str">
        <x:v>2017-01-31</x:v>
      </x:c>
      <x:c r="B12" s="12" t="str">
        <x:v>AAPL</x:v>
      </x:c>
      <x:c r="C12" s="12" t="str">
        <x:v>release</x:v>
      </x:c>
      <x:c r="D12" s="12" t="str">
        <x:v>2017-01-31</x:v>
      </x:c>
      <x:c r="E12" s="12" t="n">
        <x:v>0</x:v>
      </x:c>
      <x:c r="F12" s="12" t="str">
        <x:v>Apple</x:v>
      </x:c>
      <x:c r="G12" s="12" t="str">
        <x:v>Apple Reports Record First Quarter Results</x:v>
      </x:c>
      <x:c r="H12" s="12" t="str">
        <x:v>https://www.apple.com/ca/newsroom/2017/01/apple-reports-record-first-quarter-results/</x:v>
      </x:c>
      <x:c r="I12" s="12" t="str">
        <x:v>OPENED_OK</x:v>
      </x:c>
      <x:c r="J12" s="12" t="str">
        <x:v>PASS</x:v>
      </x:c>
      <x:c r="K12" s="12" t="str">
        <x:v>PASS</x:v>
      </x:c>
      <x:c r="L12" s="12" t="str">
        <x:v>PASS</x:v>
      </x:c>
      <x:c r="M12" s="12" t="str">
        <x:v>NO</x:v>
      </x:c>
      <x:c r="N12" s="12" t="str">
        <x:v>PASS</x:v>
      </x:c>
      <x:c r="O12" s="12" t="str">
        <x:v>FACTUAL</x:v>
      </x:c>
      <x:c r="P12" s="12" t="str">
        <x:v>PASS</x:v>
      </x:c>
      <x:c r="Q12" s="12" t="str">
        <x:v>Page opened successfully; Apple/AAPL and the relevant earnings event/date were verified. Reaction source was checked for explicit move/driver language.</x:v>
      </x:c>
    </x:row>
    <x:row r="13">
      <x:c r="A13" s="12" t="str">
        <x:v>2017-01-31</x:v>
      </x:c>
      <x:c r="B13" s="12" t="str">
        <x:v>AAPL</x:v>
      </x:c>
      <x:c r="C13" s="12" t="str">
        <x:v>reaction</x:v>
      </x:c>
      <x:c r="D13" s="12" t="str">
        <x:v>2017-01-31</x:v>
      </x:c>
      <x:c r="E13" s="12" t="n">
        <x:v>0</x:v>
      </x:c>
      <x:c r="F13" s="12" t="str">
        <x:v>TechCrunch</x:v>
      </x:c>
      <x:c r="G13" s="12" t="str">
        <x:v>Apple shares up 3% after company beats earnings expectations</x:v>
      </x:c>
      <x:c r="H13" s="12" t="str">
        <x:v>https://techcrunch.com/2017/01/31/apple-shares-up-3-after-company-beats-earnings-expectations/</x:v>
      </x:c>
      <x:c r="I13" s="12" t="str">
        <x:v>OPENED_OK</x:v>
      </x:c>
      <x:c r="J13" s="12" t="str">
        <x:v>PASS</x:v>
      </x:c>
      <x:c r="K13" s="12" t="str">
        <x:v>PASS</x:v>
      </x:c>
      <x:c r="L13" s="12" t="str">
        <x:v>PASS</x:v>
      </x:c>
      <x:c r="M13" s="12" t="str">
        <x:v>NO</x:v>
      </x:c>
      <x:c r="N13" s="12" t="str">
        <x:v>PASS</x:v>
      </x:c>
      <x:c r="O13" s="12" t="str">
        <x:v>EXPLICIT</x:v>
      </x:c>
      <x:c r="P13" s="12" t="str">
        <x:v>PASS</x:v>
      </x:c>
      <x:c r="Q13" s="12" t="str">
        <x:v>Page opened successfully; Apple/AAPL and the relevant earnings event/date were verified. Reaction source was checked for explicit move/driver language.</x:v>
      </x:c>
    </x:row>
    <x:row r="14">
      <x:c r="A14" s="12" t="str">
        <x:v>2017-05-02</x:v>
      </x:c>
      <x:c r="B14" s="12" t="str">
        <x:v>AAPL</x:v>
      </x:c>
      <x:c r="C14" s="12" t="str">
        <x:v>prior</x:v>
      </x:c>
      <x:c r="D14" s="12" t="str">
        <x:v>2017-01-31</x:v>
      </x:c>
      <x:c r="E14" s="12" t="n">
        <x:v>-91</x:v>
      </x:c>
      <x:c r="F14" s="12" t="str">
        <x:v>Apple</x:v>
      </x:c>
      <x:c r="G14" s="12" t="str">
        <x:v>Apple Reports Record First Quarter Results</x:v>
      </x:c>
      <x:c r="H14" s="12" t="str">
        <x:v>https://www.apple.com/ca/newsroom/2017/01/apple-reports-record-first-quarter-results/</x:v>
      </x:c>
      <x:c r="I14" s="12" t="str">
        <x:v>OPENED_OK</x:v>
      </x:c>
      <x:c r="J14" s="12" t="str">
        <x:v>PASS</x:v>
      </x:c>
      <x:c r="K14" s="12" t="str">
        <x:v>PASS</x:v>
      </x:c>
      <x:c r="L14" s="12" t="str">
        <x:v>PASS</x:v>
      </x:c>
      <x:c r="M14" s="12" t="str">
        <x:v>NO</x:v>
      </x:c>
      <x:c r="N14" s="12" t="str">
        <x:v>PASS</x:v>
      </x:c>
      <x:c r="O14" s="12" t="str">
        <x:v>FACTUAL</x:v>
      </x:c>
      <x:c r="P14" s="12" t="str">
        <x:v>PASS</x:v>
      </x:c>
      <x:c r="Q14" s="12" t="str">
        <x:v>Page opened successfully; Apple/AAPL and the relevant earnings event/date were verified. Reaction source was checked for explicit move/driver language.</x:v>
      </x:c>
    </x:row>
    <x:row r="15">
      <x:c r="A15" s="12" t="str">
        <x:v>2017-05-02</x:v>
      </x:c>
      <x:c r="B15" s="12" t="str">
        <x:v>AAPL</x:v>
      </x:c>
      <x:c r="C15" s="12" t="str">
        <x:v>release</x:v>
      </x:c>
      <x:c r="D15" s="12" t="str">
        <x:v>2017-05-02</x:v>
      </x:c>
      <x:c r="E15" s="12" t="n">
        <x:v>0</x:v>
      </x:c>
      <x:c r="F15" s="12" t="str">
        <x:v>Apple</x:v>
      </x:c>
      <x:c r="G15" s="12" t="str">
        <x:v>Apple Reports Second Quarter Results</x:v>
      </x:c>
      <x:c r="H15" s="12" t="str">
        <x:v>https://www.apple.com/ca/newsroom/2017/05/apple-reports-second-quarter-results/</x:v>
      </x:c>
      <x:c r="I15" s="12" t="str">
        <x:v>OPENED_OK</x:v>
      </x:c>
      <x:c r="J15" s="12" t="str">
        <x:v>PASS</x:v>
      </x:c>
      <x:c r="K15" s="12" t="str">
        <x:v>PASS</x:v>
      </x:c>
      <x:c r="L15" s="12" t="str">
        <x:v>PASS</x:v>
      </x:c>
      <x:c r="M15" s="12" t="str">
        <x:v>NO</x:v>
      </x:c>
      <x:c r="N15" s="12" t="str">
        <x:v>PASS</x:v>
      </x:c>
      <x:c r="O15" s="12" t="str">
        <x:v>FACTUAL</x:v>
      </x:c>
      <x:c r="P15" s="12" t="str">
        <x:v>PASS</x:v>
      </x:c>
      <x:c r="Q15" s="12" t="str">
        <x:v>Page opened successfully; Apple/AAPL and the relevant earnings event/date were verified. Reaction source was checked for explicit move/driver language.</x:v>
      </x:c>
    </x:row>
    <x:row r="16">
      <x:c r="A16" s="12" t="str">
        <x:v>2017-05-02</x:v>
      </x:c>
      <x:c r="B16" s="12" t="str">
        <x:v>AAPL</x:v>
      </x:c>
      <x:c r="C16" s="12" t="str">
        <x:v>reaction</x:v>
      </x:c>
      <x:c r="D16" s="12" t="str">
        <x:v>2017-05-02</x:v>
      </x:c>
      <x:c r="E16" s="12" t="n">
        <x:v>0</x:v>
      </x:c>
      <x:c r="F16" s="12" t="str">
        <x:v>TechCrunch</x:v>
      </x:c>
      <x:c r="G16" s="12" t="str">
        <x:v>Apple hits a speed bump in Q2 after its stock soared in the past year</x:v>
      </x:c>
      <x:c r="H16" s="12" t="str">
        <x:v>https://techcrunch.com/2017/05/02/apple-hits-a-speed-bump-in-q2-after-its-stock-soared-in-the-past-year/</x:v>
      </x:c>
      <x:c r="I16" s="12" t="str">
        <x:v>OPENED_OK</x:v>
      </x:c>
      <x:c r="J16" s="12" t="str">
        <x:v>PASS</x:v>
      </x:c>
      <x:c r="K16" s="12" t="str">
        <x:v>PASS</x:v>
      </x:c>
      <x:c r="L16" s="12" t="str">
        <x:v>PASS</x:v>
      </x:c>
      <x:c r="M16" s="12" t="str">
        <x:v>NO</x:v>
      </x:c>
      <x:c r="N16" s="12" t="str">
        <x:v>PASS</x:v>
      </x:c>
      <x:c r="O16" s="12" t="str">
        <x:v>EXPLICIT_IMMEDIATE / FLAT_NEXT_DAY</x:v>
      </x:c>
      <x:c r="P16" s="12" t="str">
        <x:v>PASS</x:v>
      </x:c>
      <x:c r="Q16" s="12" t="str">
        <x:v>Page opened successfully; Apple/AAPL and the relevant earnings event/date were verified. Reaction source was checked for explicit move/driver language.</x:v>
      </x:c>
    </x:row>
    <x:row r="17">
      <x:c r="A17" s="12" t="str">
        <x:v>2017-08-01</x:v>
      </x:c>
      <x:c r="B17" s="12" t="str">
        <x:v>AAPL</x:v>
      </x:c>
      <x:c r="C17" s="12" t="str">
        <x:v>prior</x:v>
      </x:c>
      <x:c r="D17" s="12" t="str">
        <x:v>2017-05-02</x:v>
      </x:c>
      <x:c r="E17" s="12" t="n">
        <x:v>-91</x:v>
      </x:c>
      <x:c r="F17" s="12" t="str">
        <x:v>Apple</x:v>
      </x:c>
      <x:c r="G17" s="12" t="str">
        <x:v>Apple Reports Second Quarter Results</x:v>
      </x:c>
      <x:c r="H17" s="12" t="str">
        <x:v>https://www.apple.com/ca/newsroom/2017/05/apple-reports-second-quarter-results/</x:v>
      </x:c>
      <x:c r="I17" s="12" t="str">
        <x:v>OPENED_OK</x:v>
      </x:c>
      <x:c r="J17" s="12" t="str">
        <x:v>PASS</x:v>
      </x:c>
      <x:c r="K17" s="12" t="str">
        <x:v>PASS</x:v>
      </x:c>
      <x:c r="L17" s="12" t="str">
        <x:v>PASS</x:v>
      </x:c>
      <x:c r="M17" s="12" t="str">
        <x:v>NO</x:v>
      </x:c>
      <x:c r="N17" s="12" t="str">
        <x:v>PASS</x:v>
      </x:c>
      <x:c r="O17" s="12" t="str">
        <x:v>FACTUAL</x:v>
      </x:c>
      <x:c r="P17" s="12" t="str">
        <x:v>PASS</x:v>
      </x:c>
      <x:c r="Q17" s="12" t="str">
        <x:v>Page opened successfully; Apple/AAPL and the relevant earnings event/date were verified. Reaction source was checked for explicit move/driver language.</x:v>
      </x:c>
    </x:row>
    <x:row r="18">
      <x:c r="A18" s="12" t="str">
        <x:v>2017-08-01</x:v>
      </x:c>
      <x:c r="B18" s="12" t="str">
        <x:v>AAPL</x:v>
      </x:c>
      <x:c r="C18" s="12" t="str">
        <x:v>release</x:v>
      </x:c>
      <x:c r="D18" s="12" t="str">
        <x:v>2017-08-01</x:v>
      </x:c>
      <x:c r="E18" s="12" t="n">
        <x:v>0</x:v>
      </x:c>
      <x:c r="F18" s="12" t="str">
        <x:v>Apple</x:v>
      </x:c>
      <x:c r="G18" s="12" t="str">
        <x:v>Apple Reports Third Quarter Results</x:v>
      </x:c>
      <x:c r="H18" s="12" t="str">
        <x:v>https://www.apple.com/newsroom/2017/08/apple-reports-third-quarter-results/</x:v>
      </x:c>
      <x:c r="I18" s="12" t="str">
        <x:v>OPENED_OK</x:v>
      </x:c>
      <x:c r="J18" s="12" t="str">
        <x:v>PASS</x:v>
      </x:c>
      <x:c r="K18" s="12" t="str">
        <x:v>PASS</x:v>
      </x:c>
      <x:c r="L18" s="12" t="str">
        <x:v>PASS</x:v>
      </x:c>
      <x:c r="M18" s="12" t="str">
        <x:v>NO</x:v>
      </x:c>
      <x:c r="N18" s="12" t="str">
        <x:v>PASS</x:v>
      </x:c>
      <x:c r="O18" s="12" t="str">
        <x:v>FACTUAL</x:v>
      </x:c>
      <x:c r="P18" s="12" t="str">
        <x:v>PASS</x:v>
      </x:c>
      <x:c r="Q18" s="12" t="str">
        <x:v>Page opened successfully; Apple/AAPL and the relevant earnings event/date were verified. Reaction source was checked for explicit move/driver language.</x:v>
      </x:c>
    </x:row>
    <x:row r="19">
      <x:c r="A19" s="12" t="str">
        <x:v>2017-08-01</x:v>
      </x:c>
      <x:c r="B19" s="12" t="str">
        <x:v>AAPL</x:v>
      </x:c>
      <x:c r="C19" s="12" t="str">
        <x:v>reaction</x:v>
      </x:c>
      <x:c r="D19" s="12" t="str">
        <x:v>2017-08-02</x:v>
      </x:c>
      <x:c r="E19" s="12" t="n">
        <x:v>1</x:v>
      </x:c>
      <x:c r="F19" s="12" t="str">
        <x:v>The Motley Fool</x:v>
      </x:c>
      <x:c r="G19" s="12" t="str">
        <x:v>Why Apple, Inc. Stock Jumped on Wednesday</x:v>
      </x:c>
      <x:c r="H19" s="12" t="str">
        <x:v>https://www.fool.com/investing/2017/08/02/why-apple-inc-stock-jumped-on-wednesday.aspx</x:v>
      </x:c>
      <x:c r="I19" s="12" t="str">
        <x:v>OPENED_OK</x:v>
      </x:c>
      <x:c r="J19" s="12" t="str">
        <x:v>PASS</x:v>
      </x:c>
      <x:c r="K19" s="12" t="str">
        <x:v>PASS</x:v>
      </x:c>
      <x:c r="L19" s="12" t="str">
        <x:v>PASS</x:v>
      </x:c>
      <x:c r="M19" s="12" t="str">
        <x:v>NO</x:v>
      </x:c>
      <x:c r="N19" s="12" t="str">
        <x:v>PASS</x:v>
      </x:c>
      <x:c r="O19" s="12" t="str">
        <x:v>EXPLICIT</x:v>
      </x:c>
      <x:c r="P19" s="12" t="str">
        <x:v>PASS</x:v>
      </x:c>
      <x:c r="Q19" s="12" t="str">
        <x:v>Page opened successfully; Apple/AAPL and the relevant earnings event/date were verified. Reaction source was checked for explicit move/driver language.</x:v>
      </x:c>
    </x:row>
    <x:row r="20">
      <x:c r="A20" s="12" t="str">
        <x:v>2017-11-02</x:v>
      </x:c>
      <x:c r="B20" s="12" t="str">
        <x:v>AAPL</x:v>
      </x:c>
      <x:c r="C20" s="12" t="str">
        <x:v>prior</x:v>
      </x:c>
      <x:c r="D20" s="12" t="str">
        <x:v>2017-08-01</x:v>
      </x:c>
      <x:c r="E20" s="12" t="n">
        <x:v>-93</x:v>
      </x:c>
      <x:c r="F20" s="12" t="str">
        <x:v>Apple</x:v>
      </x:c>
      <x:c r="G20" s="12" t="str">
        <x:v>Apple Reports Third Quarter Results</x:v>
      </x:c>
      <x:c r="H20" s="12" t="str">
        <x:v>https://www.apple.com/newsroom/2017/08/apple-reports-third-quarter-results/</x:v>
      </x:c>
      <x:c r="I20" s="12" t="str">
        <x:v>OPENED_OK</x:v>
      </x:c>
      <x:c r="J20" s="12" t="str">
        <x:v>PASS</x:v>
      </x:c>
      <x:c r="K20" s="12" t="str">
        <x:v>PASS</x:v>
      </x:c>
      <x:c r="L20" s="12" t="str">
        <x:v>PASS</x:v>
      </x:c>
      <x:c r="M20" s="12" t="str">
        <x:v>NO</x:v>
      </x:c>
      <x:c r="N20" s="12" t="str">
        <x:v>PASS</x:v>
      </x:c>
      <x:c r="O20" s="12" t="str">
        <x:v>FACTUAL</x:v>
      </x:c>
      <x:c r="P20" s="12" t="str">
        <x:v>PASS</x:v>
      </x:c>
      <x:c r="Q20" s="12" t="str">
        <x:v>Page opened successfully; Apple/AAPL and the relevant earnings event/date were verified. Reaction source was checked for explicit move/driver language.</x:v>
      </x:c>
    </x:row>
    <x:row r="21">
      <x:c r="A21" s="12" t="str">
        <x:v>2017-11-02</x:v>
      </x:c>
      <x:c r="B21" s="12" t="str">
        <x:v>AAPL</x:v>
      </x:c>
      <x:c r="C21" s="12" t="str">
        <x:v>release</x:v>
      </x:c>
      <x:c r="D21" s="12" t="str">
        <x:v>2017-11-02</x:v>
      </x:c>
      <x:c r="E21" s="12" t="n">
        <x:v>0</x:v>
      </x:c>
      <x:c r="F21" s="12" t="str">
        <x:v>Apple</x:v>
      </x:c>
      <x:c r="G21" s="12" t="str">
        <x:v>Apple Reports Fourth Quarter Results</x:v>
      </x:c>
      <x:c r="H21" s="12" t="str">
        <x:v>https://www.apple.com/ca/newsroom/2017/11/apple-reports-fourth-quarter-results/</x:v>
      </x:c>
      <x:c r="I21" s="12" t="str">
        <x:v>OPENED_OK</x:v>
      </x:c>
      <x:c r="J21" s="12" t="str">
        <x:v>PASS</x:v>
      </x:c>
      <x:c r="K21" s="12" t="str">
        <x:v>PASS</x:v>
      </x:c>
      <x:c r="L21" s="12" t="str">
        <x:v>PASS</x:v>
      </x:c>
      <x:c r="M21" s="12" t="str">
        <x:v>NO</x:v>
      </x:c>
      <x:c r="N21" s="12" t="str">
        <x:v>PASS</x:v>
      </x:c>
      <x:c r="O21" s="12" t="str">
        <x:v>FACTUAL</x:v>
      </x:c>
      <x:c r="P21" s="12" t="str">
        <x:v>PASS</x:v>
      </x:c>
      <x:c r="Q21" s="12" t="str">
        <x:v>Page opened successfully; Apple/AAPL and the relevant earnings event/date were verified. Reaction source was checked for explicit move/driver language.</x:v>
      </x:c>
    </x:row>
    <x:row r="22">
      <x:c r="A22" s="12" t="str">
        <x:v>2017-11-02</x:v>
      </x:c>
      <x:c r="B22" s="12" t="str">
        <x:v>AAPL</x:v>
      </x:c>
      <x:c r="C22" s="12" t="str">
        <x:v>reaction</x:v>
      </x:c>
      <x:c r="D22" s="12" t="str">
        <x:v>2017-11-03</x:v>
      </x:c>
      <x:c r="E22" s="12" t="n">
        <x:v>1</x:v>
      </x:c>
      <x:c r="F22" s="12" t="str">
        <x:v>The Motley Fool</x:v>
      </x:c>
      <x:c r="G22" s="12" t="str">
        <x:v>What Happened in the Stock Market Today</x:v>
      </x:c>
      <x:c r="H22" s="12" t="str">
        <x:v>https://www.fool.com/investing/2017/11/03/what-happened-in-the-stock-market-today.aspx</x:v>
      </x:c>
      <x:c r="I22" s="12" t="str">
        <x:v>OPENED_OK</x:v>
      </x:c>
      <x:c r="J22" s="12" t="str">
        <x:v>PASS</x:v>
      </x:c>
      <x:c r="K22" s="12" t="str">
        <x:v>PASS</x:v>
      </x:c>
      <x:c r="L22" s="12" t="str">
        <x:v>PASS</x:v>
      </x:c>
      <x:c r="M22" s="12" t="str">
        <x:v>NO</x:v>
      </x:c>
      <x:c r="N22" s="12" t="str">
        <x:v>PASS</x:v>
      </x:c>
      <x:c r="O22" s="12" t="str">
        <x:v>EXPLICIT</x:v>
      </x:c>
      <x:c r="P22" s="12" t="str">
        <x:v>PASS</x:v>
      </x:c>
      <x:c r="Q22" s="12" t="str">
        <x:v>Page opened successfully; Apple/AAPL and the relevant earnings event/date were verified. Reaction source was checked for explicit move/driver language.</x:v>
      </x:c>
    </x:row>
    <x:row r="23">
      <x:c r="A23" s="12" t="str">
        <x:v>2018-02-01</x:v>
      </x:c>
      <x:c r="B23" s="12" t="str">
        <x:v>AAPL</x:v>
      </x:c>
      <x:c r="C23" s="12" t="str">
        <x:v>prior</x:v>
      </x:c>
      <x:c r="D23" s="12" t="str">
        <x:v>2017-11-02</x:v>
      </x:c>
      <x:c r="E23" s="12" t="n">
        <x:v>-91</x:v>
      </x:c>
      <x:c r="F23" s="12" t="str">
        <x:v>Apple</x:v>
      </x:c>
      <x:c r="G23" s="12" t="str">
        <x:v>Apple Reports Fourth Quarter Results</x:v>
      </x:c>
      <x:c r="H23" s="12" t="str">
        <x:v>https://www.apple.com/ca/newsroom/2017/11/apple-reports-fourth-quarter-results/</x:v>
      </x:c>
      <x:c r="I23" s="12" t="str">
        <x:v>OPENED_OK</x:v>
      </x:c>
      <x:c r="J23" s="12" t="str">
        <x:v>PASS</x:v>
      </x:c>
      <x:c r="K23" s="12" t="str">
        <x:v>PASS</x:v>
      </x:c>
      <x:c r="L23" s="12" t="str">
        <x:v>PASS</x:v>
      </x:c>
      <x:c r="M23" s="12" t="str">
        <x:v>NO</x:v>
      </x:c>
      <x:c r="N23" s="12" t="str">
        <x:v>PASS</x:v>
      </x:c>
      <x:c r="O23" s="12" t="str">
        <x:v>FACTUAL</x:v>
      </x:c>
      <x:c r="P23" s="12" t="str">
        <x:v>PASS</x:v>
      </x:c>
      <x:c r="Q23" s="12" t="str">
        <x:v>Page opened successfully; Apple/AAPL and the relevant earnings event/date were verified. Reaction source was checked for explicit move/driver language.</x:v>
      </x:c>
    </x:row>
    <x:row r="24">
      <x:c r="A24" s="12" t="str">
        <x:v>2018-02-01</x:v>
      </x:c>
      <x:c r="B24" s="12" t="str">
        <x:v>AAPL</x:v>
      </x:c>
      <x:c r="C24" s="12" t="str">
        <x:v>release</x:v>
      </x:c>
      <x:c r="D24" s="12" t="str">
        <x:v>2018-02-01</x:v>
      </x:c>
      <x:c r="E24" s="12" t="n">
        <x:v>0</x:v>
      </x:c>
      <x:c r="F24" s="12" t="str">
        <x:v>Apple</x:v>
      </x:c>
      <x:c r="G24" s="12" t="str">
        <x:v>Apple Reports First Quarter Results</x:v>
      </x:c>
      <x:c r="H24" s="12" t="str">
        <x:v>https://www.apple.com/ca/newsroom/2018/02/apple-reports-first-quarter-results/</x:v>
      </x:c>
      <x:c r="I24" s="12" t="str">
        <x:v>OPENED_OK</x:v>
      </x:c>
      <x:c r="J24" s="12" t="str">
        <x:v>PASS</x:v>
      </x:c>
      <x:c r="K24" s="12" t="str">
        <x:v>PASS</x:v>
      </x:c>
      <x:c r="L24" s="12" t="str">
        <x:v>PASS</x:v>
      </x:c>
      <x:c r="M24" s="12" t="str">
        <x:v>NO</x:v>
      </x:c>
      <x:c r="N24" s="12" t="str">
        <x:v>PASS</x:v>
      </x:c>
      <x:c r="O24" s="12" t="str">
        <x:v>FACTUAL</x:v>
      </x:c>
      <x:c r="P24" s="12" t="str">
        <x:v>PASS</x:v>
      </x:c>
      <x:c r="Q24" s="12" t="str">
        <x:v>Page opened successfully; Apple/AAPL and the relevant earnings event/date were verified. Reaction source was checked for explicit move/driver language.</x:v>
      </x:c>
    </x:row>
    <x:row r="25">
      <x:c r="A25" s="12" t="str">
        <x:v>2018-02-01</x:v>
      </x:c>
      <x:c r="B25" s="12" t="str">
        <x:v>AAPL</x:v>
      </x:c>
      <x:c r="C25" s="12" t="str">
        <x:v>reaction</x:v>
      </x:c>
      <x:c r="D25" s="12" t="str">
        <x:v>2018-02-02</x:v>
      </x:c>
      <x:c r="E25" s="12" t="n">
        <x:v>1</x:v>
      </x:c>
      <x:c r="F25" s="12" t="str">
        <x:v>The Motley Fool</x:v>
      </x:c>
      <x:c r="G25" s="12" t="str">
        <x:v>Apple Earnings: A Record Quarter With Mediocre Guidance</x:v>
      </x:c>
      <x:c r="H25" s="12" t="str">
        <x:v>https://www.fool.com/investing/2018/02/02/apple-earnings-a-record-quarter-with-mediocre-guid.aspx</x:v>
      </x:c>
      <x:c r="I25" s="12" t="str">
        <x:v>OPENED_OK</x:v>
      </x:c>
      <x:c r="J25" s="12" t="str">
        <x:v>PASS</x:v>
      </x:c>
      <x:c r="K25" s="12" t="str">
        <x:v>PASS</x:v>
      </x:c>
      <x:c r="L25" s="12" t="str">
        <x:v>PASS</x:v>
      </x:c>
      <x:c r="M25" s="12" t="str">
        <x:v>NO</x:v>
      </x:c>
      <x:c r="N25" s="12" t="str">
        <x:v>PASS</x:v>
      </x:c>
      <x:c r="O25" s="12" t="str">
        <x:v>EXPLICIT</x:v>
      </x:c>
      <x:c r="P25" s="12" t="str">
        <x:v>PASS</x:v>
      </x:c>
      <x:c r="Q25" s="12" t="str">
        <x:v>Page opened successfully; Apple/AAPL and the relevant earnings event/date were verified. Reaction source was checked for explicit move/driver language.</x:v>
      </x:c>
    </x:row>
    <x:row r="26">
      <x:c r="A26" s="12" t="str">
        <x:v>2018-05-01</x:v>
      </x:c>
      <x:c r="B26" s="12" t="str">
        <x:v>AAPL</x:v>
      </x:c>
      <x:c r="C26" s="12" t="str">
        <x:v>prior</x:v>
      </x:c>
      <x:c r="D26" s="12" t="str">
        <x:v>2018-02-01</x:v>
      </x:c>
      <x:c r="E26" s="12" t="n">
        <x:v>-89</x:v>
      </x:c>
      <x:c r="F26" s="12" t="str">
        <x:v>Apple</x:v>
      </x:c>
      <x:c r="G26" s="12" t="str">
        <x:v>Apple Reports First Quarter Results</x:v>
      </x:c>
      <x:c r="H26" s="12" t="str">
        <x:v>https://www.apple.com/ca/newsroom/2018/02/apple-reports-first-quarter-results/</x:v>
      </x:c>
      <x:c r="I26" s="12" t="str">
        <x:v>OPENED_OK</x:v>
      </x:c>
      <x:c r="J26" s="12" t="str">
        <x:v>PASS</x:v>
      </x:c>
      <x:c r="K26" s="12" t="str">
        <x:v>PASS</x:v>
      </x:c>
      <x:c r="L26" s="12" t="str">
        <x:v>PASS</x:v>
      </x:c>
      <x:c r="M26" s="12" t="str">
        <x:v>NO</x:v>
      </x:c>
      <x:c r="N26" s="12" t="str">
        <x:v>PASS</x:v>
      </x:c>
      <x:c r="O26" s="12" t="str">
        <x:v>FACTUAL</x:v>
      </x:c>
      <x:c r="P26" s="12" t="str">
        <x:v>PASS</x:v>
      </x:c>
      <x:c r="Q26" s="12" t="str">
        <x:v>Page opened successfully; Apple/AAPL and the relevant earnings event/date were verified. Reaction source was checked for explicit move/driver language.</x:v>
      </x:c>
    </x:row>
    <x:row r="27">
      <x:c r="A27" s="12" t="str">
        <x:v>2018-05-01</x:v>
      </x:c>
      <x:c r="B27" s="12" t="str">
        <x:v>AAPL</x:v>
      </x:c>
      <x:c r="C27" s="12" t="str">
        <x:v>release</x:v>
      </x:c>
      <x:c r="D27" s="12" t="str">
        <x:v>2018-05-01</x:v>
      </x:c>
      <x:c r="E27" s="12" t="n">
        <x:v>0</x:v>
      </x:c>
      <x:c r="F27" s="12" t="str">
        <x:v>Apple</x:v>
      </x:c>
      <x:c r="G27" s="12" t="str">
        <x:v>Apple Reports Second Quarter Results</x:v>
      </x:c>
      <x:c r="H27" s="12" t="str">
        <x:v>https://www.apple.com/ca/newsroom/2018/05/apple-reports-second-quarter-results/</x:v>
      </x:c>
      <x:c r="I27" s="12" t="str">
        <x:v>OPENED_OK</x:v>
      </x:c>
      <x:c r="J27" s="12" t="str">
        <x:v>PASS</x:v>
      </x:c>
      <x:c r="K27" s="12" t="str">
        <x:v>PASS</x:v>
      </x:c>
      <x:c r="L27" s="12" t="str">
        <x:v>PASS</x:v>
      </x:c>
      <x:c r="M27" s="12" t="str">
        <x:v>NO</x:v>
      </x:c>
      <x:c r="N27" s="12" t="str">
        <x:v>PASS</x:v>
      </x:c>
      <x:c r="O27" s="12" t="str">
        <x:v>FACTUAL</x:v>
      </x:c>
      <x:c r="P27" s="12" t="str">
        <x:v>PASS</x:v>
      </x:c>
      <x:c r="Q27" s="12" t="str">
        <x:v>Page opened successfully; Apple/AAPL and the relevant earnings event/date were verified. Reaction source was checked for explicit move/driver language.</x:v>
      </x:c>
    </x:row>
    <x:row r="28">
      <x:c r="A28" s="12" t="str">
        <x:v>2018-05-01</x:v>
      </x:c>
      <x:c r="B28" s="12" t="str">
        <x:v>AAPL</x:v>
      </x:c>
      <x:c r="C28" s="12" t="str">
        <x:v>reaction</x:v>
      </x:c>
      <x:c r="D28" s="12" t="str">
        <x:v>2018-05-02</x:v>
      </x:c>
      <x:c r="E28" s="12" t="n">
        <x:v>1</x:v>
      </x:c>
      <x:c r="F28" s="12" t="str">
        <x:v>The Motley Fool</x:v>
      </x:c>
      <x:c r="G28" s="12" t="str">
        <x:v>Why Apple, Inc. Stock Popped 5% Wednesday</x:v>
      </x:c>
      <x:c r="H28" s="12" t="str">
        <x:v>https://www.fool.com/investing/2018/05/02/why-apple-inc-stock-popped-5-wednesday.aspx</x:v>
      </x:c>
      <x:c r="I28" s="12" t="str">
        <x:v>OPENED_OK</x:v>
      </x:c>
      <x:c r="J28" s="12" t="str">
        <x:v>PASS</x:v>
      </x:c>
      <x:c r="K28" s="12" t="str">
        <x:v>PASS</x:v>
      </x:c>
      <x:c r="L28" s="12" t="str">
        <x:v>PASS</x:v>
      </x:c>
      <x:c r="M28" s="12" t="str">
        <x:v>NO</x:v>
      </x:c>
      <x:c r="N28" s="12" t="str">
        <x:v>PASS</x:v>
      </x:c>
      <x:c r="O28" s="12" t="str">
        <x:v>EXPLICIT</x:v>
      </x:c>
      <x:c r="P28" s="12" t="str">
        <x:v>PASS</x:v>
      </x:c>
      <x:c r="Q28" s="12" t="str">
        <x:v>Page opened successfully; Apple/AAPL and the relevant earnings event/date were verified. Reaction source was checked for explicit move/driver language.</x:v>
      </x:c>
    </x:row>
    <x:row r="29">
      <x:c r="A29" s="12" t="str">
        <x:v>2018-07-31</x:v>
      </x:c>
      <x:c r="B29" s="12" t="str">
        <x:v>AAPL</x:v>
      </x:c>
      <x:c r="C29" s="12" t="str">
        <x:v>prior</x:v>
      </x:c>
      <x:c r="D29" s="12" t="str">
        <x:v>2018-05-01</x:v>
      </x:c>
      <x:c r="E29" s="12" t="n">
        <x:v>-91</x:v>
      </x:c>
      <x:c r="F29" s="12" t="str">
        <x:v>Apple</x:v>
      </x:c>
      <x:c r="G29" s="12" t="str">
        <x:v>Apple Reports Second Quarter Results</x:v>
      </x:c>
      <x:c r="H29" s="12" t="str">
        <x:v>https://www.apple.com/ca/newsroom/2018/05/apple-reports-second-quarter-results/</x:v>
      </x:c>
      <x:c r="I29" s="12" t="str">
        <x:v>OPENED_OK</x:v>
      </x:c>
      <x:c r="J29" s="12" t="str">
        <x:v>PASS</x:v>
      </x:c>
      <x:c r="K29" s="12" t="str">
        <x:v>PASS</x:v>
      </x:c>
      <x:c r="L29" s="12" t="str">
        <x:v>PASS</x:v>
      </x:c>
      <x:c r="M29" s="12" t="str">
        <x:v>NO</x:v>
      </x:c>
      <x:c r="N29" s="12" t="str">
        <x:v>PASS</x:v>
      </x:c>
      <x:c r="O29" s="12" t="str">
        <x:v>FACTUAL</x:v>
      </x:c>
      <x:c r="P29" s="12" t="str">
        <x:v>PASS</x:v>
      </x:c>
      <x:c r="Q29" s="12" t="str">
        <x:v>Page opened successfully; Apple/AAPL and the relevant earnings event/date were verified. Reaction source was checked for explicit move/driver language.</x:v>
      </x:c>
    </x:row>
    <x:row r="30">
      <x:c r="A30" s="12" t="str">
        <x:v>2018-07-31</x:v>
      </x:c>
      <x:c r="B30" s="12" t="str">
        <x:v>AAPL</x:v>
      </x:c>
      <x:c r="C30" s="12" t="str">
        <x:v>release</x:v>
      </x:c>
      <x:c r="D30" s="12" t="str">
        <x:v>2018-07-31</x:v>
      </x:c>
      <x:c r="E30" s="12" t="n">
        <x:v>0</x:v>
      </x:c>
      <x:c r="F30" s="12" t="str">
        <x:v>Apple</x:v>
      </x:c>
      <x:c r="G30" s="12" t="str">
        <x:v>Apple Reports Third Quarter Results</x:v>
      </x:c>
      <x:c r="H30" s="12" t="str">
        <x:v>https://www.apple.com/newsroom/2018/07/apple-reports-third-quarter-results/</x:v>
      </x:c>
      <x:c r="I30" s="12" t="str">
        <x:v>OPENED_OK</x:v>
      </x:c>
      <x:c r="J30" s="12" t="str">
        <x:v>PASS</x:v>
      </x:c>
      <x:c r="K30" s="12" t="str">
        <x:v>PASS</x:v>
      </x:c>
      <x:c r="L30" s="12" t="str">
        <x:v>PASS</x:v>
      </x:c>
      <x:c r="M30" s="12" t="str">
        <x:v>NO</x:v>
      </x:c>
      <x:c r="N30" s="12" t="str">
        <x:v>PASS</x:v>
      </x:c>
      <x:c r="O30" s="12" t="str">
        <x:v>FACTUAL</x:v>
      </x:c>
      <x:c r="P30" s="12" t="str">
        <x:v>PASS</x:v>
      </x:c>
      <x:c r="Q30" s="12" t="str">
        <x:v>Page opened successfully; Apple/AAPL and the relevant earnings event/date were verified. Reaction source was checked for explicit move/driver language.</x:v>
      </x:c>
    </x:row>
    <x:row r="31">
      <x:c r="A31" s="12" t="str">
        <x:v>2018-07-31</x:v>
      </x:c>
      <x:c r="B31" s="12" t="str">
        <x:v>AAPL</x:v>
      </x:c>
      <x:c r="C31" s="12" t="str">
        <x:v>reaction</x:v>
      </x:c>
      <x:c r="D31" s="12" t="str">
        <x:v>2018-08-01</x:v>
      </x:c>
      <x:c r="E31" s="12" t="n">
        <x:v>1</x:v>
      </x:c>
      <x:c r="F31" s="12" t="str">
        <x:v>The Motley Fool</x:v>
      </x:c>
      <x:c r="G31" s="12" t="str">
        <x:v>Why Apple, Inc. Stock Jumped Today</x:v>
      </x:c>
      <x:c r="H31" s="12" t="str">
        <x:v>https://www.fool.com/investing/2018/08/01/why-apple-inc-stock-jumped-today.aspx</x:v>
      </x:c>
      <x:c r="I31" s="12" t="str">
        <x:v>OPENED_OK</x:v>
      </x:c>
      <x:c r="J31" s="12" t="str">
        <x:v>PASS</x:v>
      </x:c>
      <x:c r="K31" s="12" t="str">
        <x:v>PASS</x:v>
      </x:c>
      <x:c r="L31" s="12" t="str">
        <x:v>PASS</x:v>
      </x:c>
      <x:c r="M31" s="12" t="str">
        <x:v>NO</x:v>
      </x:c>
      <x:c r="N31" s="12" t="str">
        <x:v>PASS</x:v>
      </x:c>
      <x:c r="O31" s="12" t="str">
        <x:v>EXPLICIT</x:v>
      </x:c>
      <x:c r="P31" s="12" t="str">
        <x:v>PASS</x:v>
      </x:c>
      <x:c r="Q31" s="12" t="str">
        <x:v>Page opened successfully; Apple/AAPL and the relevant earnings event/date were verified. Reaction source was checked for explicit move/driver language.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2016-04-26</x:v>
      </x:c>
      <x:c r="B2" t="str">
        <x:v>AAPL</x:v>
      </x:c>
      <x:c r="C2" s="20" t="n">
        <x:v>-1.03</x:v>
      </x:c>
      <x:c r="D2" s="20" t="n">
        <x:v>-6.52</x:v>
      </x:c>
      <x:c r="E2" t="str">
        <x:v>ret_1daypost_pct</x:v>
      </x:c>
      <x:c r="F2" t="str">
        <x:f>IF(D2&gt;0.1,"UP",IF(D2&lt;-0.1,"DOWN","FLAT"))</x:f>
        <x:v>DOWN</x:v>
      </x:c>
      <x:c r="G2" t="str">
        <x:v>DOWN</x:v>
      </x:c>
      <x:c r="H2" t="str">
        <x:f>IF(F2=G2,"PASS","FAIL")</x:f>
        <x:v>PASS</x:v>
      </x:c>
      <x:c r="I2" t="n">
        <x:v>3</x:v>
      </x:c>
      <x:c r="J2" t="n">
        <x:f>COUNTIFS('Source Audit'!$A:$A,A2,'Source Audit'!$P:$P,"PASS")</x:f>
        <x:v>3</x:v>
      </x:c>
      <x:c r="K2" t="str">
        <x:f>IF(AND(H2="PASS",J2=I2),"PASS","FAIL")</x:f>
        <x:v>PASS</x:v>
      </x:c>
    </x:row>
    <x:row r="3">
      <x:c r="A3" t="str">
        <x:v>2016-07-26</x:v>
      </x:c>
      <x:c r="B3" t="str">
        <x:v>AAPL</x:v>
      </x:c>
      <x:c r="C3" s="20" t="n">
        <x:v>-0.85</x:v>
      </x:c>
      <x:c r="D3" s="20" t="n">
        <x:v>6.62</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2016-10-25</x:v>
      </x:c>
      <x:c r="B4" t="str">
        <x:v>AAPL</x:v>
      </x:c>
      <x:c r="C4" s="20" t="n">
        <x:v>0.95</x:v>
      </x:c>
      <x:c r="D4" s="20" t="n">
        <x:v>-1.97</x:v>
      </x:c>
      <x:c r="E4" t="str">
        <x:v>ret_1daypost_pct</x:v>
      </x:c>
      <x:c r="F4" t="str">
        <x:f>IF(D4&gt;0.1,"UP",IF(D4&lt;-0.1,"DOWN","FLAT"))</x:f>
        <x:v>DOWN</x:v>
      </x:c>
      <x:c r="G4" t="str">
        <x:v>DOWN</x:v>
      </x:c>
      <x:c r="H4" t="str">
        <x:f>IF(F4=G4,"PASS","FAIL")</x:f>
        <x:v>PASS</x:v>
      </x:c>
      <x:c r="I4" t="n">
        <x:v>3</x:v>
      </x:c>
      <x:c r="J4" t="n">
        <x:f>COUNTIFS('Source Audit'!$A:$A,A4,'Source Audit'!$P:$P,"PASS")</x:f>
        <x:v>3</x:v>
      </x:c>
      <x:c r="K4" t="str">
        <x:f>IF(AND(H4="PASS",J4=I4),"PASS","FAIL")</x:f>
        <x:v>PASS</x:v>
      </x:c>
    </x:row>
    <x:row r="5">
      <x:c r="A5" t="str">
        <x:v>2017-01-31</x:v>
      </x:c>
      <x:c r="B5" t="str">
        <x:v>AAPL</x:v>
      </x:c>
      <x:c r="C5" s="20" t="n">
        <x:v>-0.31</x:v>
      </x:c>
      <x:c r="D5" s="20" t="n">
        <x:v>6.07</x:v>
      </x:c>
      <x:c r="E5" t="str">
        <x:v>ret_1daypost_pct</x:v>
      </x:c>
      <x:c r="F5" t="str">
        <x:f>IF(D5&gt;0.1,"UP",IF(D5&lt;-0.1,"DOWN","FLAT"))</x:f>
        <x:v>UP</x:v>
      </x:c>
      <x:c r="G5" t="str">
        <x:v>UP</x:v>
      </x:c>
      <x:c r="H5" t="str">
        <x:f>IF(F5=G5,"PASS","FAIL")</x:f>
        <x:v>PASS</x:v>
      </x:c>
      <x:c r="I5" t="n">
        <x:v>3</x:v>
      </x:c>
      <x:c r="J5" t="n">
        <x:f>COUNTIFS('Source Audit'!$A:$A,A5,'Source Audit'!$P:$P,"PASS")</x:f>
        <x:v>3</x:v>
      </x:c>
      <x:c r="K5" t="str">
        <x:f>IF(AND(H5="PASS",J5=I5),"PASS","FAIL")</x:f>
        <x:v>PASS</x:v>
      </x:c>
    </x:row>
    <x:row r="6">
      <x:c r="A6" t="str">
        <x:v>2017-05-02</x:v>
      </x:c>
      <x:c r="B6" t="str">
        <x:v>AAPL</x:v>
      </x:c>
      <x:c r="C6" s="20" t="n">
        <x:v>0.61</x:v>
      </x:c>
      <x:c r="D6" s="20" t="n">
        <x:v>-0.05</x:v>
      </x:c>
      <x:c r="E6" t="str">
        <x:v>ret_1daypost_pct</x:v>
      </x:c>
      <x:c r="F6" t="str">
        <x:f>IF(D6&gt;0.1,"UP",IF(D6&lt;-0.1,"DOWN","FLAT"))</x:f>
        <x:v>FLAT</x:v>
      </x:c>
      <x:c r="G6" t="str">
        <x:v>FLAT</x:v>
      </x:c>
      <x:c r="H6" t="str">
        <x:f>IF(F6=G6,"PASS","FAIL")</x:f>
        <x:v>PASS</x:v>
      </x:c>
      <x:c r="I6" t="n">
        <x:v>3</x:v>
      </x:c>
      <x:c r="J6" t="n">
        <x:f>COUNTIFS('Source Audit'!$A:$A,A6,'Source Audit'!$P:$P,"PASS")</x:f>
        <x:v>3</x:v>
      </x:c>
      <x:c r="K6" t="str">
        <x:f>IF(AND(H6="PASS",J6=I6),"PASS","FAIL")</x:f>
        <x:v>PASS</x:v>
      </x:c>
    </x:row>
    <x:row r="7">
      <x:c r="A7" t="str">
        <x:v>2017-08-01</x:v>
      </x:c>
      <x:c r="B7" t="str">
        <x:v>AAPL</x:v>
      </x:c>
      <x:c r="C7" s="20" t="n">
        <x:v>0.65</x:v>
      </x:c>
      <x:c r="D7" s="20" t="n">
        <x:v>4.82</x:v>
      </x:c>
      <x:c r="E7" t="str">
        <x:v>ret_1daypost_pct</x:v>
      </x:c>
      <x:c r="F7" t="str">
        <x:f>IF(D7&gt;0.1,"UP",IF(D7&lt;-0.1,"DOWN","FLAT"))</x:f>
        <x:v>UP</x:v>
      </x:c>
      <x:c r="G7" t="str">
        <x:v>UP</x:v>
      </x:c>
      <x:c r="H7" t="str">
        <x:f>IF(F7=G7,"PASS","FAIL")</x:f>
        <x:v>PASS</x:v>
      </x:c>
      <x:c r="I7" t="n">
        <x:v>3</x:v>
      </x:c>
      <x:c r="J7" t="n">
        <x:f>COUNTIFS('Source Audit'!$A:$A,A7,'Source Audit'!$P:$P,"PASS")</x:f>
        <x:v>3</x:v>
      </x:c>
      <x:c r="K7" t="str">
        <x:f>IF(AND(H7="PASS",J7=I7),"PASS","FAIL")</x:f>
        <x:v>PASS</x:v>
      </x:c>
    </x:row>
    <x:row r="8">
      <x:c r="A8" t="str">
        <x:v>2017-11-02</x:v>
      </x:c>
      <x:c r="B8" t="str">
        <x:v>AAPL</x:v>
      </x:c>
      <x:c r="C8" s="20" t="n">
        <x:v>0.7</x:v>
      </x:c>
      <x:c r="D8" s="20" t="n">
        <x:v>2.33</x:v>
      </x:c>
      <x:c r="E8" t="str">
        <x:v>ret_1daypost_pct</x:v>
      </x:c>
      <x:c r="F8" t="str">
        <x:f>IF(D8&gt;0.1,"UP",IF(D8&lt;-0.1,"DOWN","FLAT"))</x:f>
        <x:v>UP</x:v>
      </x:c>
      <x:c r="G8" t="str">
        <x:v>UP</x:v>
      </x:c>
      <x:c r="H8" t="str">
        <x:f>IF(F8=G8,"PASS","FAIL")</x:f>
        <x:v>PASS</x:v>
      </x:c>
      <x:c r="I8" t="n">
        <x:v>3</x:v>
      </x:c>
      <x:c r="J8" t="n">
        <x:f>COUNTIFS('Source Audit'!$A:$A,A8,'Source Audit'!$P:$P,"PASS")</x:f>
        <x:v>3</x:v>
      </x:c>
      <x:c r="K8" t="str">
        <x:f>IF(AND(H8="PASS",J8=I8),"PASS","FAIL")</x:f>
        <x:v>PASS</x:v>
      </x:c>
    </x:row>
    <x:row r="9">
      <x:c r="A9" t="str">
        <x:v>2018-02-01</x:v>
      </x:c>
      <x:c r="B9" t="str">
        <x:v>AAPL</x:v>
      </x:c>
      <x:c r="C9" s="20" t="n">
        <x:v>0.24</x:v>
      </x:c>
      <x:c r="D9" s="20" t="n">
        <x:v>-2.25</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2018-05-01</x:v>
      </x:c>
      <x:c r="B10" t="str">
        <x:v>AAPL</x:v>
      </x:c>
      <x:c r="C10" s="20" t="n">
        <x:v>2.1</x:v>
      </x:c>
      <x:c r="D10" s="20" t="n">
        <x:v>4.97</x:v>
      </x:c>
      <x:c r="E10" t="str">
        <x:v>ret_1daypost_pct</x:v>
      </x:c>
      <x:c r="F10" t="str">
        <x:f>IF(D10&gt;0.1,"UP",IF(D10&lt;-0.1,"DOWN","FLAT"))</x:f>
        <x:v>UP</x:v>
      </x:c>
      <x:c r="G10" t="str">
        <x:v>UP</x:v>
      </x:c>
      <x:c r="H10" t="str">
        <x:f>IF(F10=G10,"PASS","FAIL")</x:f>
        <x:v>PASS</x:v>
      </x:c>
      <x:c r="I10" t="n">
        <x:v>3</x:v>
      </x:c>
      <x:c r="J10" t="n">
        <x:f>COUNTIFS('Source Audit'!$A:$A,A10,'Source Audit'!$P:$P,"PASS")</x:f>
        <x:v>3</x:v>
      </x:c>
      <x:c r="K10" t="str">
        <x:f>IF(AND(H10="PASS",J10=I10),"PASS","FAIL")</x:f>
        <x:v>PASS</x:v>
      </x:c>
    </x:row>
    <x:row r="11">
      <x:c r="A11" t="str">
        <x:v>2018-07-31</x:v>
      </x:c>
      <x:c r="B11" t="str">
        <x:v>AAPL</x:v>
      </x:c>
      <x:c r="C11" s="20" t="n">
        <x:v>-0.35</x:v>
      </x:c>
      <x:c r="D11" s="20" t="n">
        <x:v>6.02</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AAPL rebuilt from scratch; the earlier AAPL workbook is not used as evidence.</x:v>
      </x:c>
    </x:row>
    <x:row r="3">
      <x:c r="A3" s="12" t="str">
        <x:v>Identity source</x:v>
      </x:c>
      <x:c r="B3" s="12" t="str">
        <x:v>Ticker/company/earnings date and all return fields come directly from group_observations.csv.</x:v>
      </x:c>
    </x:row>
    <x:row r="4">
      <x:c r="A4" s="12" t="str">
        <x:v>Reaction basis</x:v>
      </x:c>
      <x:c r="B4" s="12" t="str">
        <x:v>Apple released each sampled result after the U.S. market close. ret_1daypost_pct is therefore the primary first-full-session earnings reaction.</x:v>
      </x:c>
    </x:row>
    <x:row r="5">
      <x:c r="A5" s="12" t="str">
        <x:v>Direction control</x:v>
      </x:c>
      <x:c r="B5" s="12" t="str">
        <x:v>The prose direction sentence is mechanically generated from ret_1daypost_pct. Event QA independently recomputes direction and flags any mismatch.</x:v>
      </x:c>
    </x:row>
    <x:row r="6">
      <x:c r="A6" s="12" t="str">
        <x:v>Source verification</x:v>
      </x:c>
      <x:c r="B6" s="12" t="str">
        <x:v>Every included URL was actually opened during this rebuild and checked for page availability, Apple/AAPL identity, exact event, displayed publication date and timing role.</x:v>
      </x:c>
    </x:row>
    <x:row r="7">
      <x:c r="A7" s="12" t="str">
        <x:v>Timing windows</x:v>
      </x:c>
      <x:c r="B7" s="12" t="str">
        <x:v>prior = -100 to -1 calendar days; release = day 0; reaction = day 0 to +3.</x:v>
      </x:c>
    </x:row>
    <x:row r="8">
      <x:c r="A8" s="12" t="str">
        <x:v>Origin restriction</x:v>
      </x:c>
      <x:c r="B8" s="12" t="str">
        <x:v>No WSJ, Reuters, Dow Jones, or MarketWatch-syndicated source is included.</x:v>
      </x:c>
    </x:row>
    <x:row r="9">
      <x:c r="A9" s="12" t="str">
        <x:v>Evidence hierarchy</x:v>
      </x:c>
      <x:c r="B9" s="12" t="str">
        <x:v>Apple release = factual financial record. Contemporaneous reaction article = move attribution. Ex-post inference is labeled as inference rather than fact.</x:v>
      </x:c>
    </x:row>
    <x:row r="10">
      <x:c r="A10" s="12" t="str">
        <x:v>Source quantity</x:v>
      </x:c>
      <x:c r="B10" s="12" t="str">
        <x:v>Exactly 3 high-confidence sources per event: one verified prior Apple release, one verified current Apple release, and one verified contemporaneous reaction source.</x:v>
      </x:c>
    </x:row>
    <x:row r="11">
      <x:c r="A11" s="12" t="str">
        <x:v>Final gate</x:v>
      </x:c>
      <x:c r="B11" s="12" t="str">
        <x:v>A source must pass all audit fields; an event must pass the Event QA direction check and source-count check.</x:v>
      </x:c>
    </x:row>
    <x:row r="12">
      <x:c r="A12" s="12" t="str">
        <x:v>Narrative presentation</x:v>
      </x:c>
      <x:c r="B12" s="12" t="str">
        <x:v>The prose no longer repeats the full return path or a 'What investors were watching before the print' subsection. Current Earnings Release is the main detailed analytical section.</x:v>
      </x:c>
    </x:row>
    <x:row r="13">
      <x:c r="A13" s="12" t="str">
        <x:v>Driver presentation</x:v>
      </x:c>
      <x:c r="B13" s="12" t="str">
        <x:v>Possible Drivers are intentionally concise: one short first-order attribution plus two short supporting context points.</x:v>
      </x:c>
    </x:row>
  </x:sheetData>
  <x:pageMargins left="0.7" right="0.7" top="0.75" bottom="0.75" header="0.3" footer="0.3"/>
</x:worksheet>
</file>