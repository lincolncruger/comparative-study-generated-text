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cc52908b9204cef" /></Relationships>
</file>

<file path=xl/workbook.xml><?xml version="1.0" encoding="utf-8"?>
<x:workbook xmlns:x="http://schemas.openxmlformats.org/spreadsheetml/2006/main">
  <x:sheets>
    <x:sheet xmlns:r="http://schemas.openxmlformats.org/officeDocument/2006/relationships" name="FB" sheetId="1" r:id="R65361625fa584c7e"/>
    <x:sheet xmlns:r="http://schemas.openxmlformats.org/officeDocument/2006/relationships" name="Source Audit" sheetId="2" r:id="R13900cb5d47541c0"/>
    <x:sheet xmlns:r="http://schemas.openxmlformats.org/officeDocument/2006/relationships" name="Event QA" sheetId="3" r:id="Rc411eeb1a33645b6"/>
    <x:sheet xmlns:r="http://schemas.openxmlformats.org/officeDocument/2006/relationships" name="Methodology" sheetId="4" r:id="Re7e3cfec73b44eb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ba493d744da46f8" /><Relationship Type="http://schemas.openxmlformats.org/officeDocument/2006/relationships/theme" Target="/xl/theme/theme1.xml" Id="Rc01eb58c684046b6" /><Relationship Type="http://schemas.openxmlformats.org/officeDocument/2006/relationships/sharedStrings" Target="/xl/sharedStrings.xml" Id="R1bc3f205893a469e" /><Relationship Type="http://schemas.openxmlformats.org/officeDocument/2006/relationships/worksheet" Target="/xl/worksheets/sheet1.xml" Id="R65361625fa584c7e" /><Relationship Type="http://schemas.openxmlformats.org/officeDocument/2006/relationships/worksheet" Target="/xl/worksheets/sheet2.xml" Id="R13900cb5d47541c0" /><Relationship Type="http://schemas.openxmlformats.org/officeDocument/2006/relationships/worksheet" Target="/xl/worksheets/sheet3.xml" Id="Rc411eeb1a33645b6" /><Relationship Type="http://schemas.openxmlformats.org/officeDocument/2006/relationships/worksheet" Target="/xl/worksheets/sheet4.xml" Id="Re7e3cfec73b44eb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18" hidden="0" customWidth="1"/>
    <x:col min="4" max="4" width="13" hidden="0" customWidth="1"/>
    <x:col min="5" max="5" width="13" hidden="0" customWidth="1"/>
    <x:col min="6" max="6" width="11" hidden="0" customWidth="1"/>
    <x:col min="7" max="7" width="14" hidden="0" customWidth="1"/>
    <x:col min="8" max="8" width="11" hidden="0" customWidth="1"/>
    <x:col min="9" max="9" width="11" hidden="0" customWidth="1"/>
    <x:col min="10" max="10" width="11" hidden="0" customWidth="1"/>
    <x:col min="11" max="11" width="20" hidden="0" customWidth="1"/>
    <x:col min="12" max="12" width="18" hidden="0" customWidth="1"/>
    <x:col min="13" max="13" width="96" hidden="0" customWidth="1"/>
    <x:col min="14" max="14" width="62" hidden="0" customWidth="1"/>
    <x:col min="15" max="15" width="62" hidden="0" customWidth="1"/>
    <x:col min="16" max="16" width="62" hidden="0" customWidth="1"/>
    <x:col min="17" max="17" width="76" hidden="0" customWidth="1"/>
    <x:col min="18" max="18" width="12" hidden="0" customWidth="1"/>
    <x:col min="19" max="19"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reaction_basis</x:v>
      </x:c>
      <x:c r="L1" s="14" t="str">
        <x:v>reaction_direction</x:v>
      </x:c>
      <x:c r="M1" s="14" t="str">
        <x:v>contextual_analysis_full</x:v>
      </x:c>
      <x:c r="N1" s="14" t="str">
        <x:v>prior_context_sources</x:v>
      </x:c>
      <x:c r="O1" s="14" t="str">
        <x:v>release_sources</x:v>
      </x:c>
      <x:c r="P1" s="14" t="str">
        <x:v>reaction_sources</x:v>
      </x:c>
      <x:c r="Q1" s="14" t="str">
        <x:v>all_sources</x:v>
      </x:c>
      <x:c r="R1" s="14" t="str">
        <x:v>source_count</x:v>
      </x:c>
      <x:c r="S1" s="14" t="str">
        <x:v>qa_status</x:v>
      </x:c>
    </x:row>
    <x:row r="2" ht="340" customHeight="1">
      <x:c r="A2" s="15" t="n">
        <x:v>0</x:v>
      </x:c>
      <x:c r="B2" s="15" t="str">
        <x:v>FB</x:v>
      </x:c>
      <x:c r="C2" s="15" t="str">
        <x:v>Meta Platforms (as Facebook)</x:v>
      </x:c>
      <x:c r="D2" s="15" t="str">
        <x:v>2016q2</x:v>
      </x:c>
      <x:c r="E2" s="15" t="str">
        <x:v>2016-04-27</x:v>
      </x:c>
      <x:c r="F2" s="18" t="n">
        <x:v>-0.15</x:v>
      </x:c>
      <x:c r="G2" s="18" t="n">
        <x:v>8.06</x:v>
      </x:c>
      <x:c r="H2" s="18" t="n">
        <x:v>7.9</x:v>
      </x:c>
      <x:c r="I2" s="18" t="n">
        <x:v>6.22</x:v>
      </x:c>
      <x:c r="J2" s="18" t="n">
        <x:v>7.65</x:v>
      </x:c>
      <x:c r="K2" s="15" t="str">
        <x:v>ret_1daypost_pct</x:v>
      </x:c>
      <x:c r="L2" s="15" t="str">
        <x:v>UP</x:v>
      </x:c>
      <x:c r="M2" s="15" t="str">
        <x:v>## Prior Context
Facebook entered Q1 with extraordinary mobile-ad momentum and accelerating user engagement. The main question was whether the company could keep monetizing mobile at very high rates while maintaining user growth and margins.
### Verified prior source
2016-01-27 | Facebook / Meta IR | Facebook Reports Fourth Quarter and Full Year 2015 Results | https://investor.atmeta.com/investor-news/press-release-details/2016/Facebook-Reports-Fourth-Quarter-and-Full-Year-2015-Results/default.aspx
## Current Earnings Release
Facebook reported **$5.38 billion of revenue**, up 52% year over year, and non-GAAP EPS of **$0.77**, both above consensus. Advertising revenue rose sharply, with mobile already representing about **82% of ad revenue**. Monthly active users reached **1.65 billion** and daily active users **1.09 billion**, while net income expanded rapidly.
The quarter was notable because growth was not coming from one metric alone: users, engagement, mobile monetization and margins all improved together. Facebook also proposed a new non-voting share class designed to preserve Mark Zuckerberg’s voting control, but the immediate market focus remained the operating beat.
### Verified release source
2016-04-27 | Facebook / Meta IR | Facebook Reports First Quarter 2016 Results and Announces Proposal for New Class of Stock | https://investor.atmeta.com/investor-news/press-release-details/2016/Facebook-Reports-First-Quarter-2016-Results-and-Announces-Proposal-for-New-Class-of-Stock/default.aspx
## Possible Drivers
**First-order driver.** Shares surged because revenue, EPS and user growth all beat expectations.
**Second-order driver.** Mobile advertising had become the dominant revenue engine and was still growing exceptionally fast.
**Third-order driver.** Strong engagement showed monetization gains were not being achieved at the expense of user growth.
### Verified reaction source
2016-04-27 | TechCrunch | Facebook swells to 1.65B users and beats Q1 estimates with $5.38B revenue | https://techcrunch.com/2016/04/27/facebook-q1-2016-earnings/
## Verification Status
All included pages were opened and checked for Facebook/FB identity, the correct earnings event, publication date, timing window and source origin. Facebook/Meta Investor Relations is the factual anchor. No WSJ, Reuters, Dow Jones or MarketWatch-syndicated article is included.
</x:v>
      </x:c>
      <x:c r="N2" s="15" t="str">
        <x:v>2016-01-27 | Facebook / Meta IR | Facebook Reports Fourth Quarter and Full Year 2015 Results | https://investor.atmeta.com/investor-news/press-release-details/2016/Facebook-Reports-Fourth-Quarter-and-Full-Year-2015-Results/default.aspx</x:v>
      </x:c>
      <x:c r="O2" s="15" t="str">
        <x:v>2016-04-27 | Facebook / Meta IR | Facebook Reports First Quarter 2016 Results and Announces Proposal for New Class of Stock | https://investor.atmeta.com/investor-news/press-release-details/2016/Facebook-Reports-First-Quarter-2016-Results-and-Announces-Proposal-for-New-Class-of-Stock/default.aspx</x:v>
      </x:c>
      <x:c r="P2" s="15" t="str">
        <x:v>2016-04-27 | TechCrunch | Facebook swells to 1.65B users and beats Q1 estimates with $5.38B revenue | https://techcrunch.com/2016/04/27/facebook-q1-2016-earnings/</x:v>
      </x:c>
      <x:c r="Q2" s="15" t="str">
        <x:v>2016-01-27 | Facebook / Meta IR | Facebook Reports Fourth Quarter and Full Year 2015 Results | https://investor.atmeta.com/investor-news/press-release-details/2016/Facebook-Reports-Fourth-Quarter-and-Full-Year-2015-Results/default.aspx
2016-04-27 | Facebook / Meta IR | Facebook Reports First Quarter 2016 Results and Announces Proposal for New Class of Stock | https://investor.atmeta.com/investor-news/press-release-details/2016/Facebook-Reports-First-Quarter-2016-Results-and-Announces-Proposal-for-New-Class-of-Stock/default.aspx
2016-04-27 | TechCrunch | Facebook swells to 1.65B users and beats Q1 estimates with $5.38B revenue | https://techcrunch.com/2016/04/27/facebook-q1-2016-earnings/</x:v>
      </x:c>
      <x:c r="R2" s="15" t="n">
        <x:v>3</x:v>
      </x:c>
      <x:c r="S2" s="15" t="str">
        <x:v>PASS</x:v>
      </x:c>
    </x:row>
    <x:row r="3" ht="340" customHeight="1">
      <x:c r="A3" s="15" t="n">
        <x:v>1</x:v>
      </x:c>
      <x:c r="B3" s="15" t="str">
        <x:v>FB</x:v>
      </x:c>
      <x:c r="C3" s="15" t="str">
        <x:v>Meta Platforms (as Facebook)</x:v>
      </x:c>
      <x:c r="D3" s="15" t="str">
        <x:v>2016q3</x:v>
      </x:c>
      <x:c r="E3" s="15" t="str">
        <x:v>2016-07-27</x:v>
      </x:c>
      <x:c r="F3" s="18" t="n">
        <x:v>1.87</x:v>
      </x:c>
      <x:c r="G3" s="18" t="n">
        <x:v>1.18</x:v>
      </x:c>
      <x:c r="H3" s="18" t="n">
        <x:v>3.07</x:v>
      </x:c>
      <x:c r="I3" s="18" t="n">
        <x:v>2.56</x:v>
      </x:c>
      <x:c r="J3" s="18" t="n">
        <x:v>1.95</x:v>
      </x:c>
      <x:c r="K3" s="15" t="str">
        <x:v>ret_1daypost_pct</x:v>
      </x:c>
      <x:c r="L3" s="15" t="str">
        <x:v>UP</x:v>
      </x:c>
      <x:c r="M3" s="15" t="str">
        <x:v>## Prior Context
After the April blowout, the expectations bar rose sharply. Investors wanted evidence that Facebook could keep compounding users, mobile ad revenue and profit without an obvious slowdown.
### Verified prior source
2016-04-27 | Facebook / Meta IR | Facebook Reports First Quarter 2016 Results and Announces Proposal for New Class of Stock | https://investor.atmeta.com/investor-news/press-release-details/2016/Facebook-Reports-First-Quarter-2016-Results-and-Announces-Proposal-for-New-Class-of-Stock/default.aspx
## Current Earnings Release
Q2 revenue reached **$6.44 billion**, up **59%** year over year, while non-GAAP EPS was **$0.97** versus consensus around $0.82. Facebook reached **1.71 billion monthly users** and **1.13 billion daily users**; mobile ad revenue represented **84%** of advertising revenue.
The quarter also showed very strong operating leverage. Advertising revenue increased 63%, while operating income more than doubled on a GAAP basis. That combination—very high revenue growth plus expanding profitability—made the result stronger than a simple user-growth story.
### Verified release source
2016-07-27 | Facebook / Meta IR | Facebook Reports Second Quarter 2016 Results | https://investor.atmeta.com/investor-news/press-release-details/2016/Facebook-Reports-Second-Quarter-2016-Results/default.aspx
## Possible Drivers
**First-order driver.** A broad revenue/EPS beat supported the positive post-release move.
**Second-order driver.** Mobile monetization remained exceptionally strong even as Facebook’s user base became very large.
**Third-order driver.** Rising engagement and operating leverage improved the quality of the growth.
### Verified reaction source
2016-07-27 | The Motley Fool | Facebook Delivers a Blowout Quarter | https://www.fool.com/investing/2016/07/27/facebook-delivers-a-blowout-quarter.aspx
## Verification Status
All included pages were opened and checked for Facebook/FB identity, the correct earnings event, publication date, timing window and source origin. Facebook/Meta Investor Relations is the factual anchor. No WSJ, Reuters, Dow Jones or MarketWatch-syndicated article is included.
</x:v>
      </x:c>
      <x:c r="N3" s="15" t="str">
        <x:v>2016-04-27 | Facebook / Meta IR | Facebook Reports First Quarter 2016 Results and Announces Proposal for New Class of Stock | https://investor.atmeta.com/investor-news/press-release-details/2016/Facebook-Reports-First-Quarter-2016-Results-and-Announces-Proposal-for-New-Class-of-Stock/default.aspx</x:v>
      </x:c>
      <x:c r="O3" s="15" t="str">
        <x:v>2016-07-27 | Facebook / Meta IR | Facebook Reports Second Quarter 2016 Results | https://investor.atmeta.com/investor-news/press-release-details/2016/Facebook-Reports-Second-Quarter-2016-Results/default.aspx</x:v>
      </x:c>
      <x:c r="P3" s="15" t="str">
        <x:v>2016-07-27 | The Motley Fool | Facebook Delivers a Blowout Quarter | https://www.fool.com/investing/2016/07/27/facebook-delivers-a-blowout-quarter.aspx</x:v>
      </x:c>
      <x:c r="Q3" s="15" t="str">
        <x:v>2016-04-27 | Facebook / Meta IR | Facebook Reports First Quarter 2016 Results and Announces Proposal for New Class of Stock | https://investor.atmeta.com/investor-news/press-release-details/2016/Facebook-Reports-First-Quarter-2016-Results-and-Announces-Proposal-for-New-Class-of-Stock/default.aspx
2016-07-27 | Facebook / Meta IR | Facebook Reports Second Quarter 2016 Results | https://investor.atmeta.com/investor-news/press-release-details/2016/Facebook-Reports-Second-Quarter-2016-Results/default.aspx
2016-07-27 | The Motley Fool | Facebook Delivers a Blowout Quarter | https://www.fool.com/investing/2016/07/27/facebook-delivers-a-blowout-quarter.aspx</x:v>
      </x:c>
      <x:c r="R3" s="15" t="n">
        <x:v>3</x:v>
      </x:c>
      <x:c r="S3" s="15" t="str">
        <x:v>PASS</x:v>
      </x:c>
    </x:row>
    <x:row r="4" ht="340" customHeight="1">
      <x:c r="A4" s="15" t="n">
        <x:v>2</x:v>
      </x:c>
      <x:c r="B4" s="15" t="str">
        <x:v>FB</x:v>
      </x:c>
      <x:c r="C4" s="15" t="str">
        <x:v>Meta Platforms (as Facebook)</x:v>
      </x:c>
      <x:c r="D4" s="15" t="str">
        <x:v>2016q4</x:v>
      </x:c>
      <x:c r="E4" s="15" t="str">
        <x:v>2016-11-02</x:v>
      </x:c>
      <x:c r="F4" s="18" t="n">
        <x:v>-1.03</x:v>
      </x:c>
      <x:c r="G4" s="18" t="n">
        <x:v>-5.24</x:v>
      </x:c>
      <x:c r="H4" s="18" t="n">
        <x:v>-6.22</x:v>
      </x:c>
      <x:c r="I4" s="18" t="n">
        <x:v>-6.65</x:v>
      </x:c>
      <x:c r="J4" s="18" t="n">
        <x:v>-6.83</x:v>
      </x:c>
      <x:c r="K4" s="15" t="str">
        <x:v>ret_1daypost_pct</x:v>
      </x:c>
      <x:c r="L4" s="15" t="str">
        <x:v>DOWN</x:v>
      </x:c>
      <x:c r="M4" s="15" t="str">
        <x:v>## Prior Context
Facebook had beaten estimates repeatedly, but management had already warned that News Feed ad load could not increase indefinitely. Q3 therefore tested whether pricing, engagement and new formats could offset a future limit on the number of ads shown.
### Verified prior source
2016-07-27 | Facebook / Meta IR | Facebook Reports Second Quarter 2016 Results | https://investor.atmeta.com/investor-news/press-release-details/2016/Facebook-Reports-Second-Quarter-2016-Results/default.aspx
## Current Earnings Release
Facebook reported **$7.01 billion of revenue**, up **56%**, and adjusted EPS of about **$1.09**, both above consensus. Monthly users reached **1.79 billion**, daily users **1.18 billion**, and mobile represented **84%** of ad revenue. Current-quarter economics were therefore excellent.
The negative information arrived on the call. CFO David Wehner reiterated that ad load would become a much smaller contributor to growth after mid-2017, meaning ad-revenue growth would **decelerate meaningfully**. Management also described 2017 as an aggressive investment year. The market therefore shifted attention from the Q3 beat to the expected slowdown in monetization growth and higher expenses.
### Verified release source
2016-11-02 | Facebook / Meta IR | Facebook Reports Third Quarter 2016 Results | https://investor.atmeta.com/investor-news/press-release-details/2016/Facebook-Reports-Third-Quarter-2016-Results/default.aspx
## Possible Drivers
**First-order driver.** The stock fell because Facebook warned of a meaningful ad-revenue slowdown despite beating Q3 estimates.
**Second-order driver.** Reaching maximum News Feed ad load removed an important historical growth lever.
**Third-order driver.** Higher planned investment implied slower profit growth even if user engagement remained strong.
### Verified reaction source
2016-11-02 | TheStreet | Facebook Stock Tumbles in After-Hours Trading on Outlook | https://www.thestreet.com/markets/facebook-fb-stock-higher-in-after-hours-trading-on-q3-beat-13878308
## Verification Status
All included pages were opened and checked for Facebook/FB identity, the correct earnings event, publication date, timing window and source origin. Facebook/Meta Investor Relations is the factual anchor. No WSJ, Reuters, Dow Jones or MarketWatch-syndicated article is included.
</x:v>
      </x:c>
      <x:c r="N4" s="15" t="str">
        <x:v>2016-07-27 | Facebook / Meta IR | Facebook Reports Second Quarter 2016 Results | https://investor.atmeta.com/investor-news/press-release-details/2016/Facebook-Reports-Second-Quarter-2016-Results/default.aspx</x:v>
      </x:c>
      <x:c r="O4" s="15" t="str">
        <x:v>2016-11-02 | Facebook / Meta IR | Facebook Reports Third Quarter 2016 Results | https://investor.atmeta.com/investor-news/press-release-details/2016/Facebook-Reports-Third-Quarter-2016-Results/default.aspx</x:v>
      </x:c>
      <x:c r="P4" s="15" t="str">
        <x:v>2016-11-02 | TheStreet | Facebook Stock Tumbles in After-Hours Trading on Outlook | https://www.thestreet.com/markets/facebook-fb-stock-higher-in-after-hours-trading-on-q3-beat-13878308</x:v>
      </x:c>
      <x:c r="Q4" s="15" t="str">
        <x:v>2016-07-27 | Facebook / Meta IR | Facebook Reports Second Quarter 2016 Results | https://investor.atmeta.com/investor-news/press-release-details/2016/Facebook-Reports-Second-Quarter-2016-Results/default.aspx
2016-11-02 | Facebook / Meta IR | Facebook Reports Third Quarter 2016 Results | https://investor.atmeta.com/investor-news/press-release-details/2016/Facebook-Reports-Third-Quarter-2016-Results/default.aspx
2016-11-02 | TheStreet | Facebook Stock Tumbles in After-Hours Trading on Outlook | https://www.thestreet.com/markets/facebook-fb-stock-higher-in-after-hours-trading-on-q3-beat-13878308</x:v>
      </x:c>
      <x:c r="R4" s="15" t="n">
        <x:v>3</x:v>
      </x:c>
      <x:c r="S4" s="15" t="str">
        <x:v>PASS</x:v>
      </x:c>
    </x:row>
    <x:row r="5" ht="340" customHeight="1">
      <x:c r="A5" s="15" t="n">
        <x:v>3</x:v>
      </x:c>
      <x:c r="B5" s="15" t="str">
        <x:v>FB</x:v>
      </x:c>
      <x:c r="C5" s="15" t="str">
        <x:v>Meta Platforms (as Facebook)</x:v>
      </x:c>
      <x:c r="D5" s="15" t="str">
        <x:v>2017q1</x:v>
      </x:c>
      <x:c r="E5" s="15" t="str">
        <x:v>2017-02-01</x:v>
      </x:c>
      <x:c r="F5" s="18" t="n">
        <x:v>2.2</x:v>
      </x:c>
      <x:c r="G5" s="18" t="n">
        <x:v>-1.85</x:v>
      </x:c>
      <x:c r="H5" s="18" t="n">
        <x:v>0.31</x:v>
      </x:c>
      <x:c r="I5" s="18" t="n">
        <x:v>-0.28</x:v>
      </x:c>
      <x:c r="J5" s="18" t="n">
        <x:v>0.13</x:v>
      </x:c>
      <x:c r="K5" s="15" t="str">
        <x:v>ret_1daypost_pct</x:v>
      </x:c>
      <x:c r="L5" s="15" t="str">
        <x:v>DOWN</x:v>
      </x:c>
      <x:c r="M5" s="15" t="str">
        <x:v>## Prior Context
After November’s warning, investors knew revenue growth would decelerate as ad-load gains faded. The key question was whether stronger pricing, user growth and Instagram could offset that structural slowdown.
### Verified prior source
2016-11-02 | Facebook / Meta IR | Facebook Reports Third Quarter 2016 Results | https://investor.atmeta.com/investor-news/press-release-details/2016/Facebook-Reports-Third-Quarter-2016-Results/default.aspx
## Current Earnings Release
Facebook delivered **$8.81 billion of revenue** and adjusted EPS of about **$1.41**, both above consensus. Revenue grew **51%**, mobile advertising reached **84%** of ad revenue, and monthly active users increased to **1.86 billion**. The quarter was operationally very strong.
However, management reiterated that ad-revenue growth would slow meaningfully during 2017 and projected **47%–57% expense growth** on a non-GAAP basis. Shares initially jumped after the headline beat, but the rally faded during the call and the stock finished the next full session lower. The earnings event therefore became a classic “great quarter, weaker forward earnings structure” case.
### Verified release source
2017-02-01 | Facebook / Meta IR | Facebook Reports Fourth Quarter and Full Year 2016 Results | https://investor.atmeta.com/investor-news/press-release-details/2017/Facebook-Reports-Fourth-Quarter-and-Full-Year-2016-Results/default.aspx
## Possible Drivers
**First-order driver.** The next-session decline reflected concern about ad-load-driven deceleration and sharply higher 2017 expenses.
**Second-order driver.** The current quarter itself was a clear beat, so the negative reaction was forward-looking rather than operational.
**Third-order driver.** Instagram and ad pricing remained important offsets, but investors expected slower consolidated profit growth.
### Verified reaction source
2017-02-02 | TheStreet | Here's the Surprising Number That Knocked Facebook's Stock Off Its All-Time High | https://www.thestreet.com/story/13975472/1/facebook-shares-advance-as-fourth-quarter-results-top-street-estimates.html
## Verification Status
All included pages were opened and checked for Facebook/FB identity, the correct earnings event, publication date, timing window and source origin. Facebook/Meta Investor Relations is the factual anchor. No WSJ, Reuters, Dow Jones or MarketWatch-syndicated article is included.
</x:v>
      </x:c>
      <x:c r="N5" s="15" t="str">
        <x:v>2016-11-02 | Facebook / Meta IR | Facebook Reports Third Quarter 2016 Results | https://investor.atmeta.com/investor-news/press-release-details/2016/Facebook-Reports-Third-Quarter-2016-Results/default.aspx</x:v>
      </x:c>
      <x:c r="O5" s="15" t="str">
        <x:v>2017-02-01 | Facebook / Meta IR | Facebook Reports Fourth Quarter and Full Year 2016 Results | https://investor.atmeta.com/investor-news/press-release-details/2017/Facebook-Reports-Fourth-Quarter-and-Full-Year-2016-Results/default.aspx</x:v>
      </x:c>
      <x:c r="P5" s="15" t="str">
        <x:v>2017-02-02 | TheStreet | Here's the Surprising Number That Knocked Facebook's Stock Off Its All-Time High | https://www.thestreet.com/story/13975472/1/facebook-shares-advance-as-fourth-quarter-results-top-street-estimates.html</x:v>
      </x:c>
      <x:c r="Q5" s="15" t="str">
        <x:v>2016-11-02 | Facebook / Meta IR | Facebook Reports Third Quarter 2016 Results | https://investor.atmeta.com/investor-news/press-release-details/2016/Facebook-Reports-Third-Quarter-2016-Results/default.aspx
2017-02-01 | Facebook / Meta IR | Facebook Reports Fourth Quarter and Full Year 2016 Results | https://investor.atmeta.com/investor-news/press-release-details/2017/Facebook-Reports-Fourth-Quarter-and-Full-Year-2016-Results/default.aspx
2017-02-02 | TheStreet | Here's the Surprising Number That Knocked Facebook's Stock Off Its All-Time High | https://www.thestreet.com/story/13975472/1/facebook-shares-advance-as-fourth-quarter-results-top-street-estimates.html</x:v>
      </x:c>
      <x:c r="R5" s="15" t="n">
        <x:v>3</x:v>
      </x:c>
      <x:c r="S5" s="15" t="str">
        <x:v>PASS</x:v>
      </x:c>
    </x:row>
    <x:row r="6" ht="340" customHeight="1">
      <x:c r="A6" s="15" t="n">
        <x:v>4</x:v>
      </x:c>
      <x:c r="B6" s="15" t="str">
        <x:v>FB</x:v>
      </x:c>
      <x:c r="C6" s="15" t="str">
        <x:v>Meta Platforms (as Facebook)</x:v>
      </x:c>
      <x:c r="D6" s="15" t="str">
        <x:v>2017q2</x:v>
      </x:c>
      <x:c r="E6" s="15" t="str">
        <x:v>2017-05-03</x:v>
      </x:c>
      <x:c r="F6" s="18" t="n">
        <x:v>-0.38</x:v>
      </x:c>
      <x:c r="G6" s="18" t="n">
        <x:v>-0.55</x:v>
      </x:c>
      <x:c r="H6" s="18" t="n">
        <x:v>-0.93</x:v>
      </x:c>
      <x:c r="I6" s="18" t="n">
        <x:v>-0.75</x:v>
      </x:c>
      <x:c r="J6" s="18" t="n">
        <x:v>-1.11</x:v>
      </x:c>
      <x:c r="K6" s="15" t="str">
        <x:v>ret_1daypost_pct</x:v>
      </x:c>
      <x:c r="L6" s="15" t="str">
        <x:v>DOWN</x:v>
      </x:c>
      <x:c r="M6" s="15" t="str">
        <x:v>## Prior Context
Facebook entered Q1 with the market already prepared for slower ad-load growth. Investors were increasingly focused on ad pricing, Instagram, video and the company’s ability to preserve margins while investing heavily.
### Verified prior source
2017-02-01 | Facebook / Meta IR | Facebook Reports Fourth Quarter and Full Year 2016 Results | https://investor.atmeta.com/investor-news/press-release-details/2017/Facebook-Reports-Fourth-Quarter-and-Full-Year-2016-Results/default.aspx
## Current Earnings Release
Q1 revenue rose **49% to $8.03 billion**, above consensus near $7.83 billion, while GAAP EPS was **$1.04** versus roughly $0.87 expected. Advertising revenue increased **51%**, mobile reached **85%** of ad revenue, and monthly users rose to **1.94 billion**.
Despite the beat, management repeated that ad-revenue growth would come down meaningfully in the second half as ad-load growth faded. The company was also stepping up investment in content review and infrastructure. The stock finished the next session only modestly lower, indicating that much of this deceleration risk was already understood.
### Verified release source
2017-05-03 | Facebook / Meta IR | Facebook Reports First Quarter 2017 Results | https://investor.atmeta.com/investor-news/press-release-details/2017/Facebook-Reports-First-Quarter-2017-Results/default.aspx
## Possible Drivers
**First-order driver.** Shares edged lower because the forward ad-growth slowdown overshadowed another earnings beat.
**Second-order driver.** Strong pricing and mobile ad growth showed the core monetization engine was still healthy.
**Third-order driver.** Higher investment needs limited the margin upside from the revenue beat.
### Verified reaction source
2017-05-04 | TheStreet | Facebook Shares Fall Despite Q1 Beat: What Wall Street's Saying | https://www.thestreet.com/investing/stocks/facebook-shares-fall-despite-q1-beat-what-wall-street-s-saying-14118881
## Verification Status
All included pages were opened and checked for Facebook/FB identity, the correct earnings event, publication date, timing window and source origin. Facebook/Meta Investor Relations is the factual anchor. No WSJ, Reuters, Dow Jones or MarketWatch-syndicated article is included.
</x:v>
      </x:c>
      <x:c r="N6" s="15" t="str">
        <x:v>2017-02-01 | Facebook / Meta IR | Facebook Reports Fourth Quarter and Full Year 2016 Results | https://investor.atmeta.com/investor-news/press-release-details/2017/Facebook-Reports-Fourth-Quarter-and-Full-Year-2016-Results/default.aspx</x:v>
      </x:c>
      <x:c r="O6" s="15" t="str">
        <x:v>2017-05-03 | Facebook / Meta IR | Facebook Reports First Quarter 2017 Results | https://investor.atmeta.com/investor-news/press-release-details/2017/Facebook-Reports-First-Quarter-2017-Results/default.aspx</x:v>
      </x:c>
      <x:c r="P6" s="15" t="str">
        <x:v>2017-05-04 | TheStreet | Facebook Shares Fall Despite Q1 Beat: What Wall Street's Saying | https://www.thestreet.com/investing/stocks/facebook-shares-fall-despite-q1-beat-what-wall-street-s-saying-14118881</x:v>
      </x:c>
      <x:c r="Q6" s="15" t="str">
        <x:v>2017-02-01 | Facebook / Meta IR | Facebook Reports Fourth Quarter and Full Year 2016 Results | https://investor.atmeta.com/investor-news/press-release-details/2017/Facebook-Reports-Fourth-Quarter-and-Full-Year-2016-Results/default.aspx
2017-05-03 | Facebook / Meta IR | Facebook Reports First Quarter 2017 Results | https://investor.atmeta.com/investor-news/press-release-details/2017/Facebook-Reports-First-Quarter-2017-Results/default.aspx
2017-05-04 | TheStreet | Facebook Shares Fall Despite Q1 Beat: What Wall Street's Saying | https://www.thestreet.com/investing/stocks/facebook-shares-fall-despite-q1-beat-what-wall-street-s-saying-14118881</x:v>
      </x:c>
      <x:c r="R6" s="15" t="n">
        <x:v>3</x:v>
      </x:c>
      <x:c r="S6" s="15" t="str">
        <x:v>PASS</x:v>
      </x:c>
    </x:row>
    <x:row r="7" ht="340" customHeight="1">
      <x:c r="A7" s="15" t="n">
        <x:v>5</x:v>
      </x:c>
      <x:c r="B7" s="15" t="str">
        <x:v>FB</x:v>
      </x:c>
      <x:c r="C7" s="15" t="str">
        <x:v>Meta Platforms (as Facebook)</x:v>
      </x:c>
      <x:c r="D7" s="15" t="str">
        <x:v>2017q3</x:v>
      </x:c>
      <x:c r="E7" s="15" t="str">
        <x:v>2017-07-26</x:v>
      </x:c>
      <x:c r="F7" s="18" t="n">
        <x:v>0.21</x:v>
      </x:c>
      <x:c r="G7" s="18" t="n">
        <x:v>3.13</x:v>
      </x:c>
      <x:c r="H7" s="18" t="n">
        <x:v>3.34</x:v>
      </x:c>
      <x:c r="I7" s="18" t="n">
        <x:v>2.54</x:v>
      </x:c>
      <x:c r="J7" s="18" t="n">
        <x:v>2.02</x:v>
      </x:c>
      <x:c r="K7" s="15" t="str">
        <x:v>ret_1daypost_pct</x:v>
      </x:c>
      <x:c r="L7" s="15" t="str">
        <x:v>UP</x:v>
      </x:c>
      <x:c r="M7" s="15" t="str">
        <x:v>## Prior Context
With ad-load growth nearing its ceiling, Facebook needed price increases and engagement to carry revenue growth. Investors were also watching whether Instagram and video could become larger monetization engines.
### Verified prior source
2017-05-03 | Facebook / Meta IR | Facebook Reports First Quarter 2017 Results | https://investor.atmeta.com/investor-news/press-release-details/2017/Facebook-Reports-First-Quarter-2017-Results/default.aspx
## Current Earnings Release
Q2 revenue was **$9.32 billion** and GAAP EPS **$1.32**, both above consensus. Revenue grew about **45%**, daily users reached **1.32 billion**, monthly users crossed **2.0 billion**, and operating margin expanded to **47%**.
The quality of the beat came from monetization rather than faster user growth. Facebook’s user-growth rate slowed modestly, but average revenue per user and ad pricing remained strong. This demonstrated that Facebook could keep generating very high revenue and profit growth even as its core platform matured.
### Verified release source
2017-07-26 | Facebook / Meta IR | Facebook Reports Second Quarter 2017 Results | https://investor.atmeta.com/investor-news/press-release-details/2017/Facebook-Reports-Second-Quarter-2017-Results/default.aspx
## Possible Drivers
**First-order driver.** The positive reaction reflected another revenue/EPS beat with strong margins.
**Second-order driver.** Better monetization offset slower incremental user growth.
**Third-order driver.** Instagram and video increased the number of surfaces available for future ad growth.
### Verified reaction source
2017-07-26 | TechCrunch | Facebook beats in Q2 with $9.32B revenue despite slower user growth | https://techcrunch.com/2017/07/26/facebook-earnings-q2-2017/
## Verification Status
All included pages were opened and checked for Facebook/FB identity, the correct earnings event, publication date, timing window and source origin. Facebook/Meta Investor Relations is the factual anchor. No WSJ, Reuters, Dow Jones or MarketWatch-syndicated article is included.
</x:v>
      </x:c>
      <x:c r="N7" s="15" t="str">
        <x:v>2017-05-03 | Facebook / Meta IR | Facebook Reports First Quarter 2017 Results | https://investor.atmeta.com/investor-news/press-release-details/2017/Facebook-Reports-First-Quarter-2017-Results/default.aspx</x:v>
      </x:c>
      <x:c r="O7" s="15" t="str">
        <x:v>2017-07-26 | Facebook / Meta IR | Facebook Reports Second Quarter 2017 Results | https://investor.atmeta.com/investor-news/press-release-details/2017/Facebook-Reports-Second-Quarter-2017-Results/default.aspx</x:v>
      </x:c>
      <x:c r="P7" s="15" t="str">
        <x:v>2017-07-26 | TechCrunch | Facebook beats in Q2 with $9.32B revenue despite slower user growth | https://techcrunch.com/2017/07/26/facebook-earnings-q2-2017/</x:v>
      </x:c>
      <x:c r="Q7" s="15" t="str">
        <x:v>2017-05-03 | Facebook / Meta IR | Facebook Reports First Quarter 2017 Results | https://investor.atmeta.com/investor-news/press-release-details/2017/Facebook-Reports-First-Quarter-2017-Results/default.aspx
2017-07-26 | Facebook / Meta IR | Facebook Reports Second Quarter 2017 Results | https://investor.atmeta.com/investor-news/press-release-details/2017/Facebook-Reports-Second-Quarter-2017-Results/default.aspx
2017-07-26 | TechCrunch | Facebook beats in Q2 with $9.32B revenue despite slower user growth | https://techcrunch.com/2017/07/26/facebook-earnings-q2-2017/</x:v>
      </x:c>
      <x:c r="R7" s="15" t="n">
        <x:v>3</x:v>
      </x:c>
      <x:c r="S7" s="15" t="str">
        <x:v>PASS</x:v>
      </x:c>
    </x:row>
    <x:row r="8" ht="340" customHeight="1">
      <x:c r="A8" s="15" t="n">
        <x:v>6</x:v>
      </x:c>
      <x:c r="B8" s="15" t="str">
        <x:v>FB</x:v>
      </x:c>
      <x:c r="C8" s="15" t="str">
        <x:v>Meta Platforms (as Facebook)</x:v>
      </x:c>
      <x:c r="D8" s="15" t="str">
        <x:v>2017q4</x:v>
      </x:c>
      <x:c r="E8" s="15" t="str">
        <x:v>2017-11-01</x:v>
      </x:c>
      <x:c r="F8" s="18" t="n">
        <x:v>1.37</x:v>
      </x:c>
      <x:c r="G8" s="18" t="n">
        <x:v>-2.08</x:v>
      </x:c>
      <x:c r="H8" s="18" t="n">
        <x:v>-0.74</x:v>
      </x:c>
      <x:c r="I8" s="18" t="n">
        <x:v>-0.84</x:v>
      </x:c>
      <x:c r="J8" s="18" t="n">
        <x:v>-0.64</x:v>
      </x:c>
      <x:c r="K8" s="15" t="str">
        <x:v>ret_1daypost_pct</x:v>
      </x:c>
      <x:c r="L8" s="15" t="str">
        <x:v>DOWN</x:v>
      </x:c>
      <x:c r="M8" s="15" t="str">
        <x:v>## Prior Context
Q3 arrived amid scrutiny over Russian political ads and platform abuse. Investors knew security spending would rise, but the magnitude of that investment—and its effect on margins—was uncertain.
### Verified prior source
2017-07-26 | Facebook / Meta IR | Facebook Reports Second Quarter 2017 Results | https://investor.atmeta.com/investor-news/press-release-details/2017/Facebook-Reports-Second-Quarter-2017-Results/default.aspx
## Current Earnings Release
Facebook reported **$10.33 billion of revenue** and **$1.59 of GAAP EPS**, both far above consensus. Advertising revenue rose **49%**, operating margin reached **50%**, and daily users climbed to **1.37 billion**. The reported quarter was one of Facebook’s strongest.
The call changed the interpretation. Mark Zuckerberg said Facebook would prioritize security and platform integrity over maximizing near-term profit. CFO David Wehner projected **45%–60% operating-expense growth in 2018** and roughly doubled capital spending. The stock therefore fell in the next session despite the blowout numbers.
### Verified release source
2017-11-01 | Facebook / Meta IR | Facebook Reports Third Quarter 2017 Results | https://investor.atmeta.com/investor-news/press-release-details/2017/Facebook-Reports-Third-Quarter-2017-Results/default.aspx
## Possible Drivers
**First-order driver.** Shares fell because the 2018 expense outlook implied a major margin reset.
**Second-order driver.** Security, content review and infrastructure—not weak ad demand—were the source of the expected profit pressure.
**Third-order driver.** Strong ad pricing and engagement kept the long-term growth thesis intact despite the near-term cost shock.
### Verified reaction source
2017-11-02 | The Motley Fool | Facebook Investors Freak Out About Expense Guidance (Again) | https://www.fool.com/investing/2017/11/02/facebook-investors-freak-out-about-expense-guidanc.aspx
## Verification Status
All included pages were opened and checked for Facebook/FB identity, the correct earnings event, publication date, timing window and source origin. Facebook/Meta Investor Relations is the factual anchor. No WSJ, Reuters, Dow Jones or MarketWatch-syndicated article is included.
</x:v>
      </x:c>
      <x:c r="N8" s="15" t="str">
        <x:v>2017-07-26 | Facebook / Meta IR | Facebook Reports Second Quarter 2017 Results | https://investor.atmeta.com/investor-news/press-release-details/2017/Facebook-Reports-Second-Quarter-2017-Results/default.aspx</x:v>
      </x:c>
      <x:c r="O8" s="15" t="str">
        <x:v>2017-11-01 | Facebook / Meta IR | Facebook Reports Third Quarter 2017 Results | https://investor.atmeta.com/investor-news/press-release-details/2017/Facebook-Reports-Third-Quarter-2017-Results/default.aspx</x:v>
      </x:c>
      <x:c r="P8" s="15" t="str">
        <x:v>2017-11-02 | The Motley Fool | Facebook Investors Freak Out About Expense Guidance (Again) | https://www.fool.com/investing/2017/11/02/facebook-investors-freak-out-about-expense-guidanc.aspx</x:v>
      </x:c>
      <x:c r="Q8" s="15" t="str">
        <x:v>2017-07-26 | Facebook / Meta IR | Facebook Reports Second Quarter 2017 Results | https://investor.atmeta.com/investor-news/press-release-details/2017/Facebook-Reports-Second-Quarter-2017-Results/default.aspx
2017-11-01 | Facebook / Meta IR | Facebook Reports Third Quarter 2017 Results | https://investor.atmeta.com/investor-news/press-release-details/2017/Facebook-Reports-Third-Quarter-2017-Results/default.aspx
2017-11-02 | The Motley Fool | Facebook Investors Freak Out About Expense Guidance (Again) | https://www.fool.com/investing/2017/11/02/facebook-investors-freak-out-about-expense-guidanc.aspx</x:v>
      </x:c>
      <x:c r="R8" s="15" t="n">
        <x:v>3</x:v>
      </x:c>
      <x:c r="S8" s="15" t="str">
        <x:v>PASS</x:v>
      </x:c>
    </x:row>
    <x:row r="9" ht="340" customHeight="1">
      <x:c r="A9" s="15" t="n">
        <x:v>7</x:v>
      </x:c>
      <x:c r="B9" s="15" t="str">
        <x:v>FB</x:v>
      </x:c>
      <x:c r="C9" s="15" t="str">
        <x:v>Meta Platforms (as Facebook)</x:v>
      </x:c>
      <x:c r="D9" s="15" t="str">
        <x:v>2018q1</x:v>
      </x:c>
      <x:c r="E9" s="15" t="str">
        <x:v>2018-01-31</x:v>
      </x:c>
      <x:c r="F9" s="18" t="n">
        <x:v>-0.14</x:v>
      </x:c>
      <x:c r="G9" s="18" t="n">
        <x:v>3.34</x:v>
      </x:c>
      <x:c r="H9" s="18" t="n">
        <x:v>3.2</x:v>
      </x:c>
      <x:c r="I9" s="18" t="n">
        <x:v>4.89</x:v>
      </x:c>
      <x:c r="J9" s="18" t="n">
        <x:v>4.56</x:v>
      </x:c>
      <x:c r="K9" s="15" t="str">
        <x:v>ret_1daypost_pct</x:v>
      </x:c>
      <x:c r="L9" s="15" t="str">
        <x:v>UP</x:v>
      </x:c>
      <x:c r="M9" s="15" t="str">
        <x:v>## Prior Context
Facebook entered the quarter after announcing major News Feed changes intended to improve well-being and emphasize meaningful social interactions. Investors feared those changes could reduce engagement and advertising inventory.
### Verified prior source
2017-11-01 | Facebook / Meta IR | Facebook Reports Third Quarter 2017 Results | https://investor.atmeta.com/investor-news/press-release-details/2017/Facebook-Reports-Third-Quarter-2017-Results/default.aspx
## Current Earnings Release
Q4 revenue increased **47% to $12.97 billion**. Adjusted EPS excluding the one-time U.S. tax-reform charge was about **$2.21**, above consensus. Facebook reached **1.40 billion daily users** and **2.13 billion monthly users**.
The most striking operating disclosure was that News Feed changes had already reduced time spent on Facebook by roughly **50 million hours per day**, and U.S./Canada daily users declined for the first time. Yet advertising revenue and ARPU remained extremely strong, and management expressed confidence that more meaningful interactions would improve the platform over time. Investors ultimately treated the monetization resilience as more important than the engagement decline.
### Verified release source
2018-01-31 | Facebook / Meta IR | Facebook Reports Fourth Quarter and Full Year 2017 Results | https://investor.atmeta.com/investor-news/press-release-details/2018/Facebook-Reports-Fourth-Quarter-and-Full-Year-2017-Results/default.aspx
## Possible Drivers
**First-order driver.** Shares rose because revenue and underlying earnings stayed exceptionally strong despite intentional reductions in time spent.
**Second-order driver.** Higher ad pricing and ARPU offset slower engagement growth.
**Third-order driver.** The market accepted the News Feed changes as a long-term quality trade-off rather than an immediate revenue break.
### Verified reaction source
2018-02-01 | The Motley Fool | 4 Things Facebook Management Wants You to Know | https://www.fool.com/investing/2018/02/01/4-things-facebook-management-wants-you-to-know.aspx
## Verification Status
All included pages were opened and checked for Facebook/FB identity, the correct earnings event, publication date, timing window and source origin. Facebook/Meta Investor Relations is the factual anchor. No WSJ, Reuters, Dow Jones or MarketWatch-syndicated article is included.
</x:v>
      </x:c>
      <x:c r="N9" s="15" t="str">
        <x:v>2017-11-01 | Facebook / Meta IR | Facebook Reports Third Quarter 2017 Results | https://investor.atmeta.com/investor-news/press-release-details/2017/Facebook-Reports-Third-Quarter-2017-Results/default.aspx</x:v>
      </x:c>
      <x:c r="O9" s="15" t="str">
        <x:v>2018-01-31 | Facebook / Meta IR | Facebook Reports Fourth Quarter and Full Year 2017 Results | https://investor.atmeta.com/investor-news/press-release-details/2018/Facebook-Reports-Fourth-Quarter-and-Full-Year-2017-Results/default.aspx</x:v>
      </x:c>
      <x:c r="P9" s="15" t="str">
        <x:v>2018-02-01 | The Motley Fool | 4 Things Facebook Management Wants You to Know | https://www.fool.com/investing/2018/02/01/4-things-facebook-management-wants-you-to-know.aspx</x:v>
      </x:c>
      <x:c r="Q9" s="15" t="str">
        <x:v>2017-11-01 | Facebook / Meta IR | Facebook Reports Third Quarter 2017 Results | https://investor.atmeta.com/investor-news/press-release-details/2017/Facebook-Reports-Third-Quarter-2017-Results/default.aspx
2018-01-31 | Facebook / Meta IR | Facebook Reports Fourth Quarter and Full Year 2017 Results | https://investor.atmeta.com/investor-news/press-release-details/2018/Facebook-Reports-Fourth-Quarter-and-Full-Year-2017-Results/default.aspx
2018-02-01 | The Motley Fool | 4 Things Facebook Management Wants You to Know | https://www.fool.com/investing/2018/02/01/4-things-facebook-management-wants-you-to-know.aspx</x:v>
      </x:c>
      <x:c r="R9" s="15" t="n">
        <x:v>3</x:v>
      </x:c>
      <x:c r="S9" s="15" t="str">
        <x:v>PASS</x:v>
      </x:c>
    </x:row>
    <x:row r="10" ht="340" customHeight="1">
      <x:c r="A10" s="15" t="n">
        <x:v>8</x:v>
      </x:c>
      <x:c r="B10" s="15" t="str">
        <x:v>FB</x:v>
      </x:c>
      <x:c r="C10" s="15" t="str">
        <x:v>Meta Platforms (as Facebook)</x:v>
      </x:c>
      <x:c r="D10" s="15" t="str">
        <x:v>2018q2</x:v>
      </x:c>
      <x:c r="E10" s="15" t="str">
        <x:v>2018-04-25</x:v>
      </x:c>
      <x:c r="F10" s="18" t="n">
        <x:v>-0.08</x:v>
      </x:c>
      <x:c r="G10" s="18" t="n">
        <x:v>8.16</x:v>
      </x:c>
      <x:c r="H10" s="18" t="n">
        <x:v>8.08</x:v>
      </x:c>
      <x:c r="I10" s="18" t="n">
        <x:v>5.3</x:v>
      </x:c>
      <x:c r="J10" s="18" t="n">
        <x:v>4.68</x:v>
      </x:c>
      <x:c r="K10" s="15" t="str">
        <x:v>ret_1daypost_pct</x:v>
      </x:c>
      <x:c r="L10" s="15" t="str">
        <x:v>UP</x:v>
      </x:c>
      <x:c r="M10" s="15" t="str">
        <x:v>## Prior Context
The quarter was dominated by Cambridge Analytica, congressional testimony and fears that privacy regulation or user backlash could damage Facebook’s advertising business. Expectations for user and revenue growth had therefore fallen sharply before the print.
### Verified prior source
2018-01-31 | Facebook / Meta IR | Facebook Reports Fourth Quarter and Full Year 2017 Results | https://investor.atmeta.com/investor-news/press-release-details/2018/Facebook-Reports-Fourth-Quarter-and-Full-Year-2017-Results/default.aspx
## Current Earnings Release
Facebook reported **$11.97 billion of revenue** and **$1.69 EPS**, comfortably above consensus near $11.41 billion and $1.35. Daily users increased to **1.45 billion** and monthly users to **2.20 billion**. U.S./Canada daily users recovered to 185 million after the prior quarter’s decline.
Advertising revenue grew **50%**, mobile represented **91%** of ad revenue, and operating margin improved to **46%**. Facebook also increased its share-repurchase authorization by $9 billion. The report showed that the Cambridge Analytica controversy had not yet produced a material advertiser or user exodus.
### Verified release source
2018-04-25 | Facebook / Meta IR | Facebook Reports First Quarter 2018 Results | https://investor.atmeta.com/investor-news/press-release-details/2018/Facebook-Reports-First-Quarter-2018-Results/default.aspx
## Possible Drivers
**First-order driver.** The stock surged because the core ad business and user metrics proved far more resilient than feared.
**Second-order driver.** U.S./Canada daily users recovered, directly countering fears of a user backlash.
**Third-order driver.** The larger buyback reinforced management’s confidence after the pre-earnings selloff.
### Verified reaction source
2018-04-25 | TechCrunch | Facebook beats in Q1 and boosts daily user growth to 1.45B amidst backlash | https://techcrunch.com/2018/04/25/facebook-q1-2018-earnings/
## Verification Status
All included pages were opened and checked for Facebook/FB identity, the correct earnings event, publication date, timing window and source origin. Facebook/Meta Investor Relations is the factual anchor. No WSJ, Reuters, Dow Jones or MarketWatch-syndicated article is included.
</x:v>
      </x:c>
      <x:c r="N10" s="15" t="str">
        <x:v>2018-01-31 | Facebook / Meta IR | Facebook Reports Fourth Quarter and Full Year 2017 Results | https://investor.atmeta.com/investor-news/press-release-details/2018/Facebook-Reports-Fourth-Quarter-and-Full-Year-2017-Results/default.aspx</x:v>
      </x:c>
      <x:c r="O10" s="15" t="str">
        <x:v>2018-04-25 | Facebook / Meta IR | Facebook Reports First Quarter 2018 Results | https://investor.atmeta.com/investor-news/press-release-details/2018/Facebook-Reports-First-Quarter-2018-Results/default.aspx</x:v>
      </x:c>
      <x:c r="P10" s="15" t="str">
        <x:v>2018-04-25 | TechCrunch | Facebook beats in Q1 and boosts daily user growth to 1.45B amidst backlash | https://techcrunch.com/2018/04/25/facebook-q1-2018-earnings/</x:v>
      </x:c>
      <x:c r="Q10" s="15" t="str">
        <x:v>2018-01-31 | Facebook / Meta IR | Facebook Reports Fourth Quarter and Full Year 2017 Results | https://investor.atmeta.com/investor-news/press-release-details/2018/Facebook-Reports-Fourth-Quarter-and-Full-Year-2017-Results/default.aspx
2018-04-25 | Facebook / Meta IR | Facebook Reports First Quarter 2018 Results | https://investor.atmeta.com/investor-news/press-release-details/2018/Facebook-Reports-First-Quarter-2018-Results/default.aspx
2018-04-25 | TechCrunch | Facebook beats in Q1 and boosts daily user growth to 1.45B amidst backlash | https://techcrunch.com/2018/04/25/facebook-q1-2018-earnings/</x:v>
      </x:c>
      <x:c r="R10" s="15" t="n">
        <x:v>3</x:v>
      </x:c>
      <x:c r="S10" s="15" t="str">
        <x:v>PASS</x:v>
      </x:c>
    </x:row>
    <x:row r="11" ht="340" customHeight="1">
      <x:c r="A11" s="15" t="n">
        <x:v>9</x:v>
      </x:c>
      <x:c r="B11" s="15" t="str">
        <x:v>FB</x:v>
      </x:c>
      <x:c r="C11" s="15" t="str">
        <x:v>Meta Platforms (as Facebook)</x:v>
      </x:c>
      <x:c r="D11" s="15" t="str">
        <x:v>2018q3</x:v>
      </x:c>
      <x:c r="E11" s="15" t="str">
        <x:v>2018-07-25</x:v>
      </x:c>
      <x:c r="F11" s="18" t="n">
        <x:v>0.49</x:v>
      </x:c>
      <x:c r="G11" s="18" t="n">
        <x:v>-18.81</x:v>
      </x:c>
      <x:c r="H11" s="18" t="n">
        <x:v>-18.41</x:v>
      </x:c>
      <x:c r="I11" s="18" t="n">
        <x:v>-17.11</x:v>
      </x:c>
      <x:c r="J11" s="18" t="n">
        <x:v>-18.48</x:v>
      </x:c>
      <x:c r="K11" s="15" t="str">
        <x:v>ret_1daypost_pct</x:v>
      </x:c>
      <x:c r="L11" s="15" t="str">
        <x:v>DOWN</x:v>
      </x:c>
      <x:c r="M11" s="15" t="str">
        <x:v>## Prior Context
After the April relief rally, Facebook again carried a high expectations bar. Investors were watching whether GDPR, News Feed changes and privacy investments would finally slow users, revenue or margins.
### Verified prior source
2018-04-25 | Facebook / Meta IR | Facebook Reports First Quarter 2018 Results | https://investor.atmeta.com/investor-news/press-release-details/2018/Facebook-Reports-First-Quarter-2018-Results/default.aspx
## Current Earnings Release
Q2 revenue grew **42% to $13.23 billion**, but it missed consensus near $13.4 billion. Daily and monthly users each grew **11% year over year**, with the slowest quarter-over-quarter daily-user growth Facebook had reported and a user decline in Europe.
The earnings call then produced the decisive negative information. Management said revenue growth would **decelerate significantly** in coming quarters, while operating margin was expected to fall from the mid-40% range toward the **mid-30s** over time as security, privacy, Stories and new products required heavy investment. That combination transformed a modest revenue miss into a fundamental reset of Facebook’s growth-and-margin algorithm.
### Verified release source
2018-07-25 | Facebook / Meta IR | Facebook Reports Second Quarter 2018 Results | https://investor.atmeta.com/investor-news/press-release-details/2018/Facebook-Reports-Second-Quarter-2018-Results/default.aspx
## Possible Drivers
**First-order driver.** The nearly 19% collapse came from the combination of a revenue miss and a much weaker forward growth/margin outlook.
**Second-order driver.** Slow user growth, especially in Europe, suggested the core Facebook platform was maturing.
**Third-order driver.** Security/privacy investment meant slower revenue growth would coincide with structurally higher costs.
### Verified reaction source
2018-07-26 | The Motley Fool | Why Facebook, Inc. Stock Has Plummeted Today | https://www.fool.com/investing/2018/07/26/why-facebook-inc-stock-has-plummeted-today.aspx
## Verification Status
All included pages were opened and checked for Facebook/FB identity, the correct earnings event, publication date, timing window and source origin. Facebook/Meta Investor Relations is the factual anchor. No WSJ, Reuters, Dow Jones or MarketWatch-syndicated article is included.
</x:v>
      </x:c>
      <x:c r="N11" s="15" t="str">
        <x:v>2018-04-25 | Facebook / Meta IR | Facebook Reports First Quarter 2018 Results | https://investor.atmeta.com/investor-news/press-release-details/2018/Facebook-Reports-First-Quarter-2018-Results/default.aspx</x:v>
      </x:c>
      <x:c r="O11" s="15" t="str">
        <x:v>2018-07-25 | Facebook / Meta IR | Facebook Reports Second Quarter 2018 Results | https://investor.atmeta.com/investor-news/press-release-details/2018/Facebook-Reports-Second-Quarter-2018-Results/default.aspx</x:v>
      </x:c>
      <x:c r="P11" s="15" t="str">
        <x:v>2018-07-26 | The Motley Fool | Why Facebook, Inc. Stock Has Plummeted Today | https://www.fool.com/investing/2018/07/26/why-facebook-inc-stock-has-plummeted-today.aspx</x:v>
      </x:c>
      <x:c r="Q11" s="15" t="str">
        <x:v>2018-04-25 | Facebook / Meta IR | Facebook Reports First Quarter 2018 Results | https://investor.atmeta.com/investor-news/press-release-details/2018/Facebook-Reports-First-Quarter-2018-Results/default.aspx
2018-07-25 | Facebook / Meta IR | Facebook Reports Second Quarter 2018 Results | https://investor.atmeta.com/investor-news/press-release-details/2018/Facebook-Reports-Second-Quarter-2018-Results/default.aspx
2018-07-26 | The Motley Fool | Why Facebook, Inc. Stock Has Plummeted Today | https://www.fool.com/investing/2018/07/26/why-facebook-inc-stock-has-plummeted-today.aspx</x:v>
      </x:c>
      <x:c r="R11" s="15" t="n">
        <x:v>3</x:v>
      </x:c>
      <x:c r="S11" s="15" t="str">
        <x:v>PASS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9" hidden="0" customWidth="1"/>
    <x:col min="3" max="3" width="12" hidden="0" customWidth="1"/>
    <x:col min="4" max="4" width="14" hidden="0" customWidth="1"/>
    <x:col min="5" max="5" width="10" hidden="0" customWidth="1"/>
    <x:col min="6" max="6" width="22" hidden="0" customWidth="1"/>
    <x:col min="7" max="7" width="60" hidden="0" customWidth="1"/>
    <x:col min="8" max="8" width="90" hidden="0" customWidth="1"/>
    <x:col min="9" max="9" width="16" hidden="0" customWidth="1"/>
    <x:col min="10" max="10" width="14" hidden="0" customWidth="1"/>
    <x:col min="11" max="11" width="14" hidden="0" customWidth="1"/>
    <x:col min="12" max="12" width="14" hidden="0" customWidth="1"/>
    <x:col min="13" max="13" width="18" hidden="0" customWidth="1"/>
    <x:col min="14" max="14" width="18" hidden="0" customWidth="1"/>
    <x:col min="15" max="15" width="28" hidden="0" customWidth="1"/>
    <x:col min="16" max="16" width="14" hidden="0" customWidth="1"/>
    <x:col min="17" max="17" width="72" hidden="0" customWidth="1"/>
  </x:cols>
  <x:sheetData>
    <x:row r="1">
      <x:c r="A1" s="6" t="str">
        <x:v>earnings_date</x:v>
      </x:c>
      <x:c r="B1" s="6" t="str">
        <x:v>ticker</x:v>
      </x:c>
      <x:c r="C1" s="6" t="str">
        <x:v>role</x:v>
      </x:c>
      <x:c r="D1" s="6" t="str">
        <x:v>source_date</x:v>
      </x:c>
      <x:c r="E1" s="6" t="str">
        <x:v>day_delta</x:v>
      </x:c>
      <x:c r="F1" s="6" t="str">
        <x:v>publisher</x:v>
      </x:c>
      <x:c r="G1" s="6" t="str">
        <x:v>title</x:v>
      </x:c>
      <x:c r="H1" s="6" t="str">
        <x:v>url</x:v>
      </x:c>
      <x:c r="I1" s="6" t="str">
        <x:v>url_status</x:v>
      </x:c>
      <x:c r="J1" s="6" t="str">
        <x:v>ticker_match</x:v>
      </x:c>
      <x:c r="K1" s="6" t="str">
        <x:v>event_match</x:v>
      </x:c>
      <x:c r="L1" s="6" t="str">
        <x:v>date_match</x:v>
      </x:c>
      <x:c r="M1" s="6" t="str">
        <x:v>prohibited_source</x:v>
      </x:c>
      <x:c r="N1" s="6" t="str">
        <x:v>claim_supported</x:v>
      </x:c>
      <x:c r="O1" s="6" t="str">
        <x:v>attribution_strength</x:v>
      </x:c>
      <x:c r="P1" s="6" t="str">
        <x:v>final_status</x:v>
      </x:c>
      <x:c r="Q1" s="6" t="str">
        <x:v>verification_note</x:v>
      </x:c>
    </x:row>
    <x:row r="2">
      <x:c r="A2" s="12" t="str">
        <x:v>2016-04-27</x:v>
      </x:c>
      <x:c r="B2" s="12" t="str">
        <x:v>FB</x:v>
      </x:c>
      <x:c r="C2" s="12" t="str">
        <x:v>prior</x:v>
      </x:c>
      <x:c r="D2" s="12" t="str">
        <x:v>2016-01-27</x:v>
      </x:c>
      <x:c r="E2" s="12" t="n">
        <x:v>-91</x:v>
      </x:c>
      <x:c r="F2" s="12" t="str">
        <x:v>Facebook / Meta IR</x:v>
      </x:c>
      <x:c r="G2" s="12" t="str">
        <x:v>Facebook Reports Fourth Quarter and Full Year 2015 Results</x:v>
      </x:c>
      <x:c r="H2" s="12" t="str">
        <x:v>https://investor.atmeta.com/investor-news/press-release-details/2016/Facebook-Reports-Fourth-Quarter-and-Full-Year-2015-Results/default.aspx</x:v>
      </x:c>
      <x:c r="I2" s="12" t="str">
        <x:v>OPENED_OK</x:v>
      </x:c>
      <x:c r="J2" s="12" t="str">
        <x:v>PASS</x:v>
      </x:c>
      <x:c r="K2" s="12" t="str">
        <x:v>PASS</x:v>
      </x:c>
      <x:c r="L2" s="12" t="str">
        <x:v>PASS</x:v>
      </x:c>
      <x:c r="M2" s="12" t="str">
        <x:v>NO</x:v>
      </x:c>
      <x:c r="N2" s="12" t="str">
        <x:v>PASS</x:v>
      </x:c>
      <x:c r="O2" s="12" t="str">
        <x:v>FACTUAL</x:v>
      </x:c>
      <x:c r="P2" s="12" t="str">
        <x:v>PASS</x:v>
      </x:c>
      <x:c r="Q2" s="12" t="str">
        <x:v>Source was opened/verified for Facebook/FB identity, the exact earnings event, displayed date, timing window and source-origin restriction.</x:v>
      </x:c>
    </x:row>
    <x:row r="3">
      <x:c r="A3" s="12" t="str">
        <x:v>2016-04-27</x:v>
      </x:c>
      <x:c r="B3" s="12" t="str">
        <x:v>FB</x:v>
      </x:c>
      <x:c r="C3" s="12" t="str">
        <x:v>release</x:v>
      </x:c>
      <x:c r="D3" s="12" t="str">
        <x:v>2016-04-27</x:v>
      </x:c>
      <x:c r="E3" s="12" t="n">
        <x:v>0</x:v>
      </x:c>
      <x:c r="F3" s="12" t="str">
        <x:v>Facebook / Meta IR</x:v>
      </x:c>
      <x:c r="G3" s="12" t="str">
        <x:v>Facebook Reports First Quarter 2016 Results and Announces Proposal for New Class of Stock</x:v>
      </x:c>
      <x:c r="H3" s="12" t="str">
        <x:v>https://investor.atmeta.com/investor-news/press-release-details/2016/Facebook-Reports-First-Quarter-2016-Results-and-Announces-Proposal-for-New-Class-of-Stock/default.aspx</x:v>
      </x:c>
      <x:c r="I3" s="12" t="str">
        <x:v>OPENED_OK</x:v>
      </x:c>
      <x:c r="J3" s="12" t="str">
        <x:v>PASS</x:v>
      </x:c>
      <x:c r="K3" s="12" t="str">
        <x:v>PASS</x:v>
      </x:c>
      <x:c r="L3" s="12" t="str">
        <x:v>PASS</x:v>
      </x:c>
      <x:c r="M3" s="12" t="str">
        <x:v>NO</x:v>
      </x:c>
      <x:c r="N3" s="12" t="str">
        <x:v>PASS</x:v>
      </x:c>
      <x:c r="O3" s="12" t="str">
        <x:v>FACTUAL</x:v>
      </x:c>
      <x:c r="P3" s="12" t="str">
        <x:v>PASS</x:v>
      </x:c>
      <x:c r="Q3" s="12" t="str">
        <x:v>Source was opened/verified for Facebook/FB identity, the exact earnings event, displayed date, timing window and source-origin restriction.</x:v>
      </x:c>
    </x:row>
    <x:row r="4">
      <x:c r="A4" s="12" t="str">
        <x:v>2016-04-27</x:v>
      </x:c>
      <x:c r="B4" s="12" t="str">
        <x:v>FB</x:v>
      </x:c>
      <x:c r="C4" s="12" t="str">
        <x:v>reaction</x:v>
      </x:c>
      <x:c r="D4" s="12" t="str">
        <x:v>2016-04-27</x:v>
      </x:c>
      <x:c r="E4" s="12" t="n">
        <x:v>0</x:v>
      </x:c>
      <x:c r="F4" s="12" t="str">
        <x:v>TechCrunch</x:v>
      </x:c>
      <x:c r="G4" s="12" t="str">
        <x:v>Facebook swells to 1.65B users and beats Q1 estimates with $5.38B revenue</x:v>
      </x:c>
      <x:c r="H4" s="12" t="str">
        <x:v>https://techcrunch.com/2016/04/27/facebook-q1-2016-earnings/</x:v>
      </x:c>
      <x:c r="I4" s="12" t="str">
        <x:v>OPENED_OK</x:v>
      </x:c>
      <x:c r="J4" s="12" t="str">
        <x:v>PASS</x:v>
      </x:c>
      <x:c r="K4" s="12" t="str">
        <x:v>PASS</x:v>
      </x:c>
      <x:c r="L4" s="12" t="str">
        <x:v>PASS</x:v>
      </x:c>
      <x:c r="M4" s="12" t="str">
        <x:v>NO</x:v>
      </x:c>
      <x:c r="N4" s="12" t="str">
        <x:v>PASS</x:v>
      </x:c>
      <x:c r="O4" s="12" t="str">
        <x:v>EXPLICIT_OR_CONTEMPORANEOUS</x:v>
      </x:c>
      <x:c r="P4" s="12" t="str">
        <x:v>PASS</x:v>
      </x:c>
      <x:c r="Q4" s="12" t="str">
        <x:v>Source was opened/verified for Facebook/FB identity, the exact earnings event, displayed date, timing window and source-origin restriction.</x:v>
      </x:c>
    </x:row>
    <x:row r="5">
      <x:c r="A5" s="12" t="str">
        <x:v>2016-07-27</x:v>
      </x:c>
      <x:c r="B5" s="12" t="str">
        <x:v>FB</x:v>
      </x:c>
      <x:c r="C5" s="12" t="str">
        <x:v>prior</x:v>
      </x:c>
      <x:c r="D5" s="12" t="str">
        <x:v>2016-04-27</x:v>
      </x:c>
      <x:c r="E5" s="12" t="n">
        <x:v>-91</x:v>
      </x:c>
      <x:c r="F5" s="12" t="str">
        <x:v>Facebook / Meta IR</x:v>
      </x:c>
      <x:c r="G5" s="12" t="str">
        <x:v>Facebook Reports First Quarter 2016 Results and Announces Proposal for New Class of Stock</x:v>
      </x:c>
      <x:c r="H5" s="12" t="str">
        <x:v>https://investor.atmeta.com/investor-news/press-release-details/2016/Facebook-Reports-First-Quarter-2016-Results-and-Announces-Proposal-for-New-Class-of-Stock/default.aspx</x:v>
      </x:c>
      <x:c r="I5" s="12" t="str">
        <x:v>OPENED_OK</x:v>
      </x:c>
      <x:c r="J5" s="12" t="str">
        <x:v>PASS</x:v>
      </x:c>
      <x:c r="K5" s="12" t="str">
        <x:v>PASS</x:v>
      </x:c>
      <x:c r="L5" s="12" t="str">
        <x:v>PASS</x:v>
      </x:c>
      <x:c r="M5" s="12" t="str">
        <x:v>NO</x:v>
      </x:c>
      <x:c r="N5" s="12" t="str">
        <x:v>PASS</x:v>
      </x:c>
      <x:c r="O5" s="12" t="str">
        <x:v>FACTUAL</x:v>
      </x:c>
      <x:c r="P5" s="12" t="str">
        <x:v>PASS</x:v>
      </x:c>
      <x:c r="Q5" s="12" t="str">
        <x:v>Source was opened/verified for Facebook/FB identity, the exact earnings event, displayed date, timing window and source-origin restriction.</x:v>
      </x:c>
    </x:row>
    <x:row r="6">
      <x:c r="A6" s="12" t="str">
        <x:v>2016-07-27</x:v>
      </x:c>
      <x:c r="B6" s="12" t="str">
        <x:v>FB</x:v>
      </x:c>
      <x:c r="C6" s="12" t="str">
        <x:v>release</x:v>
      </x:c>
      <x:c r="D6" s="12" t="str">
        <x:v>2016-07-27</x:v>
      </x:c>
      <x:c r="E6" s="12" t="n">
        <x:v>0</x:v>
      </x:c>
      <x:c r="F6" s="12" t="str">
        <x:v>Facebook / Meta IR</x:v>
      </x:c>
      <x:c r="G6" s="12" t="str">
        <x:v>Facebook Reports Second Quarter 2016 Results</x:v>
      </x:c>
      <x:c r="H6" s="12" t="str">
        <x:v>https://investor.atmeta.com/investor-news/press-release-details/2016/Facebook-Reports-Second-Quarter-2016-Results/default.aspx</x:v>
      </x:c>
      <x:c r="I6" s="12" t="str">
        <x:v>OPENED_OK</x:v>
      </x:c>
      <x:c r="J6" s="12" t="str">
        <x:v>PASS</x:v>
      </x:c>
      <x:c r="K6" s="12" t="str">
        <x:v>PASS</x:v>
      </x:c>
      <x:c r="L6" s="12" t="str">
        <x:v>PASS</x:v>
      </x:c>
      <x:c r="M6" s="12" t="str">
        <x:v>NO</x:v>
      </x:c>
      <x:c r="N6" s="12" t="str">
        <x:v>PASS</x:v>
      </x:c>
      <x:c r="O6" s="12" t="str">
        <x:v>FACTUAL</x:v>
      </x:c>
      <x:c r="P6" s="12" t="str">
        <x:v>PASS</x:v>
      </x:c>
      <x:c r="Q6" s="12" t="str">
        <x:v>Source was opened/verified for Facebook/FB identity, the exact earnings event, displayed date, timing window and source-origin restriction.</x:v>
      </x:c>
    </x:row>
    <x:row r="7">
      <x:c r="A7" s="12" t="str">
        <x:v>2016-07-27</x:v>
      </x:c>
      <x:c r="B7" s="12" t="str">
        <x:v>FB</x:v>
      </x:c>
      <x:c r="C7" s="12" t="str">
        <x:v>reaction</x:v>
      </x:c>
      <x:c r="D7" s="12" t="str">
        <x:v>2016-07-27</x:v>
      </x:c>
      <x:c r="E7" s="12" t="n">
        <x:v>0</x:v>
      </x:c>
      <x:c r="F7" s="12" t="str">
        <x:v>The Motley Fool</x:v>
      </x:c>
      <x:c r="G7" s="12" t="str">
        <x:v>Facebook Delivers a Blowout Quarter</x:v>
      </x:c>
      <x:c r="H7" s="12" t="str">
        <x:v>https://www.fool.com/investing/2016/07/27/facebook-delivers-a-blowout-quarter.aspx</x:v>
      </x:c>
      <x:c r="I7" s="12" t="str">
        <x:v>OPENED_OK</x:v>
      </x:c>
      <x:c r="J7" s="12" t="str">
        <x:v>PASS</x:v>
      </x:c>
      <x:c r="K7" s="12" t="str">
        <x:v>PASS</x:v>
      </x:c>
      <x:c r="L7" s="12" t="str">
        <x:v>PASS</x:v>
      </x:c>
      <x:c r="M7" s="12" t="str">
        <x:v>NO</x:v>
      </x:c>
      <x:c r="N7" s="12" t="str">
        <x:v>PASS</x:v>
      </x:c>
      <x:c r="O7" s="12" t="str">
        <x:v>EXPLICIT_OR_CONTEMPORANEOUS</x:v>
      </x:c>
      <x:c r="P7" s="12" t="str">
        <x:v>PASS</x:v>
      </x:c>
      <x:c r="Q7" s="12" t="str">
        <x:v>Source was opened/verified for Facebook/FB identity, the exact earnings event, displayed date, timing window and source-origin restriction.</x:v>
      </x:c>
    </x:row>
    <x:row r="8">
      <x:c r="A8" s="12" t="str">
        <x:v>2016-11-02</x:v>
      </x:c>
      <x:c r="B8" s="12" t="str">
        <x:v>FB</x:v>
      </x:c>
      <x:c r="C8" s="12" t="str">
        <x:v>prior</x:v>
      </x:c>
      <x:c r="D8" s="12" t="str">
        <x:v>2016-07-27</x:v>
      </x:c>
      <x:c r="E8" s="12" t="n">
        <x:v>-98</x:v>
      </x:c>
      <x:c r="F8" s="12" t="str">
        <x:v>Facebook / Meta IR</x:v>
      </x:c>
      <x:c r="G8" s="12" t="str">
        <x:v>Facebook Reports Second Quarter 2016 Results</x:v>
      </x:c>
      <x:c r="H8" s="12" t="str">
        <x:v>https://investor.atmeta.com/investor-news/press-release-details/2016/Facebook-Reports-Second-Quarter-2016-Results/default.aspx</x:v>
      </x:c>
      <x:c r="I8" s="12" t="str">
        <x:v>OPENED_OK</x:v>
      </x:c>
      <x:c r="J8" s="12" t="str">
        <x:v>PASS</x:v>
      </x:c>
      <x:c r="K8" s="12" t="str">
        <x:v>PASS</x:v>
      </x:c>
      <x:c r="L8" s="12" t="str">
        <x:v>PASS</x:v>
      </x:c>
      <x:c r="M8" s="12" t="str">
        <x:v>NO</x:v>
      </x:c>
      <x:c r="N8" s="12" t="str">
        <x:v>PASS</x:v>
      </x:c>
      <x:c r="O8" s="12" t="str">
        <x:v>FACTUAL</x:v>
      </x:c>
      <x:c r="P8" s="12" t="str">
        <x:v>PASS</x:v>
      </x:c>
      <x:c r="Q8" s="12" t="str">
        <x:v>Source was opened/verified for Facebook/FB identity, the exact earnings event, displayed date, timing window and source-origin restriction.</x:v>
      </x:c>
    </x:row>
    <x:row r="9">
      <x:c r="A9" s="12" t="str">
        <x:v>2016-11-02</x:v>
      </x:c>
      <x:c r="B9" s="12" t="str">
        <x:v>FB</x:v>
      </x:c>
      <x:c r="C9" s="12" t="str">
        <x:v>release</x:v>
      </x:c>
      <x:c r="D9" s="12" t="str">
        <x:v>2016-11-02</x:v>
      </x:c>
      <x:c r="E9" s="12" t="n">
        <x:v>0</x:v>
      </x:c>
      <x:c r="F9" s="12" t="str">
        <x:v>Facebook / Meta IR</x:v>
      </x:c>
      <x:c r="G9" s="12" t="str">
        <x:v>Facebook Reports Third Quarter 2016 Results</x:v>
      </x:c>
      <x:c r="H9" s="12" t="str">
        <x:v>https://investor.atmeta.com/investor-news/press-release-details/2016/Facebook-Reports-Third-Quarter-2016-Results/default.aspx</x:v>
      </x:c>
      <x:c r="I9" s="12" t="str">
        <x:v>OPENED_OK</x:v>
      </x:c>
      <x:c r="J9" s="12" t="str">
        <x:v>PASS</x:v>
      </x:c>
      <x:c r="K9" s="12" t="str">
        <x:v>PASS</x:v>
      </x:c>
      <x:c r="L9" s="12" t="str">
        <x:v>PASS</x:v>
      </x:c>
      <x:c r="M9" s="12" t="str">
        <x:v>NO</x:v>
      </x:c>
      <x:c r="N9" s="12" t="str">
        <x:v>PASS</x:v>
      </x:c>
      <x:c r="O9" s="12" t="str">
        <x:v>FACTUAL</x:v>
      </x:c>
      <x:c r="P9" s="12" t="str">
        <x:v>PASS</x:v>
      </x:c>
      <x:c r="Q9" s="12" t="str">
        <x:v>Source was opened/verified for Facebook/FB identity, the exact earnings event, displayed date, timing window and source-origin restriction.</x:v>
      </x:c>
    </x:row>
    <x:row r="10">
      <x:c r="A10" s="12" t="str">
        <x:v>2016-11-02</x:v>
      </x:c>
      <x:c r="B10" s="12" t="str">
        <x:v>FB</x:v>
      </x:c>
      <x:c r="C10" s="12" t="str">
        <x:v>reaction</x:v>
      </x:c>
      <x:c r="D10" s="12" t="str">
        <x:v>2016-11-02</x:v>
      </x:c>
      <x:c r="E10" s="12" t="n">
        <x:v>0</x:v>
      </x:c>
      <x:c r="F10" s="12" t="str">
        <x:v>TheStreet</x:v>
      </x:c>
      <x:c r="G10" s="12" t="str">
        <x:v>Facebook Stock Tumbles in After-Hours Trading on Outlook</x:v>
      </x:c>
      <x:c r="H10" s="12" t="str">
        <x:v>https://www.thestreet.com/markets/facebook-fb-stock-higher-in-after-hours-trading-on-q3-beat-13878308</x:v>
      </x:c>
      <x:c r="I10" s="12" t="str">
        <x:v>OPENED_OK</x:v>
      </x:c>
      <x:c r="J10" s="12" t="str">
        <x:v>PASS</x:v>
      </x:c>
      <x:c r="K10" s="12" t="str">
        <x:v>PASS</x:v>
      </x:c>
      <x:c r="L10" s="12" t="str">
        <x:v>PASS</x:v>
      </x:c>
      <x:c r="M10" s="12" t="str">
        <x:v>NO</x:v>
      </x:c>
      <x:c r="N10" s="12" t="str">
        <x:v>PASS</x:v>
      </x:c>
      <x:c r="O10" s="12" t="str">
        <x:v>EXPLICIT_OR_CONTEMPORANEOUS</x:v>
      </x:c>
      <x:c r="P10" s="12" t="str">
        <x:v>PASS</x:v>
      </x:c>
      <x:c r="Q10" s="12" t="str">
        <x:v>Source was opened/verified for Facebook/FB identity, the exact earnings event, displayed date, timing window and source-origin restriction.</x:v>
      </x:c>
    </x:row>
    <x:row r="11">
      <x:c r="A11" s="12" t="str">
        <x:v>2017-02-01</x:v>
      </x:c>
      <x:c r="B11" s="12" t="str">
        <x:v>FB</x:v>
      </x:c>
      <x:c r="C11" s="12" t="str">
        <x:v>prior</x:v>
      </x:c>
      <x:c r="D11" s="12" t="str">
        <x:v>2016-11-02</x:v>
      </x:c>
      <x:c r="E11" s="12" t="n">
        <x:v>-91</x:v>
      </x:c>
      <x:c r="F11" s="12" t="str">
        <x:v>Facebook / Meta IR</x:v>
      </x:c>
      <x:c r="G11" s="12" t="str">
        <x:v>Facebook Reports Third Quarter 2016 Results</x:v>
      </x:c>
      <x:c r="H11" s="12" t="str">
        <x:v>https://investor.atmeta.com/investor-news/press-release-details/2016/Facebook-Reports-Third-Quarter-2016-Results/default.aspx</x:v>
      </x:c>
      <x:c r="I11" s="12" t="str">
        <x:v>OPENED_OK</x:v>
      </x:c>
      <x:c r="J11" s="12" t="str">
        <x:v>PASS</x:v>
      </x:c>
      <x:c r="K11" s="12" t="str">
        <x:v>PASS</x:v>
      </x:c>
      <x:c r="L11" s="12" t="str">
        <x:v>PASS</x:v>
      </x:c>
      <x:c r="M11" s="12" t="str">
        <x:v>NO</x:v>
      </x:c>
      <x:c r="N11" s="12" t="str">
        <x:v>PASS</x:v>
      </x:c>
      <x:c r="O11" s="12" t="str">
        <x:v>FACTUAL</x:v>
      </x:c>
      <x:c r="P11" s="12" t="str">
        <x:v>PASS</x:v>
      </x:c>
      <x:c r="Q11" s="12" t="str">
        <x:v>Source was opened/verified for Facebook/FB identity, the exact earnings event, displayed date, timing window and source-origin restriction.</x:v>
      </x:c>
    </x:row>
    <x:row r="12">
      <x:c r="A12" s="12" t="str">
        <x:v>2017-02-01</x:v>
      </x:c>
      <x:c r="B12" s="12" t="str">
        <x:v>FB</x:v>
      </x:c>
      <x:c r="C12" s="12" t="str">
        <x:v>release</x:v>
      </x:c>
      <x:c r="D12" s="12" t="str">
        <x:v>2017-02-01</x:v>
      </x:c>
      <x:c r="E12" s="12" t="n">
        <x:v>0</x:v>
      </x:c>
      <x:c r="F12" s="12" t="str">
        <x:v>Facebook / Meta IR</x:v>
      </x:c>
      <x:c r="G12" s="12" t="str">
        <x:v>Facebook Reports Fourth Quarter and Full Year 2016 Results</x:v>
      </x:c>
      <x:c r="H12" s="12" t="str">
        <x:v>https://investor.atmeta.com/investor-news/press-release-details/2017/Facebook-Reports-Fourth-Quarter-and-Full-Year-2016-Results/default.aspx</x:v>
      </x:c>
      <x:c r="I12" s="12" t="str">
        <x:v>OPENED_OK</x:v>
      </x:c>
      <x:c r="J12" s="12" t="str">
        <x:v>PASS</x:v>
      </x:c>
      <x:c r="K12" s="12" t="str">
        <x:v>PASS</x:v>
      </x:c>
      <x:c r="L12" s="12" t="str">
        <x:v>PASS</x:v>
      </x:c>
      <x:c r="M12" s="12" t="str">
        <x:v>NO</x:v>
      </x:c>
      <x:c r="N12" s="12" t="str">
        <x:v>PASS</x:v>
      </x:c>
      <x:c r="O12" s="12" t="str">
        <x:v>FACTUAL</x:v>
      </x:c>
      <x:c r="P12" s="12" t="str">
        <x:v>PASS</x:v>
      </x:c>
      <x:c r="Q12" s="12" t="str">
        <x:v>Source was opened/verified for Facebook/FB identity, the exact earnings event, displayed date, timing window and source-origin restriction.</x:v>
      </x:c>
    </x:row>
    <x:row r="13">
      <x:c r="A13" s="12" t="str">
        <x:v>2017-02-01</x:v>
      </x:c>
      <x:c r="B13" s="12" t="str">
        <x:v>FB</x:v>
      </x:c>
      <x:c r="C13" s="12" t="str">
        <x:v>reaction</x:v>
      </x:c>
      <x:c r="D13" s="12" t="str">
        <x:v>2017-02-02</x:v>
      </x:c>
      <x:c r="E13" s="12" t="n">
        <x:v>1</x:v>
      </x:c>
      <x:c r="F13" s="12" t="str">
        <x:v>TheStreet</x:v>
      </x:c>
      <x:c r="G13" s="12" t="str">
        <x:v>Here's the Surprising Number That Knocked Facebook's Stock Off Its All-Time High</x:v>
      </x:c>
      <x:c r="H13" s="12" t="str">
        <x:v>https://www.thestreet.com/story/13975472/1/facebook-shares-advance-as-fourth-quarter-results-top-street-estimates.html</x:v>
      </x:c>
      <x:c r="I13" s="12" t="str">
        <x:v>OPENED_OK</x:v>
      </x:c>
      <x:c r="J13" s="12" t="str">
        <x:v>PASS</x:v>
      </x:c>
      <x:c r="K13" s="12" t="str">
        <x:v>PASS</x:v>
      </x:c>
      <x:c r="L13" s="12" t="str">
        <x:v>PASS</x:v>
      </x:c>
      <x:c r="M13" s="12" t="str">
        <x:v>NO</x:v>
      </x:c>
      <x:c r="N13" s="12" t="str">
        <x:v>PASS</x:v>
      </x:c>
      <x:c r="O13" s="12" t="str">
        <x:v>EXPLICIT_OR_CONTEMPORANEOUS</x:v>
      </x:c>
      <x:c r="P13" s="12" t="str">
        <x:v>PASS</x:v>
      </x:c>
      <x:c r="Q13" s="12" t="str">
        <x:v>Source was opened/verified for Facebook/FB identity, the exact earnings event, displayed date, timing window and source-origin restriction.</x:v>
      </x:c>
    </x:row>
    <x:row r="14">
      <x:c r="A14" s="12" t="str">
        <x:v>2017-05-03</x:v>
      </x:c>
      <x:c r="B14" s="12" t="str">
        <x:v>FB</x:v>
      </x:c>
      <x:c r="C14" s="12" t="str">
        <x:v>prior</x:v>
      </x:c>
      <x:c r="D14" s="12" t="str">
        <x:v>2017-02-01</x:v>
      </x:c>
      <x:c r="E14" s="12" t="n">
        <x:v>-91</x:v>
      </x:c>
      <x:c r="F14" s="12" t="str">
        <x:v>Facebook / Meta IR</x:v>
      </x:c>
      <x:c r="G14" s="12" t="str">
        <x:v>Facebook Reports Fourth Quarter and Full Year 2016 Results</x:v>
      </x:c>
      <x:c r="H14" s="12" t="str">
        <x:v>https://investor.atmeta.com/investor-news/press-release-details/2017/Facebook-Reports-Fourth-Quarter-and-Full-Year-2016-Results/default.aspx</x:v>
      </x:c>
      <x:c r="I14" s="12" t="str">
        <x:v>OPENED_OK</x:v>
      </x:c>
      <x:c r="J14" s="12" t="str">
        <x:v>PASS</x:v>
      </x:c>
      <x:c r="K14" s="12" t="str">
        <x:v>PASS</x:v>
      </x:c>
      <x:c r="L14" s="12" t="str">
        <x:v>PASS</x:v>
      </x:c>
      <x:c r="M14" s="12" t="str">
        <x:v>NO</x:v>
      </x:c>
      <x:c r="N14" s="12" t="str">
        <x:v>PASS</x:v>
      </x:c>
      <x:c r="O14" s="12" t="str">
        <x:v>FACTUAL</x:v>
      </x:c>
      <x:c r="P14" s="12" t="str">
        <x:v>PASS</x:v>
      </x:c>
      <x:c r="Q14" s="12" t="str">
        <x:v>Source was opened/verified for Facebook/FB identity, the exact earnings event, displayed date, timing window and source-origin restriction.</x:v>
      </x:c>
    </x:row>
    <x:row r="15">
      <x:c r="A15" s="12" t="str">
        <x:v>2017-05-03</x:v>
      </x:c>
      <x:c r="B15" s="12" t="str">
        <x:v>FB</x:v>
      </x:c>
      <x:c r="C15" s="12" t="str">
        <x:v>release</x:v>
      </x:c>
      <x:c r="D15" s="12" t="str">
        <x:v>2017-05-03</x:v>
      </x:c>
      <x:c r="E15" s="12" t="n">
        <x:v>0</x:v>
      </x:c>
      <x:c r="F15" s="12" t="str">
        <x:v>Facebook / Meta IR</x:v>
      </x:c>
      <x:c r="G15" s="12" t="str">
        <x:v>Facebook Reports First Quarter 2017 Results</x:v>
      </x:c>
      <x:c r="H15" s="12" t="str">
        <x:v>https://investor.atmeta.com/investor-news/press-release-details/2017/Facebook-Reports-First-Quarter-2017-Results/default.aspx</x:v>
      </x:c>
      <x:c r="I15" s="12" t="str">
        <x:v>OPENED_OK</x:v>
      </x:c>
      <x:c r="J15" s="12" t="str">
        <x:v>PASS</x:v>
      </x:c>
      <x:c r="K15" s="12" t="str">
        <x:v>PASS</x:v>
      </x:c>
      <x:c r="L15" s="12" t="str">
        <x:v>PASS</x:v>
      </x:c>
      <x:c r="M15" s="12" t="str">
        <x:v>NO</x:v>
      </x:c>
      <x:c r="N15" s="12" t="str">
        <x:v>PASS</x:v>
      </x:c>
      <x:c r="O15" s="12" t="str">
        <x:v>FACTUAL</x:v>
      </x:c>
      <x:c r="P15" s="12" t="str">
        <x:v>PASS</x:v>
      </x:c>
      <x:c r="Q15" s="12" t="str">
        <x:v>Source was opened/verified for Facebook/FB identity, the exact earnings event, displayed date, timing window and source-origin restriction.</x:v>
      </x:c>
    </x:row>
    <x:row r="16">
      <x:c r="A16" s="12" t="str">
        <x:v>2017-05-03</x:v>
      </x:c>
      <x:c r="B16" s="12" t="str">
        <x:v>FB</x:v>
      </x:c>
      <x:c r="C16" s="12" t="str">
        <x:v>reaction</x:v>
      </x:c>
      <x:c r="D16" s="12" t="str">
        <x:v>2017-05-04</x:v>
      </x:c>
      <x:c r="E16" s="12" t="n">
        <x:v>1</x:v>
      </x:c>
      <x:c r="F16" s="12" t="str">
        <x:v>TheStreet</x:v>
      </x:c>
      <x:c r="G16" s="12" t="str">
        <x:v>Facebook Shares Fall Despite Q1 Beat: What Wall Street's Saying</x:v>
      </x:c>
      <x:c r="H16" s="12" t="str">
        <x:v>https://www.thestreet.com/investing/stocks/facebook-shares-fall-despite-q1-beat-what-wall-street-s-saying-14118881</x:v>
      </x:c>
      <x:c r="I16" s="12" t="str">
        <x:v>OPENED_OK</x:v>
      </x:c>
      <x:c r="J16" s="12" t="str">
        <x:v>PASS</x:v>
      </x:c>
      <x:c r="K16" s="12" t="str">
        <x:v>PASS</x:v>
      </x:c>
      <x:c r="L16" s="12" t="str">
        <x:v>PASS</x:v>
      </x:c>
      <x:c r="M16" s="12" t="str">
        <x:v>NO</x:v>
      </x:c>
      <x:c r="N16" s="12" t="str">
        <x:v>PASS</x:v>
      </x:c>
      <x:c r="O16" s="12" t="str">
        <x:v>EXPLICIT_OR_CONTEMPORANEOUS</x:v>
      </x:c>
      <x:c r="P16" s="12" t="str">
        <x:v>PASS</x:v>
      </x:c>
      <x:c r="Q16" s="12" t="str">
        <x:v>Source was opened/verified for Facebook/FB identity, the exact earnings event, displayed date, timing window and source-origin restriction.</x:v>
      </x:c>
    </x:row>
    <x:row r="17">
      <x:c r="A17" s="12" t="str">
        <x:v>2017-07-26</x:v>
      </x:c>
      <x:c r="B17" s="12" t="str">
        <x:v>FB</x:v>
      </x:c>
      <x:c r="C17" s="12" t="str">
        <x:v>prior</x:v>
      </x:c>
      <x:c r="D17" s="12" t="str">
        <x:v>2017-05-03</x:v>
      </x:c>
      <x:c r="E17" s="12" t="n">
        <x:v>-84</x:v>
      </x:c>
      <x:c r="F17" s="12" t="str">
        <x:v>Facebook / Meta IR</x:v>
      </x:c>
      <x:c r="G17" s="12" t="str">
        <x:v>Facebook Reports First Quarter 2017 Results</x:v>
      </x:c>
      <x:c r="H17" s="12" t="str">
        <x:v>https://investor.atmeta.com/investor-news/press-release-details/2017/Facebook-Reports-First-Quarter-2017-Results/default.aspx</x:v>
      </x:c>
      <x:c r="I17" s="12" t="str">
        <x:v>OPENED_OK</x:v>
      </x:c>
      <x:c r="J17" s="12" t="str">
        <x:v>PASS</x:v>
      </x:c>
      <x:c r="K17" s="12" t="str">
        <x:v>PASS</x:v>
      </x:c>
      <x:c r="L17" s="12" t="str">
        <x:v>PASS</x:v>
      </x:c>
      <x:c r="M17" s="12" t="str">
        <x:v>NO</x:v>
      </x:c>
      <x:c r="N17" s="12" t="str">
        <x:v>PASS</x:v>
      </x:c>
      <x:c r="O17" s="12" t="str">
        <x:v>FACTUAL</x:v>
      </x:c>
      <x:c r="P17" s="12" t="str">
        <x:v>PASS</x:v>
      </x:c>
      <x:c r="Q17" s="12" t="str">
        <x:v>Source was opened/verified for Facebook/FB identity, the exact earnings event, displayed date, timing window and source-origin restriction.</x:v>
      </x:c>
    </x:row>
    <x:row r="18">
      <x:c r="A18" s="12" t="str">
        <x:v>2017-07-26</x:v>
      </x:c>
      <x:c r="B18" s="12" t="str">
        <x:v>FB</x:v>
      </x:c>
      <x:c r="C18" s="12" t="str">
        <x:v>release</x:v>
      </x:c>
      <x:c r="D18" s="12" t="str">
        <x:v>2017-07-26</x:v>
      </x:c>
      <x:c r="E18" s="12" t="n">
        <x:v>0</x:v>
      </x:c>
      <x:c r="F18" s="12" t="str">
        <x:v>Facebook / Meta IR</x:v>
      </x:c>
      <x:c r="G18" s="12" t="str">
        <x:v>Facebook Reports Second Quarter 2017 Results</x:v>
      </x:c>
      <x:c r="H18" s="12" t="str">
        <x:v>https://investor.atmeta.com/investor-news/press-release-details/2017/Facebook-Reports-Second-Quarter-2017-Results/default.aspx</x:v>
      </x:c>
      <x:c r="I18" s="12" t="str">
        <x:v>OPENED_OK</x:v>
      </x:c>
      <x:c r="J18" s="12" t="str">
        <x:v>PASS</x:v>
      </x:c>
      <x:c r="K18" s="12" t="str">
        <x:v>PASS</x:v>
      </x:c>
      <x:c r="L18" s="12" t="str">
        <x:v>PASS</x:v>
      </x:c>
      <x:c r="M18" s="12" t="str">
        <x:v>NO</x:v>
      </x:c>
      <x:c r="N18" s="12" t="str">
        <x:v>PASS</x:v>
      </x:c>
      <x:c r="O18" s="12" t="str">
        <x:v>FACTUAL</x:v>
      </x:c>
      <x:c r="P18" s="12" t="str">
        <x:v>PASS</x:v>
      </x:c>
      <x:c r="Q18" s="12" t="str">
        <x:v>Source was opened/verified for Facebook/FB identity, the exact earnings event, displayed date, timing window and source-origin restriction.</x:v>
      </x:c>
    </x:row>
    <x:row r="19">
      <x:c r="A19" s="12" t="str">
        <x:v>2017-07-26</x:v>
      </x:c>
      <x:c r="B19" s="12" t="str">
        <x:v>FB</x:v>
      </x:c>
      <x:c r="C19" s="12" t="str">
        <x:v>reaction</x:v>
      </x:c>
      <x:c r="D19" s="12" t="str">
        <x:v>2017-07-26</x:v>
      </x:c>
      <x:c r="E19" s="12" t="n">
        <x:v>0</x:v>
      </x:c>
      <x:c r="F19" s="12" t="str">
        <x:v>TechCrunch</x:v>
      </x:c>
      <x:c r="G19" s="12" t="str">
        <x:v>Facebook beats in Q2 with $9.32B revenue despite slower user growth</x:v>
      </x:c>
      <x:c r="H19" s="12" t="str">
        <x:v>https://techcrunch.com/2017/07/26/facebook-earnings-q2-2017/</x:v>
      </x:c>
      <x:c r="I19" s="12" t="str">
        <x:v>OPENED_OK</x:v>
      </x:c>
      <x:c r="J19" s="12" t="str">
        <x:v>PASS</x:v>
      </x:c>
      <x:c r="K19" s="12" t="str">
        <x:v>PASS</x:v>
      </x:c>
      <x:c r="L19" s="12" t="str">
        <x:v>PASS</x:v>
      </x:c>
      <x:c r="M19" s="12" t="str">
        <x:v>NO</x:v>
      </x:c>
      <x:c r="N19" s="12" t="str">
        <x:v>PASS</x:v>
      </x:c>
      <x:c r="O19" s="12" t="str">
        <x:v>EXPLICIT_OR_CONTEMPORANEOUS</x:v>
      </x:c>
      <x:c r="P19" s="12" t="str">
        <x:v>PASS</x:v>
      </x:c>
      <x:c r="Q19" s="12" t="str">
        <x:v>Source was opened/verified for Facebook/FB identity, the exact earnings event, displayed date, timing window and source-origin restriction.</x:v>
      </x:c>
    </x:row>
    <x:row r="20">
      <x:c r="A20" s="12" t="str">
        <x:v>2017-11-01</x:v>
      </x:c>
      <x:c r="B20" s="12" t="str">
        <x:v>FB</x:v>
      </x:c>
      <x:c r="C20" s="12" t="str">
        <x:v>prior</x:v>
      </x:c>
      <x:c r="D20" s="12" t="str">
        <x:v>2017-07-26</x:v>
      </x:c>
      <x:c r="E20" s="12" t="n">
        <x:v>-98</x:v>
      </x:c>
      <x:c r="F20" s="12" t="str">
        <x:v>Facebook / Meta IR</x:v>
      </x:c>
      <x:c r="G20" s="12" t="str">
        <x:v>Facebook Reports Second Quarter 2017 Results</x:v>
      </x:c>
      <x:c r="H20" s="12" t="str">
        <x:v>https://investor.atmeta.com/investor-news/press-release-details/2017/Facebook-Reports-Second-Quarter-2017-Results/default.aspx</x:v>
      </x:c>
      <x:c r="I20" s="12" t="str">
        <x:v>OPENED_OK</x:v>
      </x:c>
      <x:c r="J20" s="12" t="str">
        <x:v>PASS</x:v>
      </x:c>
      <x:c r="K20" s="12" t="str">
        <x:v>PASS</x:v>
      </x:c>
      <x:c r="L20" s="12" t="str">
        <x:v>PASS</x:v>
      </x:c>
      <x:c r="M20" s="12" t="str">
        <x:v>NO</x:v>
      </x:c>
      <x:c r="N20" s="12" t="str">
        <x:v>PASS</x:v>
      </x:c>
      <x:c r="O20" s="12" t="str">
        <x:v>FACTUAL</x:v>
      </x:c>
      <x:c r="P20" s="12" t="str">
        <x:v>PASS</x:v>
      </x:c>
      <x:c r="Q20" s="12" t="str">
        <x:v>Source was opened/verified for Facebook/FB identity, the exact earnings event, displayed date, timing window and source-origin restriction.</x:v>
      </x:c>
    </x:row>
    <x:row r="21">
      <x:c r="A21" s="12" t="str">
        <x:v>2017-11-01</x:v>
      </x:c>
      <x:c r="B21" s="12" t="str">
        <x:v>FB</x:v>
      </x:c>
      <x:c r="C21" s="12" t="str">
        <x:v>release</x:v>
      </x:c>
      <x:c r="D21" s="12" t="str">
        <x:v>2017-11-01</x:v>
      </x:c>
      <x:c r="E21" s="12" t="n">
        <x:v>0</x:v>
      </x:c>
      <x:c r="F21" s="12" t="str">
        <x:v>Facebook / Meta IR</x:v>
      </x:c>
      <x:c r="G21" s="12" t="str">
        <x:v>Facebook Reports Third Quarter 2017 Results</x:v>
      </x:c>
      <x:c r="H21" s="12" t="str">
        <x:v>https://investor.atmeta.com/investor-news/press-release-details/2017/Facebook-Reports-Third-Quarter-2017-Results/default.aspx</x:v>
      </x:c>
      <x:c r="I21" s="12" t="str">
        <x:v>OPENED_OK</x:v>
      </x:c>
      <x:c r="J21" s="12" t="str">
        <x:v>PASS</x:v>
      </x:c>
      <x:c r="K21" s="12" t="str">
        <x:v>PASS</x:v>
      </x:c>
      <x:c r="L21" s="12" t="str">
        <x:v>PASS</x:v>
      </x:c>
      <x:c r="M21" s="12" t="str">
        <x:v>NO</x:v>
      </x:c>
      <x:c r="N21" s="12" t="str">
        <x:v>PASS</x:v>
      </x:c>
      <x:c r="O21" s="12" t="str">
        <x:v>FACTUAL</x:v>
      </x:c>
      <x:c r="P21" s="12" t="str">
        <x:v>PASS</x:v>
      </x:c>
      <x:c r="Q21" s="12" t="str">
        <x:v>Source was opened/verified for Facebook/FB identity, the exact earnings event, displayed date, timing window and source-origin restriction.</x:v>
      </x:c>
    </x:row>
    <x:row r="22">
      <x:c r="A22" s="12" t="str">
        <x:v>2017-11-01</x:v>
      </x:c>
      <x:c r="B22" s="12" t="str">
        <x:v>FB</x:v>
      </x:c>
      <x:c r="C22" s="12" t="str">
        <x:v>reaction</x:v>
      </x:c>
      <x:c r="D22" s="12" t="str">
        <x:v>2017-11-02</x:v>
      </x:c>
      <x:c r="E22" s="12" t="n">
        <x:v>1</x:v>
      </x:c>
      <x:c r="F22" s="12" t="str">
        <x:v>The Motley Fool</x:v>
      </x:c>
      <x:c r="G22" s="12" t="str">
        <x:v>Facebook Investors Freak Out About Expense Guidance (Again)</x:v>
      </x:c>
      <x:c r="H22" s="12" t="str">
        <x:v>https://www.fool.com/investing/2017/11/02/facebook-investors-freak-out-about-expense-guidanc.aspx</x:v>
      </x:c>
      <x:c r="I22" s="12" t="str">
        <x:v>OPENED_OK</x:v>
      </x:c>
      <x:c r="J22" s="12" t="str">
        <x:v>PASS</x:v>
      </x:c>
      <x:c r="K22" s="12" t="str">
        <x:v>PASS</x:v>
      </x:c>
      <x:c r="L22" s="12" t="str">
        <x:v>PASS</x:v>
      </x:c>
      <x:c r="M22" s="12" t="str">
        <x:v>NO</x:v>
      </x:c>
      <x:c r="N22" s="12" t="str">
        <x:v>PASS</x:v>
      </x:c>
      <x:c r="O22" s="12" t="str">
        <x:v>EXPLICIT_OR_CONTEMPORANEOUS</x:v>
      </x:c>
      <x:c r="P22" s="12" t="str">
        <x:v>PASS</x:v>
      </x:c>
      <x:c r="Q22" s="12" t="str">
        <x:v>Source was opened/verified for Facebook/FB identity, the exact earnings event, displayed date, timing window and source-origin restriction.</x:v>
      </x:c>
    </x:row>
    <x:row r="23">
      <x:c r="A23" s="12" t="str">
        <x:v>2018-01-31</x:v>
      </x:c>
      <x:c r="B23" s="12" t="str">
        <x:v>FB</x:v>
      </x:c>
      <x:c r="C23" s="12" t="str">
        <x:v>prior</x:v>
      </x:c>
      <x:c r="D23" s="12" t="str">
        <x:v>2017-11-01</x:v>
      </x:c>
      <x:c r="E23" s="12" t="n">
        <x:v>-91</x:v>
      </x:c>
      <x:c r="F23" s="12" t="str">
        <x:v>Facebook / Meta IR</x:v>
      </x:c>
      <x:c r="G23" s="12" t="str">
        <x:v>Facebook Reports Third Quarter 2017 Results</x:v>
      </x:c>
      <x:c r="H23" s="12" t="str">
        <x:v>https://investor.atmeta.com/investor-news/press-release-details/2017/Facebook-Reports-Third-Quarter-2017-Results/default.aspx</x:v>
      </x:c>
      <x:c r="I23" s="12" t="str">
        <x:v>OPENED_OK</x:v>
      </x:c>
      <x:c r="J23" s="12" t="str">
        <x:v>PASS</x:v>
      </x:c>
      <x:c r="K23" s="12" t="str">
        <x:v>PASS</x:v>
      </x:c>
      <x:c r="L23" s="12" t="str">
        <x:v>PASS</x:v>
      </x:c>
      <x:c r="M23" s="12" t="str">
        <x:v>NO</x:v>
      </x:c>
      <x:c r="N23" s="12" t="str">
        <x:v>PASS</x:v>
      </x:c>
      <x:c r="O23" s="12" t="str">
        <x:v>FACTUAL</x:v>
      </x:c>
      <x:c r="P23" s="12" t="str">
        <x:v>PASS</x:v>
      </x:c>
      <x:c r="Q23" s="12" t="str">
        <x:v>Source was opened/verified for Facebook/FB identity, the exact earnings event, displayed date, timing window and source-origin restriction.</x:v>
      </x:c>
    </x:row>
    <x:row r="24">
      <x:c r="A24" s="12" t="str">
        <x:v>2018-01-31</x:v>
      </x:c>
      <x:c r="B24" s="12" t="str">
        <x:v>FB</x:v>
      </x:c>
      <x:c r="C24" s="12" t="str">
        <x:v>release</x:v>
      </x:c>
      <x:c r="D24" s="12" t="str">
        <x:v>2018-01-31</x:v>
      </x:c>
      <x:c r="E24" s="12" t="n">
        <x:v>0</x:v>
      </x:c>
      <x:c r="F24" s="12" t="str">
        <x:v>Facebook / Meta IR</x:v>
      </x:c>
      <x:c r="G24" s="12" t="str">
        <x:v>Facebook Reports Fourth Quarter and Full Year 2017 Results</x:v>
      </x:c>
      <x:c r="H24" s="12" t="str">
        <x:v>https://investor.atmeta.com/investor-news/press-release-details/2018/Facebook-Reports-Fourth-Quarter-and-Full-Year-2017-Results/default.aspx</x:v>
      </x:c>
      <x:c r="I24" s="12" t="str">
        <x:v>OPENED_OK</x:v>
      </x:c>
      <x:c r="J24" s="12" t="str">
        <x:v>PASS</x:v>
      </x:c>
      <x:c r="K24" s="12" t="str">
        <x:v>PASS</x:v>
      </x:c>
      <x:c r="L24" s="12" t="str">
        <x:v>PASS</x:v>
      </x:c>
      <x:c r="M24" s="12" t="str">
        <x:v>NO</x:v>
      </x:c>
      <x:c r="N24" s="12" t="str">
        <x:v>PASS</x:v>
      </x:c>
      <x:c r="O24" s="12" t="str">
        <x:v>FACTUAL</x:v>
      </x:c>
      <x:c r="P24" s="12" t="str">
        <x:v>PASS</x:v>
      </x:c>
      <x:c r="Q24" s="12" t="str">
        <x:v>Source was opened/verified for Facebook/FB identity, the exact earnings event, displayed date, timing window and source-origin restriction.</x:v>
      </x:c>
    </x:row>
    <x:row r="25">
      <x:c r="A25" s="12" t="str">
        <x:v>2018-01-31</x:v>
      </x:c>
      <x:c r="B25" s="12" t="str">
        <x:v>FB</x:v>
      </x:c>
      <x:c r="C25" s="12" t="str">
        <x:v>reaction</x:v>
      </x:c>
      <x:c r="D25" s="12" t="str">
        <x:v>2018-02-01</x:v>
      </x:c>
      <x:c r="E25" s="12" t="n">
        <x:v>1</x:v>
      </x:c>
      <x:c r="F25" s="12" t="str">
        <x:v>The Motley Fool</x:v>
      </x:c>
      <x:c r="G25" s="12" t="str">
        <x:v>4 Things Facebook Management Wants You to Know</x:v>
      </x:c>
      <x:c r="H25" s="12" t="str">
        <x:v>https://www.fool.com/investing/2018/02/01/4-things-facebook-management-wants-you-to-know.aspx</x:v>
      </x:c>
      <x:c r="I25" s="12" t="str">
        <x:v>OPENED_OK</x:v>
      </x:c>
      <x:c r="J25" s="12" t="str">
        <x:v>PASS</x:v>
      </x:c>
      <x:c r="K25" s="12" t="str">
        <x:v>PASS</x:v>
      </x:c>
      <x:c r="L25" s="12" t="str">
        <x:v>PASS</x:v>
      </x:c>
      <x:c r="M25" s="12" t="str">
        <x:v>NO</x:v>
      </x:c>
      <x:c r="N25" s="12" t="str">
        <x:v>PASS</x:v>
      </x:c>
      <x:c r="O25" s="12" t="str">
        <x:v>EXPLICIT_OR_CONTEMPORANEOUS</x:v>
      </x:c>
      <x:c r="P25" s="12" t="str">
        <x:v>PASS</x:v>
      </x:c>
      <x:c r="Q25" s="12" t="str">
        <x:v>Source was opened/verified for Facebook/FB identity, the exact earnings event, displayed date, timing window and source-origin restriction.</x:v>
      </x:c>
    </x:row>
    <x:row r="26">
      <x:c r="A26" s="12" t="str">
        <x:v>2018-04-25</x:v>
      </x:c>
      <x:c r="B26" s="12" t="str">
        <x:v>FB</x:v>
      </x:c>
      <x:c r="C26" s="12" t="str">
        <x:v>prior</x:v>
      </x:c>
      <x:c r="D26" s="12" t="str">
        <x:v>2018-01-31</x:v>
      </x:c>
      <x:c r="E26" s="12" t="n">
        <x:v>-84</x:v>
      </x:c>
      <x:c r="F26" s="12" t="str">
        <x:v>Facebook / Meta IR</x:v>
      </x:c>
      <x:c r="G26" s="12" t="str">
        <x:v>Facebook Reports Fourth Quarter and Full Year 2017 Results</x:v>
      </x:c>
      <x:c r="H26" s="12" t="str">
        <x:v>https://investor.atmeta.com/investor-news/press-release-details/2018/Facebook-Reports-Fourth-Quarter-and-Full-Year-2017-Results/default.aspx</x:v>
      </x:c>
      <x:c r="I26" s="12" t="str">
        <x:v>OPENED_OK</x:v>
      </x:c>
      <x:c r="J26" s="12" t="str">
        <x:v>PASS</x:v>
      </x:c>
      <x:c r="K26" s="12" t="str">
        <x:v>PASS</x:v>
      </x:c>
      <x:c r="L26" s="12" t="str">
        <x:v>PASS</x:v>
      </x:c>
      <x:c r="M26" s="12" t="str">
        <x:v>NO</x:v>
      </x:c>
      <x:c r="N26" s="12" t="str">
        <x:v>PASS</x:v>
      </x:c>
      <x:c r="O26" s="12" t="str">
        <x:v>FACTUAL</x:v>
      </x:c>
      <x:c r="P26" s="12" t="str">
        <x:v>PASS</x:v>
      </x:c>
      <x:c r="Q26" s="12" t="str">
        <x:v>Source was opened/verified for Facebook/FB identity, the exact earnings event, displayed date, timing window and source-origin restriction.</x:v>
      </x:c>
    </x:row>
    <x:row r="27">
      <x:c r="A27" s="12" t="str">
        <x:v>2018-04-25</x:v>
      </x:c>
      <x:c r="B27" s="12" t="str">
        <x:v>FB</x:v>
      </x:c>
      <x:c r="C27" s="12" t="str">
        <x:v>release</x:v>
      </x:c>
      <x:c r="D27" s="12" t="str">
        <x:v>2018-04-25</x:v>
      </x:c>
      <x:c r="E27" s="12" t="n">
        <x:v>0</x:v>
      </x:c>
      <x:c r="F27" s="12" t="str">
        <x:v>Facebook / Meta IR</x:v>
      </x:c>
      <x:c r="G27" s="12" t="str">
        <x:v>Facebook Reports First Quarter 2018 Results</x:v>
      </x:c>
      <x:c r="H27" s="12" t="str">
        <x:v>https://investor.atmeta.com/investor-news/press-release-details/2018/Facebook-Reports-First-Quarter-2018-Results/default.aspx</x:v>
      </x:c>
      <x:c r="I27" s="12" t="str">
        <x:v>OPENED_OK</x:v>
      </x:c>
      <x:c r="J27" s="12" t="str">
        <x:v>PASS</x:v>
      </x:c>
      <x:c r="K27" s="12" t="str">
        <x:v>PASS</x:v>
      </x:c>
      <x:c r="L27" s="12" t="str">
        <x:v>PASS</x:v>
      </x:c>
      <x:c r="M27" s="12" t="str">
        <x:v>NO</x:v>
      </x:c>
      <x:c r="N27" s="12" t="str">
        <x:v>PASS</x:v>
      </x:c>
      <x:c r="O27" s="12" t="str">
        <x:v>FACTUAL</x:v>
      </x:c>
      <x:c r="P27" s="12" t="str">
        <x:v>PASS</x:v>
      </x:c>
      <x:c r="Q27" s="12" t="str">
        <x:v>Source was opened/verified for Facebook/FB identity, the exact earnings event, displayed date, timing window and source-origin restriction.</x:v>
      </x:c>
    </x:row>
    <x:row r="28">
      <x:c r="A28" s="12" t="str">
        <x:v>2018-04-25</x:v>
      </x:c>
      <x:c r="B28" s="12" t="str">
        <x:v>FB</x:v>
      </x:c>
      <x:c r="C28" s="12" t="str">
        <x:v>reaction</x:v>
      </x:c>
      <x:c r="D28" s="12" t="str">
        <x:v>2018-04-25</x:v>
      </x:c>
      <x:c r="E28" s="12" t="n">
        <x:v>0</x:v>
      </x:c>
      <x:c r="F28" s="12" t="str">
        <x:v>TechCrunch</x:v>
      </x:c>
      <x:c r="G28" s="12" t="str">
        <x:v>Facebook beats in Q1 and boosts daily user growth to 1.45B amidst backlash</x:v>
      </x:c>
      <x:c r="H28" s="12" t="str">
        <x:v>https://techcrunch.com/2018/04/25/facebook-q1-2018-earnings/</x:v>
      </x:c>
      <x:c r="I28" s="12" t="str">
        <x:v>OPENED_OK</x:v>
      </x:c>
      <x:c r="J28" s="12" t="str">
        <x:v>PASS</x:v>
      </x:c>
      <x:c r="K28" s="12" t="str">
        <x:v>PASS</x:v>
      </x:c>
      <x:c r="L28" s="12" t="str">
        <x:v>PASS</x:v>
      </x:c>
      <x:c r="M28" s="12" t="str">
        <x:v>NO</x:v>
      </x:c>
      <x:c r="N28" s="12" t="str">
        <x:v>PASS</x:v>
      </x:c>
      <x:c r="O28" s="12" t="str">
        <x:v>EXPLICIT_OR_CONTEMPORANEOUS</x:v>
      </x:c>
      <x:c r="P28" s="12" t="str">
        <x:v>PASS</x:v>
      </x:c>
      <x:c r="Q28" s="12" t="str">
        <x:v>Source was opened/verified for Facebook/FB identity, the exact earnings event, displayed date, timing window and source-origin restriction.</x:v>
      </x:c>
    </x:row>
    <x:row r="29">
      <x:c r="A29" s="12" t="str">
        <x:v>2018-07-25</x:v>
      </x:c>
      <x:c r="B29" s="12" t="str">
        <x:v>FB</x:v>
      </x:c>
      <x:c r="C29" s="12" t="str">
        <x:v>prior</x:v>
      </x:c>
      <x:c r="D29" s="12" t="str">
        <x:v>2018-04-25</x:v>
      </x:c>
      <x:c r="E29" s="12" t="n">
        <x:v>-91</x:v>
      </x:c>
      <x:c r="F29" s="12" t="str">
        <x:v>Facebook / Meta IR</x:v>
      </x:c>
      <x:c r="G29" s="12" t="str">
        <x:v>Facebook Reports First Quarter 2018 Results</x:v>
      </x:c>
      <x:c r="H29" s="12" t="str">
        <x:v>https://investor.atmeta.com/investor-news/press-release-details/2018/Facebook-Reports-First-Quarter-2018-Results/default.aspx</x:v>
      </x:c>
      <x:c r="I29" s="12" t="str">
        <x:v>OPENED_OK</x:v>
      </x:c>
      <x:c r="J29" s="12" t="str">
        <x:v>PASS</x:v>
      </x:c>
      <x:c r="K29" s="12" t="str">
        <x:v>PASS</x:v>
      </x:c>
      <x:c r="L29" s="12" t="str">
        <x:v>PASS</x:v>
      </x:c>
      <x:c r="M29" s="12" t="str">
        <x:v>NO</x:v>
      </x:c>
      <x:c r="N29" s="12" t="str">
        <x:v>PASS</x:v>
      </x:c>
      <x:c r="O29" s="12" t="str">
        <x:v>FACTUAL</x:v>
      </x:c>
      <x:c r="P29" s="12" t="str">
        <x:v>PASS</x:v>
      </x:c>
      <x:c r="Q29" s="12" t="str">
        <x:v>Source was opened/verified for Facebook/FB identity, the exact earnings event, displayed date, timing window and source-origin restriction.</x:v>
      </x:c>
    </x:row>
    <x:row r="30">
      <x:c r="A30" s="12" t="str">
        <x:v>2018-07-25</x:v>
      </x:c>
      <x:c r="B30" s="12" t="str">
        <x:v>FB</x:v>
      </x:c>
      <x:c r="C30" s="12" t="str">
        <x:v>release</x:v>
      </x:c>
      <x:c r="D30" s="12" t="str">
        <x:v>2018-07-25</x:v>
      </x:c>
      <x:c r="E30" s="12" t="n">
        <x:v>0</x:v>
      </x:c>
      <x:c r="F30" s="12" t="str">
        <x:v>Facebook / Meta IR</x:v>
      </x:c>
      <x:c r="G30" s="12" t="str">
        <x:v>Facebook Reports Second Quarter 2018 Results</x:v>
      </x:c>
      <x:c r="H30" s="12" t="str">
        <x:v>https://investor.atmeta.com/investor-news/press-release-details/2018/Facebook-Reports-Second-Quarter-2018-Results/default.aspx</x:v>
      </x:c>
      <x:c r="I30" s="12" t="str">
        <x:v>OPENED_OK</x:v>
      </x:c>
      <x:c r="J30" s="12" t="str">
        <x:v>PASS</x:v>
      </x:c>
      <x:c r="K30" s="12" t="str">
        <x:v>PASS</x:v>
      </x:c>
      <x:c r="L30" s="12" t="str">
        <x:v>PASS</x:v>
      </x:c>
      <x:c r="M30" s="12" t="str">
        <x:v>NO</x:v>
      </x:c>
      <x:c r="N30" s="12" t="str">
        <x:v>PASS</x:v>
      </x:c>
      <x:c r="O30" s="12" t="str">
        <x:v>FACTUAL</x:v>
      </x:c>
      <x:c r="P30" s="12" t="str">
        <x:v>PASS</x:v>
      </x:c>
      <x:c r="Q30" s="12" t="str">
        <x:v>Source was opened/verified for Facebook/FB identity, the exact earnings event, displayed date, timing window and source-origin restriction.</x:v>
      </x:c>
    </x:row>
    <x:row r="31">
      <x:c r="A31" s="12" t="str">
        <x:v>2018-07-25</x:v>
      </x:c>
      <x:c r="B31" s="12" t="str">
        <x:v>FB</x:v>
      </x:c>
      <x:c r="C31" s="12" t="str">
        <x:v>reaction</x:v>
      </x:c>
      <x:c r="D31" s="12" t="str">
        <x:v>2018-07-26</x:v>
      </x:c>
      <x:c r="E31" s="12" t="n">
        <x:v>1</x:v>
      </x:c>
      <x:c r="F31" s="12" t="str">
        <x:v>The Motley Fool</x:v>
      </x:c>
      <x:c r="G31" s="12" t="str">
        <x:v>Why Facebook, Inc. Stock Has Plummeted Today</x:v>
      </x:c>
      <x:c r="H31" s="12" t="str">
        <x:v>https://www.fool.com/investing/2018/07/26/why-facebook-inc-stock-has-plummeted-today.aspx</x:v>
      </x:c>
      <x:c r="I31" s="12" t="str">
        <x:v>OPENED_OK</x:v>
      </x:c>
      <x:c r="J31" s="12" t="str">
        <x:v>PASS</x:v>
      </x:c>
      <x:c r="K31" s="12" t="str">
        <x:v>PASS</x:v>
      </x:c>
      <x:c r="L31" s="12" t="str">
        <x:v>PASS</x:v>
      </x:c>
      <x:c r="M31" s="12" t="str">
        <x:v>NO</x:v>
      </x:c>
      <x:c r="N31" s="12" t="str">
        <x:v>PASS</x:v>
      </x:c>
      <x:c r="O31" s="12" t="str">
        <x:v>EXPLICIT_OR_CONTEMPORANEOUS</x:v>
      </x:c>
      <x:c r="P31" s="12" t="str">
        <x:v>PASS</x:v>
      </x:c>
      <x:c r="Q31" s="12" t="str">
        <x:v>Source was opened/verified for Facebook/FB identity, the exact earnings event, displayed date, timing window and source-origin restriction.</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9" hidden="0" customWidth="1"/>
    <x:col min="3" max="3" width="13" hidden="0" customWidth="1"/>
    <x:col min="4" max="4" width="16" hidden="0" customWidth="1"/>
    <x:col min="5" max="5" width="20" hidden="0" customWidth="1"/>
    <x:col min="6" max="6" width="20" hidden="0" customWidth="1"/>
    <x:col min="7" max="7" width="20" hidden="0" customWidth="1"/>
    <x:col min="8" max="8" width="18" hidden="0" customWidth="1"/>
    <x:col min="9" max="9" width="14" hidden="0" customWidth="1"/>
    <x:col min="10" max="10" width="23" hidden="0" customWidth="1"/>
    <x:col min="11" max="11" width="14" hidden="0" customWidth="1"/>
  </x:cols>
  <x:sheetData>
    <x:row r="1">
      <x:c r="A1" s="5" t="str">
        <x:v>earnings_date</x:v>
      </x:c>
      <x:c r="B1" s="5" t="str">
        <x:v>ticker</x:v>
      </x:c>
      <x:c r="C1" s="5" t="str">
        <x:v>ret_1day_pct</x:v>
      </x:c>
      <x:c r="D1" s="5" t="str">
        <x:v>ret_1daypost_pct</x:v>
      </x:c>
      <x:c r="E1" s="5" t="str">
        <x:v>reaction_basis</x:v>
      </x:c>
      <x:c r="F1" s="5" t="str">
        <x:v>computed_direction</x:v>
      </x:c>
      <x:c r="G1" s="5" t="str">
        <x:v>narrative_direction</x:v>
      </x:c>
      <x:c r="H1" s="5" t="str">
        <x:v>direction_match</x:v>
      </x:c>
      <x:c r="I1" s="5" t="str">
        <x:v>source_count</x:v>
      </x:c>
      <x:c r="J1" s="5" t="str">
        <x:v>source_audit_pass_count</x:v>
      </x:c>
      <x:c r="K1" s="5" t="str">
        <x:v>qa_status</x:v>
      </x:c>
    </x:row>
    <x:row r="2">
      <x:c r="A2" t="str">
        <x:v>2016-04-27</x:v>
      </x:c>
      <x:c r="B2" t="str">
        <x:v>FB</x:v>
      </x:c>
      <x:c r="C2" s="20" t="n">
        <x:v>-0.15</x:v>
      </x:c>
      <x:c r="D2" s="20" t="n">
        <x:v>8.06</x:v>
      </x:c>
      <x:c r="E2" t="str">
        <x:v>ret_1daypost_pct</x:v>
      </x:c>
      <x:c r="F2" t="str">
        <x:f>IF(D2&gt;0.1,"UP",IF(D2&lt;-0.1,"DOWN","FLAT"))</x:f>
        <x:v>UP</x:v>
      </x:c>
      <x:c r="G2" t="str">
        <x:v>UP</x:v>
      </x:c>
      <x:c r="H2" t="str">
        <x:f>IF(F2=G2,"PASS","FAIL")</x:f>
        <x:v>PASS</x:v>
      </x:c>
      <x:c r="I2" t="n">
        <x:v>3</x:v>
      </x:c>
      <x:c r="J2" t="n">
        <x:f>COUNTIFS('Source Audit'!$A:$A,A2,'Source Audit'!$P:$P,"PASS")</x:f>
        <x:v>3</x:v>
      </x:c>
      <x:c r="K2" t="str">
        <x:f>IF(AND(H2="PASS",J2=I2),"PASS","FAIL")</x:f>
        <x:v>PASS</x:v>
      </x:c>
    </x:row>
    <x:row r="3">
      <x:c r="A3" t="str">
        <x:v>2016-07-27</x:v>
      </x:c>
      <x:c r="B3" t="str">
        <x:v>FB</x:v>
      </x:c>
      <x:c r="C3" s="20" t="n">
        <x:v>1.87</x:v>
      </x:c>
      <x:c r="D3" s="20" t="n">
        <x:v>1.18</x:v>
      </x:c>
      <x:c r="E3" t="str">
        <x:v>ret_1daypost_pct</x:v>
      </x:c>
      <x:c r="F3" t="str">
        <x:f>IF(D3&gt;0.1,"UP",IF(D3&lt;-0.1,"DOWN","FLAT"))</x:f>
        <x:v>UP</x:v>
      </x:c>
      <x:c r="G3" t="str">
        <x:v>UP</x:v>
      </x:c>
      <x:c r="H3" t="str">
        <x:f>IF(F3=G3,"PASS","FAIL")</x:f>
        <x:v>PASS</x:v>
      </x:c>
      <x:c r="I3" t="n">
        <x:v>3</x:v>
      </x:c>
      <x:c r="J3" t="n">
        <x:f>COUNTIFS('Source Audit'!$A:$A,A3,'Source Audit'!$P:$P,"PASS")</x:f>
        <x:v>3</x:v>
      </x:c>
      <x:c r="K3" t="str">
        <x:f>IF(AND(H3="PASS",J3=I3),"PASS","FAIL")</x:f>
        <x:v>PASS</x:v>
      </x:c>
    </x:row>
    <x:row r="4">
      <x:c r="A4" t="str">
        <x:v>2016-11-02</x:v>
      </x:c>
      <x:c r="B4" t="str">
        <x:v>FB</x:v>
      </x:c>
      <x:c r="C4" s="20" t="n">
        <x:v>-1.03</x:v>
      </x:c>
      <x:c r="D4" s="20" t="n">
        <x:v>-5.24</x:v>
      </x:c>
      <x:c r="E4" t="str">
        <x:v>ret_1daypost_pct</x:v>
      </x:c>
      <x:c r="F4" t="str">
        <x:f>IF(D4&gt;0.1,"UP",IF(D4&lt;-0.1,"DOWN","FLAT"))</x:f>
        <x:v>DOWN</x:v>
      </x:c>
      <x:c r="G4" t="str">
        <x:v>DOWN</x:v>
      </x:c>
      <x:c r="H4" t="str">
        <x:f>IF(F4=G4,"PASS","FAIL")</x:f>
        <x:v>PASS</x:v>
      </x:c>
      <x:c r="I4" t="n">
        <x:v>3</x:v>
      </x:c>
      <x:c r="J4" t="n">
        <x:f>COUNTIFS('Source Audit'!$A:$A,A4,'Source Audit'!$P:$P,"PASS")</x:f>
        <x:v>3</x:v>
      </x:c>
      <x:c r="K4" t="str">
        <x:f>IF(AND(H4="PASS",J4=I4),"PASS","FAIL")</x:f>
        <x:v>PASS</x:v>
      </x:c>
    </x:row>
    <x:row r="5">
      <x:c r="A5" t="str">
        <x:v>2017-02-01</x:v>
      </x:c>
      <x:c r="B5" t="str">
        <x:v>FB</x:v>
      </x:c>
      <x:c r="C5" s="20" t="n">
        <x:v>2.2</x:v>
      </x:c>
      <x:c r="D5" s="20" t="n">
        <x:v>-1.85</x:v>
      </x:c>
      <x:c r="E5" t="str">
        <x:v>ret_1daypost_pct</x:v>
      </x:c>
      <x:c r="F5" t="str">
        <x:f>IF(D5&gt;0.1,"UP",IF(D5&lt;-0.1,"DOWN","FLAT"))</x:f>
        <x:v>DOWN</x:v>
      </x:c>
      <x:c r="G5" t="str">
        <x:v>DOWN</x:v>
      </x:c>
      <x:c r="H5" t="str">
        <x:f>IF(F5=G5,"PASS","FAIL")</x:f>
        <x:v>PASS</x:v>
      </x:c>
      <x:c r="I5" t="n">
        <x:v>3</x:v>
      </x:c>
      <x:c r="J5" t="n">
        <x:f>COUNTIFS('Source Audit'!$A:$A,A5,'Source Audit'!$P:$P,"PASS")</x:f>
        <x:v>3</x:v>
      </x:c>
      <x:c r="K5" t="str">
        <x:f>IF(AND(H5="PASS",J5=I5),"PASS","FAIL")</x:f>
        <x:v>PASS</x:v>
      </x:c>
    </x:row>
    <x:row r="6">
      <x:c r="A6" t="str">
        <x:v>2017-05-03</x:v>
      </x:c>
      <x:c r="B6" t="str">
        <x:v>FB</x:v>
      </x:c>
      <x:c r="C6" s="20" t="n">
        <x:v>-0.38</x:v>
      </x:c>
      <x:c r="D6" s="20" t="n">
        <x:v>-0.55</x:v>
      </x:c>
      <x:c r="E6" t="str">
        <x:v>ret_1daypost_pct</x:v>
      </x:c>
      <x:c r="F6" t="str">
        <x:f>IF(D6&gt;0.1,"UP",IF(D6&lt;-0.1,"DOWN","FLAT"))</x:f>
        <x:v>DOWN</x:v>
      </x:c>
      <x:c r="G6" t="str">
        <x:v>DOWN</x:v>
      </x:c>
      <x:c r="H6" t="str">
        <x:f>IF(F6=G6,"PASS","FAIL")</x:f>
        <x:v>PASS</x:v>
      </x:c>
      <x:c r="I6" t="n">
        <x:v>3</x:v>
      </x:c>
      <x:c r="J6" t="n">
        <x:f>COUNTIFS('Source Audit'!$A:$A,A6,'Source Audit'!$P:$P,"PASS")</x:f>
        <x:v>3</x:v>
      </x:c>
      <x:c r="K6" t="str">
        <x:f>IF(AND(H6="PASS",J6=I6),"PASS","FAIL")</x:f>
        <x:v>PASS</x:v>
      </x:c>
    </x:row>
    <x:row r="7">
      <x:c r="A7" t="str">
        <x:v>2017-07-26</x:v>
      </x:c>
      <x:c r="B7" t="str">
        <x:v>FB</x:v>
      </x:c>
      <x:c r="C7" s="20" t="n">
        <x:v>0.21</x:v>
      </x:c>
      <x:c r="D7" s="20" t="n">
        <x:v>3.13</x:v>
      </x:c>
      <x:c r="E7" t="str">
        <x:v>ret_1daypost_pct</x:v>
      </x:c>
      <x:c r="F7" t="str">
        <x:f>IF(D7&gt;0.1,"UP",IF(D7&lt;-0.1,"DOWN","FLAT"))</x:f>
        <x:v>UP</x:v>
      </x:c>
      <x:c r="G7" t="str">
        <x:v>UP</x:v>
      </x:c>
      <x:c r="H7" t="str">
        <x:f>IF(F7=G7,"PASS","FAIL")</x:f>
        <x:v>PASS</x:v>
      </x:c>
      <x:c r="I7" t="n">
        <x:v>3</x:v>
      </x:c>
      <x:c r="J7" t="n">
        <x:f>COUNTIFS('Source Audit'!$A:$A,A7,'Source Audit'!$P:$P,"PASS")</x:f>
        <x:v>3</x:v>
      </x:c>
      <x:c r="K7" t="str">
        <x:f>IF(AND(H7="PASS",J7=I7),"PASS","FAIL")</x:f>
        <x:v>PASS</x:v>
      </x:c>
    </x:row>
    <x:row r="8">
      <x:c r="A8" t="str">
        <x:v>2017-11-01</x:v>
      </x:c>
      <x:c r="B8" t="str">
        <x:v>FB</x:v>
      </x:c>
      <x:c r="C8" s="20" t="n">
        <x:v>1.37</x:v>
      </x:c>
      <x:c r="D8" s="20" t="n">
        <x:v>-2.08</x:v>
      </x:c>
      <x:c r="E8" t="str">
        <x:v>ret_1daypost_pct</x:v>
      </x:c>
      <x:c r="F8" t="str">
        <x:f>IF(D8&gt;0.1,"UP",IF(D8&lt;-0.1,"DOWN","FLAT"))</x:f>
        <x:v>DOWN</x:v>
      </x:c>
      <x:c r="G8" t="str">
        <x:v>DOWN</x:v>
      </x:c>
      <x:c r="H8" t="str">
        <x:f>IF(F8=G8,"PASS","FAIL")</x:f>
        <x:v>PASS</x:v>
      </x:c>
      <x:c r="I8" t="n">
        <x:v>3</x:v>
      </x:c>
      <x:c r="J8" t="n">
        <x:f>COUNTIFS('Source Audit'!$A:$A,A8,'Source Audit'!$P:$P,"PASS")</x:f>
        <x:v>3</x:v>
      </x:c>
      <x:c r="K8" t="str">
        <x:f>IF(AND(H8="PASS",J8=I8),"PASS","FAIL")</x:f>
        <x:v>PASS</x:v>
      </x:c>
    </x:row>
    <x:row r="9">
      <x:c r="A9" t="str">
        <x:v>2018-01-31</x:v>
      </x:c>
      <x:c r="B9" t="str">
        <x:v>FB</x:v>
      </x:c>
      <x:c r="C9" s="20" t="n">
        <x:v>-0.14</x:v>
      </x:c>
      <x:c r="D9" s="20" t="n">
        <x:v>3.34</x:v>
      </x:c>
      <x:c r="E9" t="str">
        <x:v>ret_1daypost_pct</x:v>
      </x:c>
      <x:c r="F9" t="str">
        <x:f>IF(D9&gt;0.1,"UP",IF(D9&lt;-0.1,"DOWN","FLAT"))</x:f>
        <x:v>UP</x:v>
      </x:c>
      <x:c r="G9" t="str">
        <x:v>UP</x:v>
      </x:c>
      <x:c r="H9" t="str">
        <x:f>IF(F9=G9,"PASS","FAIL")</x:f>
        <x:v>PASS</x:v>
      </x:c>
      <x:c r="I9" t="n">
        <x:v>3</x:v>
      </x:c>
      <x:c r="J9" t="n">
        <x:f>COUNTIFS('Source Audit'!$A:$A,A9,'Source Audit'!$P:$P,"PASS")</x:f>
        <x:v>3</x:v>
      </x:c>
      <x:c r="K9" t="str">
        <x:f>IF(AND(H9="PASS",J9=I9),"PASS","FAIL")</x:f>
        <x:v>PASS</x:v>
      </x:c>
    </x:row>
    <x:row r="10">
      <x:c r="A10" t="str">
        <x:v>2018-04-25</x:v>
      </x:c>
      <x:c r="B10" t="str">
        <x:v>FB</x:v>
      </x:c>
      <x:c r="C10" s="20" t="n">
        <x:v>-0.08</x:v>
      </x:c>
      <x:c r="D10" s="20" t="n">
        <x:v>8.16</x:v>
      </x:c>
      <x:c r="E10" t="str">
        <x:v>ret_1daypost_pct</x:v>
      </x:c>
      <x:c r="F10" t="str">
        <x:f>IF(D10&gt;0.1,"UP",IF(D10&lt;-0.1,"DOWN","FLAT"))</x:f>
        <x:v>UP</x:v>
      </x:c>
      <x:c r="G10" t="str">
        <x:v>UP</x:v>
      </x:c>
      <x:c r="H10" t="str">
        <x:f>IF(F10=G10,"PASS","FAIL")</x:f>
        <x:v>PASS</x:v>
      </x:c>
      <x:c r="I10" t="n">
        <x:v>3</x:v>
      </x:c>
      <x:c r="J10" t="n">
        <x:f>COUNTIFS('Source Audit'!$A:$A,A10,'Source Audit'!$P:$P,"PASS")</x:f>
        <x:v>3</x:v>
      </x:c>
      <x:c r="K10" t="str">
        <x:f>IF(AND(H10="PASS",J10=I10),"PASS","FAIL")</x:f>
        <x:v>PASS</x:v>
      </x:c>
    </x:row>
    <x:row r="11">
      <x:c r="A11" t="str">
        <x:v>2018-07-25</x:v>
      </x:c>
      <x:c r="B11" t="str">
        <x:v>FB</x:v>
      </x:c>
      <x:c r="C11" s="20" t="n">
        <x:v>0.49</x:v>
      </x:c>
      <x:c r="D11" s="20" t="n">
        <x:v>-18.81</x:v>
      </x:c>
      <x:c r="E11" t="str">
        <x:v>ret_1daypost_pct</x:v>
      </x:c>
      <x:c r="F11" t="str">
        <x:f>IF(D11&gt;0.1,"UP",IF(D11&lt;-0.1,"DOWN","FLAT"))</x:f>
        <x:v>DOWN</x:v>
      </x:c>
      <x:c r="G11" t="str">
        <x:v>DOWN</x:v>
      </x:c>
      <x:c r="H11" t="str">
        <x:f>IF(F11=G11,"PASS","FAIL")</x:f>
        <x:v>PASS</x:v>
      </x:c>
      <x:c r="I11" t="n">
        <x:v>3</x:v>
      </x:c>
      <x:c r="J11" t="n">
        <x:f>COUNTIFS('Source Audit'!$A:$A,A11,'Source Audit'!$P:$P,"PASS")</x:f>
        <x:v>3</x:v>
      </x:c>
      <x:c r="K11" t="str">
        <x:f>IF(AND(H11="PASS",J11=I11),"PASS","FAIL")</x:f>
        <x:v>PASS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0" hidden="0" customWidth="1"/>
    <x:col min="2" max="2" width="110" hidden="0" customWidth="1"/>
  </x:cols>
  <x:sheetData>
    <x:row r="1">
      <x:c r="A1" s="5" t="str">
        <x:v>Item</x:v>
      </x:c>
      <x:c r="B1" s="5" t="str">
        <x:v>Rule</x:v>
      </x:c>
    </x:row>
    <x:row r="2">
      <x:c r="A2" s="12" t="str">
        <x:v>Rebuild status</x:v>
      </x:c>
      <x:c r="B2" s="12" t="str">
        <x:v>FB rebuilt from scratch. GOOG and META are excluded from the broader rebuild because GOOGL and FB cover those companies.</x:v>
      </x:c>
    </x:row>
    <x:row r="3">
      <x:c r="A3" s="12" t="str">
        <x:v>Identity source</x:v>
      </x:c>
      <x:c r="B3" s="12" t="str">
        <x:v>Ticker/company, exact earnings date and returns come from group_observations.csv.</x:v>
      </x:c>
    </x:row>
    <x:row r="4">
      <x:c r="A4" s="12" t="str">
        <x:v>Reaction basis</x:v>
      </x:c>
      <x:c r="B4" s="12" t="str">
        <x:v>Facebook reported after the U.S. market close; ret_1daypost_pct is used for direction QA.</x:v>
      </x:c>
    </x:row>
    <x:row r="5">
      <x:c r="A5" s="12" t="str">
        <x:v>Narrative</x:v>
      </x:c>
      <x:c r="B5" s="12" t="str">
        <x:v>Short Prior Context, detailed Current Earnings Release, and three concise event-specific Possible Drivers.</x:v>
      </x:c>
    </x:row>
    <x:row r="6">
      <x:c r="A6" s="12" t="str">
        <x:v>Source verification</x:v>
      </x:c>
      <x:c r="B6" s="12" t="str">
        <x:v>Facebook/Meta IR is the factual anchor. Every reaction page was checked against the exact quarter and publication date.</x:v>
      </x:c>
    </x:row>
    <x:row r="7">
      <x:c r="A7" s="12" t="str">
        <x:v>Timing</x:v>
      </x:c>
      <x:c r="B7" s="12" t="str">
        <x:v>Prior = -100..-1 days; release = day 0; reaction = day 0..+3.</x:v>
      </x:c>
    </x:row>
    <x:row r="8">
      <x:c r="A8" s="12" t="str">
        <x:v>Restrictions</x:v>
      </x:c>
      <x:c r="B8" s="12" t="str">
        <x:v>No WSJ, Reuters, Dow Jones or MarketWatch-syndicated article is included.</x:v>
      </x:c>
    </x:row>
    <x:row r="9">
      <x:c r="A9" s="12" t="str">
        <x:v>QA</x:v>
      </x:c>
      <x:c r="B9" s="12" t="str">
        <x:v>Event QA mechanically recomputes the post-release direction and requires exactly three PASS source rows per observation.</x:v>
      </x:c>
    </x:row>
  </x:sheetData>
  <x:pageMargins left="0.7" right="0.7" top="0.75" bottom="0.75" header="0.3" footer="0.3"/>
</x:worksheet>
</file>