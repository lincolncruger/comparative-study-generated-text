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11d77cf5464fec" /></Relationships>
</file>

<file path=xl/workbook.xml><?xml version="1.0" encoding="utf-8"?>
<x:workbook xmlns:x="http://schemas.openxmlformats.org/spreadsheetml/2006/main">
  <x:sheets>
    <x:sheet xmlns:r="http://schemas.openxmlformats.org/officeDocument/2006/relationships" name="MSFT" sheetId="1" r:id="R0b3377208d6c4148"/>
    <x:sheet xmlns:r="http://schemas.openxmlformats.org/officeDocument/2006/relationships" name="Source Audit" sheetId="2" r:id="R6132d81b40d74f72"/>
    <x:sheet xmlns:r="http://schemas.openxmlformats.org/officeDocument/2006/relationships" name="Event QA" sheetId="3" r:id="R1dcb5080c7bf4df3"/>
    <x:sheet xmlns:r="http://schemas.openxmlformats.org/officeDocument/2006/relationships" name="Methodology" sheetId="4" r:id="R4d8da4db88b94a6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43e1bcd78b4f27" /><Relationship Type="http://schemas.openxmlformats.org/officeDocument/2006/relationships/theme" Target="/xl/theme/theme1.xml" Id="R66f53ebc5e7a4771" /><Relationship Type="http://schemas.openxmlformats.org/officeDocument/2006/relationships/sharedStrings" Target="/xl/sharedStrings.xml" Id="R88bff201f2044501" /><Relationship Type="http://schemas.openxmlformats.org/officeDocument/2006/relationships/worksheet" Target="/xl/worksheets/sheet1.xml" Id="R0b3377208d6c4148" /><Relationship Type="http://schemas.openxmlformats.org/officeDocument/2006/relationships/worksheet" Target="/xl/worksheets/sheet2.xml" Id="R6132d81b40d74f72" /><Relationship Type="http://schemas.openxmlformats.org/officeDocument/2006/relationships/worksheet" Target="/xl/worksheets/sheet3.xml" Id="R1dcb5080c7bf4df3" /><Relationship Type="http://schemas.openxmlformats.org/officeDocument/2006/relationships/worksheet" Target="/xl/worksheets/sheet4.xml" Id="R4d8da4db88b94a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4" hidden="0" customWidth="1"/>
    <x:col min="15" max="15" width="64" hidden="0" customWidth="1"/>
    <x:col min="16" max="16" width="64"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MSFT</x:v>
      </x:c>
      <x:c r="C2" s="15" t="str">
        <x:v>Microsoft</x:v>
      </x:c>
      <x:c r="D2" s="15" t="str">
        <x:v>2016q2</x:v>
      </x:c>
      <x:c r="E2" s="15" t="str">
        <x:v>2016-04-21</x:v>
      </x:c>
      <x:c r="F2" s="18" t="n">
        <x:v>0.87</x:v>
      </x:c>
      <x:c r="G2" s="18" t="n">
        <x:v>-7.35</x:v>
      </x:c>
      <x:c r="H2" s="18" t="n">
        <x:v>-6.55</x:v>
      </x:c>
      <x:c r="I2" s="18" t="n">
        <x:v>-7.99</x:v>
      </x:c>
      <x:c r="J2" s="18" t="n">
        <x:v>-8.65</x:v>
      </x:c>
      <x:c r="K2" s="15" t="str">
        <x:v>ret_1daypost_pct</x:v>
      </x:c>
      <x:c r="L2" s="15" t="str">
        <x:v>DOWN</x:v>
      </x:c>
      <x:c r="M2" s="15" t="str">
        <x:v>## Prior Context
Microsoft was deep in its transition from packaged software and phone hardware toward Office 365 and Azure. Investors needed the cloud businesses to grow fast enough to offset weaker legacy licensing and mobile revenue.
### Verified prior source
2016-01-28 | Microsoft | Microsoft Cloud Strength Highlights Second Quarter Results | https://www.microsoft.com/en-us/Investor/earnings/FY-2016-Q2/press-release-webcast
## Current Earnings Release
Fiscal Q3 non-GAAP revenue was **$22.1 billion** and non-GAAP EPS was **$0.62**. Revenue was essentially in line with consensus, but EPS missed the roughly **$0.64** expectation. Commercial cloud annualized revenue run rate exceeded **$10 billion**, Azure revenue grew about **120%**, and Office 365 continued expanding rapidly.
The problem was the rest of the mix. On-premise server and Office commercial licensing were softer, phone revenue collapsed, and management's fiscal-Q4 revenue guidance came in below expectations. The quarter therefore showed excellent cloud momentum but insufficient near-term earnings conversion to offset legacy weakness.
### Verified release source
2016-04-21 | Microsoft | Microsoft Cloud Strength Highlights Third Quarter Results | https://www.microsoft.com/en-us/Investor/earnings/FY-2016-Q3/press-release-webcast
## Possible Drivers
**First-order driver.** Shares fell sharply because EPS and Q4 revenue guidance missed expectations.
**Second-order driver.** Azure and Office 365 were growing very quickly, but cloud strength could not yet fully offset weaker legacy software and phone revenue.
**Third-order driver.** The market wanted clearer evidence that the cloud transition would expand—not merely preserve—profitability.
### Verified reaction source
2016-04-22 | The Motley Fool | Microsoft Corporation Stock Drops As Cloud Demand Breaks $10 Billion | https://www.fool.com/investing/general/2016/04/22/tickercoveragemicrosoft-plunges-as-cloud-demand-br.aspx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2" s="15" t="str">
        <x:v>2016-01-28 | Microsoft | Microsoft Cloud Strength Highlights Second Quarter Results | https://www.microsoft.com/en-us/Investor/earnings/FY-2016-Q2/press-release-webcast</x:v>
      </x:c>
      <x:c r="O2" s="15" t="str">
        <x:v>2016-04-21 | Microsoft | Microsoft Cloud Strength Highlights Third Quarter Results | https://www.microsoft.com/en-us/Investor/earnings/FY-2016-Q3/press-release-webcast</x:v>
      </x:c>
      <x:c r="P2" s="15" t="str">
        <x:v>2016-04-22 | The Motley Fool | Microsoft Corporation Stock Drops As Cloud Demand Breaks $10 Billion | https://www.fool.com/investing/general/2016/04/22/tickercoveragemicrosoft-plunges-as-cloud-demand-br.aspx</x:v>
      </x:c>
      <x:c r="Q2" s="15" t="str">
        <x:v>2016-01-28 | Microsoft | Microsoft Cloud Strength Highlights Second Quarter Results | https://www.microsoft.com/en-us/Investor/earnings/FY-2016-Q2/press-release-webcast
2016-04-21 | Microsoft | Microsoft Cloud Strength Highlights Third Quarter Results | https://www.microsoft.com/en-us/Investor/earnings/FY-2016-Q3/press-release-webcast
2016-04-22 | The Motley Fool | Microsoft Corporation Stock Drops As Cloud Demand Breaks $10 Billion | https://www.fool.com/investing/general/2016/04/22/tickercoveragemicrosoft-plunges-as-cloud-demand-br.aspx</x:v>
      </x:c>
      <x:c r="R2" s="15" t="n">
        <x:v>3</x:v>
      </x:c>
      <x:c r="S2" s="15" t="str">
        <x:v>PASS</x:v>
      </x:c>
    </x:row>
    <x:row r="3" ht="340" customHeight="1">
      <x:c r="A3" s="15" t="n">
        <x:v>1</x:v>
      </x:c>
      <x:c r="B3" s="15" t="str">
        <x:v>MSFT</x:v>
      </x:c>
      <x:c r="C3" s="15" t="str">
        <x:v>Microsoft</x:v>
      </x:c>
      <x:c r="D3" s="15" t="str">
        <x:v>2016q3</x:v>
      </x:c>
      <x:c r="E3" s="15" t="str">
        <x:v>2016-07-19</x:v>
      </x:c>
      <x:c r="F3" s="18" t="n">
        <x:v>-1.38</x:v>
      </x:c>
      <x:c r="G3" s="18" t="n">
        <x:v>4.85</x:v>
      </x:c>
      <x:c r="H3" s="18" t="n">
        <x:v>3.41</x:v>
      </x:c>
      <x:c r="I3" s="18" t="n">
        <x:v>3.64</x:v>
      </x:c>
      <x:c r="J3" s="18" t="n">
        <x:v>4.74</x:v>
      </x:c>
      <x:c r="K3" s="15" t="str">
        <x:v>ret_1daypost_pct</x:v>
      </x:c>
      <x:c r="L3" s="15" t="str">
        <x:v>UP</x:v>
      </x:c>
      <x:c r="M3" s="15" t="str">
        <x:v>## Prior Context
After the April selloff, Microsoft had a lower expectations bar. The key test was whether Azure and Office 365 could convert their rapid growth into stronger company-wide earnings.
### Verified prior source
2016-04-21 | Microsoft | Microsoft Cloud Strength Highlights Third Quarter Results | https://www.microsoft.com/en-us/Investor/earnings/FY-2016-Q3/press-release-webcast
## Current Earnings Release
Fiscal Q4 non-GAAP revenue reached **$22.6 billion** and non-GAAP EPS **$0.69**, versus expectations near $22.1 billion and $0.58. Intelligent Cloud revenue rose to **$6.7 billion**, while Azure revenue increased **102%** year over year and commercial cloud ARR reached **$12.1 billion**.
Office 365 commercial revenue also grew strongly, and free cash flow improved. More Personal Computing remained pressured by the collapse in phone revenue, but the quarter showed that cloud and subscription businesses were becoming large enough to dominate the earnings narrative.
### Verified release source
2016-07-19 | Microsoft | Microsoft Cloud Strength Highlights Fourth Quarter Results | https://www.microsoft.com/en-us/Investor/earnings/FY-2016-Q4/press-release-webcast
## Possible Drivers
**First-order driver.** The stock rose because revenue and EPS beat expectations by a wide margin.
**Second-order driver.** Azure’s 102% growth confirmed Microsoft’s cloud transition was accelerating.
**Third-order driver.** Stronger free cash flow showed the shift toward subscriptions was improving earnings quality.
### Verified reaction source
2016-07-19 | TechCrunch | Microsoft’s Q4 earnings beat Street with $22.6B in revenue, $0.69 EPS | https://techcrunch.com/2016/07/19/microsofts-q4-earnings-beat-with-22-6b-in-revenue-0-69-eps/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3" s="15" t="str">
        <x:v>2016-04-21 | Microsoft | Microsoft Cloud Strength Highlights Third Quarter Results | https://www.microsoft.com/en-us/Investor/earnings/FY-2016-Q3/press-release-webcast</x:v>
      </x:c>
      <x:c r="O3" s="15" t="str">
        <x:v>2016-07-19 | Microsoft | Microsoft Cloud Strength Highlights Fourth Quarter Results | https://www.microsoft.com/en-us/Investor/earnings/FY-2016-Q4/press-release-webcast</x:v>
      </x:c>
      <x:c r="P3" s="15" t="str">
        <x:v>2016-07-19 | TechCrunch | Microsoft’s Q4 earnings beat Street with $22.6B in revenue, $0.69 EPS | https://techcrunch.com/2016/07/19/microsofts-q4-earnings-beat-with-22-6b-in-revenue-0-69-eps/</x:v>
      </x:c>
      <x:c r="Q3" s="15" t="str">
        <x:v>2016-04-21 | Microsoft | Microsoft Cloud Strength Highlights Third Quarter Results | https://www.microsoft.com/en-us/Investor/earnings/FY-2016-Q3/press-release-webcast
2016-07-19 | Microsoft | Microsoft Cloud Strength Highlights Fourth Quarter Results | https://www.microsoft.com/en-us/Investor/earnings/FY-2016-Q4/press-release-webcast
2016-07-19 | TechCrunch | Microsoft’s Q4 earnings beat Street with $22.6B in revenue, $0.69 EPS | https://techcrunch.com/2016/07/19/microsofts-q4-earnings-beat-with-22-6b-in-revenue-0-69-eps/</x:v>
      </x:c>
      <x:c r="R3" s="15" t="n">
        <x:v>3</x:v>
      </x:c>
      <x:c r="S3" s="15" t="str">
        <x:v>PASS</x:v>
      </x:c>
    </x:row>
    <x:row r="4" ht="340" customHeight="1">
      <x:c r="A4" s="15" t="n">
        <x:v>2</x:v>
      </x:c>
      <x:c r="B4" s="15" t="str">
        <x:v>MSFT</x:v>
      </x:c>
      <x:c r="C4" s="15" t="str">
        <x:v>Microsoft</x:v>
      </x:c>
      <x:c r="D4" s="15" t="str">
        <x:v>2016q4</x:v>
      </x:c>
      <x:c r="E4" s="15" t="str">
        <x:v>2016-10-20</x:v>
      </x:c>
      <x:c r="F4" s="18" t="n">
        <x:v>-0.32</x:v>
      </x:c>
      <x:c r="G4" s="18" t="n">
        <x:v>4.22</x:v>
      </x:c>
      <x:c r="H4" s="18" t="n">
        <x:v>3.88</x:v>
      </x:c>
      <x:c r="I4" s="18" t="n">
        <x:v>3.34</x:v>
      </x:c>
      <x:c r="J4" s="18" t="n">
        <x:v>5.64</x:v>
      </x:c>
      <x:c r="K4" s="15" t="str">
        <x:v>ret_1daypost_pct</x:v>
      </x:c>
      <x:c r="L4" s="15" t="str">
        <x:v>UP</x:v>
      </x:c>
      <x:c r="M4" s="15" t="str">
        <x:v>## Prior Context
Microsoft entered fiscal 2017 with the market increasingly willing to value it as a cloud and subscription company rather than a PC software vendor.
### Verified prior source
2016-07-19 | Microsoft | Microsoft Cloud Strength Highlights Fourth Quarter Results | https://www.microsoft.com/en-us/Investor/earnings/FY-2016-Q4/press-release-webcast
## Current Earnings Release
Fiscal Q1 non-GAAP revenue was **$22.3 billion** and non-GAAP EPS **$0.76**, both above consensus. Azure revenue surged **116%**, Office 365 commercial revenue grew strongly, and commercial cloud ARR exceeded **$13 billion**.
Meanwhile, phone revenue declined **72%**, but Windows OEM revenue was roughly stable and slightly better than the PC market. The release reinforced a major change in the earnings mix: legacy mobile hardware was becoming irrelevant while Azure, Office 365 and recurring enterprise revenue were driving growth.
### Verified release source
2016-10-20 | Microsoft | Microsoft Cloud Strength Highlights First Quarter Results | https://www.microsoft.com/en-us/Investor/earnings/FY-2017-Q1/press-release-webcast
## Possible Drivers
**First-order driver.** Shares rose to record levels because the earnings beat was powered by exceptional cloud growth.
**Second-order driver.** Azure growth above 100% made cloud the clearest incremental earnings engine.
**Third-order driver.** Stable Windows OEM performance reduced concern that PC weakness would offset cloud gains.
### Verified reaction source
2016-10-20 | TechCrunch | Microsoft’s cloud business bets pay off in Q1 as stock hits an all time high | https://techcrunch.com/2016/10/20/microsoft-beats-on-strong-growth-in-cloud-business/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4" s="15" t="str">
        <x:v>2016-07-19 | Microsoft | Microsoft Cloud Strength Highlights Fourth Quarter Results | https://www.microsoft.com/en-us/Investor/earnings/FY-2016-Q4/press-release-webcast</x:v>
      </x:c>
      <x:c r="O4" s="15" t="str">
        <x:v>2016-10-20 | Microsoft | Microsoft Cloud Strength Highlights First Quarter Results | https://www.microsoft.com/en-us/Investor/earnings/FY-2017-Q1/press-release-webcast</x:v>
      </x:c>
      <x:c r="P4" s="15" t="str">
        <x:v>2016-10-20 | TechCrunch | Microsoft’s cloud business bets pay off in Q1 as stock hits an all time high | https://techcrunch.com/2016/10/20/microsoft-beats-on-strong-growth-in-cloud-business/</x:v>
      </x:c>
      <x:c r="Q4" s="15" t="str">
        <x:v>2016-07-19 | Microsoft | Microsoft Cloud Strength Highlights Fourth Quarter Results | https://www.microsoft.com/en-us/Investor/earnings/FY-2016-Q4/press-release-webcast
2016-10-20 | Microsoft | Microsoft Cloud Strength Highlights First Quarter Results | https://www.microsoft.com/en-us/Investor/earnings/FY-2017-Q1/press-release-webcast
2016-10-20 | TechCrunch | Microsoft’s cloud business bets pay off in Q1 as stock hits an all time high | https://techcrunch.com/2016/10/20/microsoft-beats-on-strong-growth-in-cloud-business/</x:v>
      </x:c>
      <x:c r="R4" s="15" t="n">
        <x:v>3</x:v>
      </x:c>
      <x:c r="S4" s="15" t="str">
        <x:v>PASS</x:v>
      </x:c>
    </x:row>
    <x:row r="5" ht="340" customHeight="1">
      <x:c r="A5" s="15" t="n">
        <x:v>3</x:v>
      </x:c>
      <x:c r="B5" s="15" t="str">
        <x:v>MSFT</x:v>
      </x:c>
      <x:c r="C5" s="15" t="str">
        <x:v>Microsoft</x:v>
      </x:c>
      <x:c r="D5" s="15" t="str">
        <x:v>2017q1</x:v>
      </x:c>
      <x:c r="E5" s="15" t="str">
        <x:v>2017-01-26</x:v>
      </x:c>
      <x:c r="F5" s="18" t="n">
        <x:v>1.04</x:v>
      </x:c>
      <x:c r="G5" s="18" t="n">
        <x:v>2.51</x:v>
      </x:c>
      <x:c r="H5" s="18" t="n">
        <x:v>3.58</x:v>
      </x:c>
      <x:c r="I5" s="18" t="n">
        <x:v>3</x:v>
      </x:c>
      <x:c r="J5" s="18" t="n">
        <x:v>1.87</x:v>
      </x:c>
      <x:c r="K5" s="15" t="str">
        <x:v>ret_1daypost_pct</x:v>
      </x:c>
      <x:c r="L5" s="15" t="str">
        <x:v>UP</x:v>
      </x:c>
      <x:c r="M5" s="15" t="str">
        <x:v>## Prior Context
The LinkedIn acquisition had just closed in December, adding a new growth platform but also near-term integration costs. Investors were watching whether Azure and Office 365 could keep the core earnings story strong enough to absorb LinkedIn.
### Verified prior source
2016-10-20 | Microsoft | Microsoft Cloud Strength Highlights First Quarter Results | https://www.microsoft.com/en-us/Investor/earnings/FY-2017-Q1/press-release-webcast
## Current Earnings Release
Fiscal Q2 revenue was about **$25.8 billion** on an adjusted basis and adjusted EPS about **$0.83**, both ahead of consensus. Azure revenue grew **93%**, Office 365 commercial revenue grew **47%**, and commercial cloud ARR reached roughly **$14 billion**.
LinkedIn contributed **$228 million** of revenue for the partial quarter and reduced EPS by about $0.01. Windows OEM revenue also grew 5%. The quarter showed broad execution across cloud, Office and Windows while LinkedIn entered the financial statements with manageable dilution.
### Verified release source
2017-01-26 | Microsoft | Microsoft Cloud Strength Highlights Second Quarter Results | https://www.microsoft.com/en-us/Investor/earnings/FY-2017-Q2/press-release-webcast
## Possible Drivers
**First-order driver.** Shares rose because adjusted revenue and EPS beat expectations and Azure nearly doubled again.
**Second-order driver.** Office 365 reinforced the recurring-revenue shift beyond Azure.
**Third-order driver.** LinkedIn integration costs were modest relative to the strength of the core business.
### Verified reaction source
2017-01-28 | The Motley Fool | Microsoft Corporation's Cloud-Computing Business Is Surging | https://www.fool.com/investing/2017/01/28/microsoft-corporations-cloud-computing-business-is.aspx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5" s="15" t="str">
        <x:v>2016-10-20 | Microsoft | Microsoft Cloud Strength Highlights First Quarter Results | https://www.microsoft.com/en-us/Investor/earnings/FY-2017-Q1/press-release-webcast</x:v>
      </x:c>
      <x:c r="O5" s="15" t="str">
        <x:v>2017-01-26 | Microsoft | Microsoft Cloud Strength Highlights Second Quarter Results | https://www.microsoft.com/en-us/Investor/earnings/FY-2017-Q2/press-release-webcast</x:v>
      </x:c>
      <x:c r="P5" s="15" t="str">
        <x:v>2017-01-28 | The Motley Fool | Microsoft Corporation's Cloud-Computing Business Is Surging | https://www.fool.com/investing/2017/01/28/microsoft-corporations-cloud-computing-business-is.aspx</x:v>
      </x:c>
      <x:c r="Q5" s="15" t="str">
        <x:v>2016-10-20 | Microsoft | Microsoft Cloud Strength Highlights First Quarter Results | https://www.microsoft.com/en-us/Investor/earnings/FY-2017-Q1/press-release-webcast
2017-01-26 | Microsoft | Microsoft Cloud Strength Highlights Second Quarter Results | https://www.microsoft.com/en-us/Investor/earnings/FY-2017-Q2/press-release-webcast
2017-01-28 | The Motley Fool | Microsoft Corporation's Cloud-Computing Business Is Surging | https://www.fool.com/investing/2017/01/28/microsoft-corporations-cloud-computing-business-is.aspx</x:v>
      </x:c>
      <x:c r="R5" s="15" t="n">
        <x:v>3</x:v>
      </x:c>
      <x:c r="S5" s="15" t="str">
        <x:v>PASS</x:v>
      </x:c>
    </x:row>
    <x:row r="6" ht="340" customHeight="1">
      <x:c r="A6" s="15" t="n">
        <x:v>4</x:v>
      </x:c>
      <x:c r="B6" s="15" t="str">
        <x:v>MSFT</x:v>
      </x:c>
      <x:c r="C6" s="15" t="str">
        <x:v>Microsoft</x:v>
      </x:c>
      <x:c r="D6" s="15" t="str">
        <x:v>2017q2</x:v>
      </x:c>
      <x:c r="E6" s="15" t="str">
        <x:v>2017-04-27</x:v>
      </x:c>
      <x:c r="F6" s="18" t="n">
        <x:v>0.65</x:v>
      </x:c>
      <x:c r="G6" s="18" t="n">
        <x:v>0.54</x:v>
      </x:c>
      <x:c r="H6" s="18" t="n">
        <x:v>1.2</x:v>
      </x:c>
      <x:c r="I6" s="18" t="n">
        <x:v>1.07</x:v>
      </x:c>
      <x:c r="J6" s="18" t="n">
        <x:v>2.08</x:v>
      </x:c>
      <x:c r="K6" s="15" t="str">
        <x:v>ret_1daypost_pct</x:v>
      </x:c>
      <x:c r="L6" s="15" t="str">
        <x:v>UP</x:v>
      </x:c>
      <x:c r="M6" s="15" t="str">
        <x:v>## Prior Context
Q3 was the first full quarter including LinkedIn. Investors wanted to see whether the $26 billion acquisition could contribute meaningful revenue without overwhelming margins.
### Verified prior source
2017-01-26 | Microsoft | Microsoft Cloud Strength Highlights Second Quarter Results | https://www.microsoft.com/en-us/Investor/earnings/FY-2017-Q2/press-release-webcast
## Current Earnings Release
Fiscal Q3 adjusted revenue was about **$23.6 billion** and adjusted EPS **$0.73**, essentially in line to slightly above expectations. Azure revenue increased **93%**, Office 365 commercial revenue grew **45%**, and LinkedIn contributed **$975 million** of revenue.
The weak spot was hardware: Surface revenue fell **26%**, while More Personal Computing declined 7% overall, largely because of phones. The market initially reacted cautiously because the headline quarter was good rather than exceptional, and LinkedIn plus cloud growth were partly offset by Surface weakness and continued legacy declines.
### Verified release source
2017-04-27 | Microsoft | Microsoft Cloud Strength Highlights Third Quarter Results | https://www.microsoft.com/en-us/Investor/earnings/FY-2017-Q3/press-release-webcast
## Possible Drivers
**First-order driver.** The stock finished only modestly higher because cloud and LinkedIn strength were offset by weak Surface and legacy hardware.
**Second-order driver.** Azure remained near 100% growth and kept the long-term cloud thesis intact.
**Third-order driver.** LinkedIn revenue slightly exceeded expectations, but integration costs limited near-term margin contribution.
### Verified reaction source
2017-04-27 | TechCrunch | Microsoft meets expectations with $23.6B in revenue, Azure revenue up 93% | https://techcrunch.com/2017/04/27/microsoft-meets-expectations-with-23-6b-in-revenue-azure-revenue-up-93/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6" s="15" t="str">
        <x:v>2017-01-26 | Microsoft | Microsoft Cloud Strength Highlights Second Quarter Results | https://www.microsoft.com/en-us/Investor/earnings/FY-2017-Q2/press-release-webcast</x:v>
      </x:c>
      <x:c r="O6" s="15" t="str">
        <x:v>2017-04-27 | Microsoft | Microsoft Cloud Strength Highlights Third Quarter Results | https://www.microsoft.com/en-us/Investor/earnings/FY-2017-Q3/press-release-webcast</x:v>
      </x:c>
      <x:c r="P6" s="15" t="str">
        <x:v>2017-04-27 | TechCrunch | Microsoft meets expectations with $23.6B in revenue, Azure revenue up 93% | https://techcrunch.com/2017/04/27/microsoft-meets-expectations-with-23-6b-in-revenue-azure-revenue-up-93/</x:v>
      </x:c>
      <x:c r="Q6" s="15" t="str">
        <x:v>2017-01-26 | Microsoft | Microsoft Cloud Strength Highlights Second Quarter Results | https://www.microsoft.com/en-us/Investor/earnings/FY-2017-Q2/press-release-webcast
2017-04-27 | Microsoft | Microsoft Cloud Strength Highlights Third Quarter Results | https://www.microsoft.com/en-us/Investor/earnings/FY-2017-Q3/press-release-webcast
2017-04-27 | TechCrunch | Microsoft meets expectations with $23.6B in revenue, Azure revenue up 93% | https://techcrunch.com/2017/04/27/microsoft-meets-expectations-with-23-6b-in-revenue-azure-revenue-up-93/</x:v>
      </x:c>
      <x:c r="R6" s="15" t="n">
        <x:v>3</x:v>
      </x:c>
      <x:c r="S6" s="15" t="str">
        <x:v>PASS</x:v>
      </x:c>
    </x:row>
    <x:row r="7" ht="340" customHeight="1">
      <x:c r="A7" s="15" t="n">
        <x:v>5</x:v>
      </x:c>
      <x:c r="B7" s="15" t="str">
        <x:v>MSFT</x:v>
      </x:c>
      <x:c r="C7" s="15" t="str">
        <x:v>Microsoft</x:v>
      </x:c>
      <x:c r="D7" s="15" t="str">
        <x:v>2017q3</x:v>
      </x:c>
      <x:c r="E7" s="15" t="str">
        <x:v>2017-07-20</x:v>
      </x:c>
      <x:c r="F7" s="18" t="n">
        <x:v>0.48</x:v>
      </x:c>
      <x:c r="G7" s="18" t="n">
        <x:v>-0.49</x:v>
      </x:c>
      <x:c r="H7" s="18" t="n">
        <x:v>-0.01</x:v>
      </x:c>
      <x:c r="I7" s="18" t="n">
        <x:v>0.16</x:v>
      </x:c>
      <x:c r="J7" s="18" t="n">
        <x:v>0.37</x:v>
      </x:c>
      <x:c r="K7" s="15" t="str">
        <x:v>ret_1daypost_pct</x:v>
      </x:c>
      <x:c r="L7" s="15" t="str">
        <x:v>DOWN</x:v>
      </x:c>
      <x:c r="M7" s="15" t="str">
        <x:v>## Prior Context
By fiscal year-end, Microsoft’s commercial cloud run rate was approaching the $20 billion target originally set for fiscal 2018. Expectations were therefore high and the stock was near an all-time high.
### Verified prior source
2017-04-27 | Microsoft | Microsoft Cloud Strength Highlights Third Quarter Results | https://www.microsoft.com/en-us/Investor/earnings/FY-2017-Q3/press-release-webcast
## Current Earnings Release
Fiscal Q4 non-GAAP revenue was **$24.7 billion** and non-GAAP EPS **$0.98**, both well above consensus. Azure revenue grew **97%**, Office 365 commercial revenue **43%**, and commercial cloud ARR reached **$18.9 billion**. LinkedIn contributed **$1.1 billion** of revenue.
The current-quarter numbers were strong, but LinkedIn still generated a sizable operating loss and Surface revenue remained slightly down. Contemporaneous coverage showed that the initial post-release rally faded. The supplied next-session return is only slightly negative, so this is better characterized as a muted/flat reaction to a strong report than a meaningful earnings selloff.
### Verified release source
2017-07-20 | Microsoft | Microsoft Cloud Strength Highlights Fourth Quarter Results | https://www.microsoft.com/en-us/Investor/earnings/FY-2017-Q4/press-release-webcast
## Possible Drivers
**First-order driver.** The full-session reaction was essentially flat despite a strong beat because expectations were already high.
**Second-order driver.** Azure and Office 365 remained excellent, supporting the long-term thesis.
**Third-order driver.** LinkedIn costs and weak Surface performance limited incremental margin enthusiasm.
### Verified reaction source
2017-07-21 | Phys.org / AFP | Microsoft profit rises on shift to cloud computing | https://phys.org/news/2017-07-microsoft-profit-shift-cloud.html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7" s="15" t="str">
        <x:v>2017-04-27 | Microsoft | Microsoft Cloud Strength Highlights Third Quarter Results | https://www.microsoft.com/en-us/Investor/earnings/FY-2017-Q3/press-release-webcast</x:v>
      </x:c>
      <x:c r="O7" s="15" t="str">
        <x:v>2017-07-20 | Microsoft | Microsoft Cloud Strength Highlights Fourth Quarter Results | https://www.microsoft.com/en-us/Investor/earnings/FY-2017-Q4/press-release-webcast</x:v>
      </x:c>
      <x:c r="P7" s="15" t="str">
        <x:v>2017-07-21 | Phys.org / AFP | Microsoft profit rises on shift to cloud computing | https://phys.org/news/2017-07-microsoft-profit-shift-cloud.html</x:v>
      </x:c>
      <x:c r="Q7" s="15" t="str">
        <x:v>2017-04-27 | Microsoft | Microsoft Cloud Strength Highlights Third Quarter Results | https://www.microsoft.com/en-us/Investor/earnings/FY-2017-Q3/press-release-webcast
2017-07-20 | Microsoft | Microsoft Cloud Strength Highlights Fourth Quarter Results | https://www.microsoft.com/en-us/Investor/earnings/FY-2017-Q4/press-release-webcast
2017-07-21 | Phys.org / AFP | Microsoft profit rises on shift to cloud computing | https://phys.org/news/2017-07-microsoft-profit-shift-cloud.html</x:v>
      </x:c>
      <x:c r="R7" s="15" t="n">
        <x:v>3</x:v>
      </x:c>
      <x:c r="S7" s="15" t="str">
        <x:v>PASS</x:v>
      </x:c>
    </x:row>
    <x:row r="8" ht="340" customHeight="1">
      <x:c r="A8" s="15" t="n">
        <x:v>6</x:v>
      </x:c>
      <x:c r="B8" s="15" t="str">
        <x:v>MSFT</x:v>
      </x:c>
      <x:c r="C8" s="15" t="str">
        <x:v>Microsoft</x:v>
      </x:c>
      <x:c r="D8" s="15" t="str">
        <x:v>2017q4</x:v>
      </x:c>
      <x:c r="E8" s="15" t="str">
        <x:v>2017-10-26</x:v>
      </x:c>
      <x:c r="F8" s="18" t="n">
        <x:v>0.02</x:v>
      </x:c>
      <x:c r="G8" s="18" t="n">
        <x:v>5.65</x:v>
      </x:c>
      <x:c r="H8" s="18" t="n">
        <x:v>5.67</x:v>
      </x:c>
      <x:c r="I8" s="18" t="n">
        <x:v>5.93</x:v>
      </x:c>
      <x:c r="J8" s="18" t="n">
        <x:v>5.28</x:v>
      </x:c>
      <x:c r="K8" s="15" t="str">
        <x:v>ret_1daypost_pct</x:v>
      </x:c>
      <x:c r="L8" s="15" t="str">
        <x:v>UP</x:v>
      </x:c>
      <x:c r="M8" s="15" t="str">
        <x:v>## Prior Context
Microsoft entered fiscal 2018 with cloud momentum already well understood. The major benchmark was its promise to reach a $20 billion commercial-cloud run rate by mid-2018.
### Verified prior source
2017-07-20 | Microsoft | Microsoft Cloud Strength Highlights Fourth Quarter Results | https://www.microsoft.com/en-us/Investor/earnings/FY-2017-Q4/press-release-webcast
## Current Earnings Release
Fiscal Q1 revenue was **$24.5 billion**, up 12%, and EPS was **$0.84**, both well above consensus. Commercial cloud ARR reached **$20.4 billion**, surpassing Microsoft’s target ahead of schedule. Azure revenue increased **90%**, Office 365 commercial revenue grew **42%**, and LinkedIn contributed **$1.1 billion**.
The breadth of growth also improved: Windows commercial, Dynamics 365 and Office all contributed. This was no longer a story of one fast-growing cloud product offsetting legacy declines; multiple subscription and enterprise businesses were compounding together.
### Verified release source
2017-10-26 | Microsoft | Microsoft Cloud Continues to Grow, Powers First Quarter Results | https://www.microsoft.com/en-us/investor/earnings/fy-2018-q1/press-release-webcast
## Possible Drivers
**First-order driver.** Shares surged because Microsoft beat revenue/EPS expectations and exceeded its $20 billion cloud target early.
**Second-order driver.** Azure’s 90% growth confirmed sustained enterprise demand at much larger scale.
**Third-order driver.** Office 365, Dynamics and LinkedIn made the growth mix increasingly diversified.
### Verified reaction source
2017-10-26 | TechCrunch | Microsoft easily beats the Street as its cloud run rate passes $20B a year early | https://techcrunch.com/2017/10/26/microsoft-easily-beats-the-street-as-its-cloud-run-rate-passes-20b-a-year-early/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8" s="15" t="str">
        <x:v>2017-07-20 | Microsoft | Microsoft Cloud Strength Highlights Fourth Quarter Results | https://www.microsoft.com/en-us/Investor/earnings/FY-2017-Q4/press-release-webcast</x:v>
      </x:c>
      <x:c r="O8" s="15" t="str">
        <x:v>2017-10-26 | Microsoft | Microsoft Cloud Continues to Grow, Powers First Quarter Results | https://www.microsoft.com/en-us/investor/earnings/fy-2018-q1/press-release-webcast</x:v>
      </x:c>
      <x:c r="P8" s="15" t="str">
        <x:v>2017-10-26 | TechCrunch | Microsoft easily beats the Street as its cloud run rate passes $20B a year early | https://techcrunch.com/2017/10/26/microsoft-easily-beats-the-street-as-its-cloud-run-rate-passes-20b-a-year-early/</x:v>
      </x:c>
      <x:c r="Q8" s="15" t="str">
        <x:v>2017-07-20 | Microsoft | Microsoft Cloud Strength Highlights Fourth Quarter Results | https://www.microsoft.com/en-us/Investor/earnings/FY-2017-Q4/press-release-webcast
2017-10-26 | Microsoft | Microsoft Cloud Continues to Grow, Powers First Quarter Results | https://www.microsoft.com/en-us/investor/earnings/fy-2018-q1/press-release-webcast
2017-10-26 | TechCrunch | Microsoft easily beats the Street as its cloud run rate passes $20B a year early | https://techcrunch.com/2017/10/26/microsoft-easily-beats-the-street-as-its-cloud-run-rate-passes-20b-a-year-early/</x:v>
      </x:c>
      <x:c r="R8" s="15" t="n">
        <x:v>3</x:v>
      </x:c>
      <x:c r="S8" s="15" t="str">
        <x:v>PASS</x:v>
      </x:c>
    </x:row>
    <x:row r="9" ht="340" customHeight="1">
      <x:c r="A9" s="15" t="n">
        <x:v>7</x:v>
      </x:c>
      <x:c r="B9" s="15" t="str">
        <x:v>MSFT</x:v>
      </x:c>
      <x:c r="C9" s="15" t="str">
        <x:v>Microsoft</x:v>
      </x:c>
      <x:c r="D9" s="15" t="str">
        <x:v>2018q1</x:v>
      </x:c>
      <x:c r="E9" s="15" t="str">
        <x:v>2018-01-31</x:v>
      </x:c>
      <x:c r="F9" s="18" t="n">
        <x:v>2.43</x:v>
      </x:c>
      <x:c r="G9" s="18" t="n">
        <x:v>-0.76</x:v>
      </x:c>
      <x:c r="H9" s="18" t="n">
        <x:v>1.65</x:v>
      </x:c>
      <x:c r="I9" s="18" t="n">
        <x:v>1.41</x:v>
      </x:c>
      <x:c r="J9" s="18" t="n">
        <x:v>0.54</x:v>
      </x:c>
      <x:c r="K9" s="15" t="str">
        <x:v>ret_1daypost_pct</x:v>
      </x:c>
      <x:c r="L9" s="15" t="str">
        <x:v>DOWN</x:v>
      </x:c>
      <x:c r="M9" s="15" t="str">
        <x:v>## Prior Context
After the October breakout, Microsoft’s valuation incorporated a lot of confidence in cloud execution. Tax reform also introduced major accounting noise into the quarter.
### Verified prior source
2017-10-26 | Microsoft | Microsoft Cloud Continues to Grow, Powers First Quarter Results | https://www.microsoft.com/en-us/investor/earnings/fy-2018-q1/press-release-webcast
## Current Earnings Release
Fiscal Q2 revenue rose **12% to $28.9 billion** and adjusted EPS reached **$0.96**, both above consensus. Azure revenue increased **98%**, commercial cloud revenue grew **56% to $5.3 billion**, and LinkedIn contributed **$1.3 billion** with continued engagement growth.
GAAP results showed a large loss because Microsoft recorded a **$13.8 billion tax-reform charge**; this was not an operating deterioration. The operating quarter was strong, but the stock finished the next session modestly lower. With expectations already elevated and the tax/accounting presentation complex, the report produced little incremental rerating despite excellent cloud metrics.
### Verified release source
2018-01-31 | Microsoft | Microsoft Cloud Growth Fuels Second Quarter Results | https://www.microsoft.com/en-us/investor/earnings/fy-2018-q2/press-release-webcast
## Possible Drivers
**First-order driver.** The reaction was slightly negative despite a beat because the strong cloud numbers were largely expected.
**Second-order driver.** Azure growth of 98% showed no meaningful slowdown in cloud demand.
**Third-order driver.** The $13.8 billion tax charge distorted GAAP earnings but did not change underlying operations.
### Verified reaction source
2018-01-31 | TechCrunch | Microsoft’s Azure revenue nearly doubled year-over-year in its second quarter | https://techcrunch.com/2018/01/31/microsofts-azure-revenue-nearly-doubled-year-over-year-in-its-second-quarter/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9" s="15" t="str">
        <x:v>2017-10-26 | Microsoft | Microsoft Cloud Continues to Grow, Powers First Quarter Results | https://www.microsoft.com/en-us/investor/earnings/fy-2018-q1/press-release-webcast</x:v>
      </x:c>
      <x:c r="O9" s="15" t="str">
        <x:v>2018-01-31 | Microsoft | Microsoft Cloud Growth Fuels Second Quarter Results | https://www.microsoft.com/en-us/investor/earnings/fy-2018-q2/press-release-webcast</x:v>
      </x:c>
      <x:c r="P9" s="15" t="str">
        <x:v>2018-01-31 | TechCrunch | Microsoft’s Azure revenue nearly doubled year-over-year in its second quarter | https://techcrunch.com/2018/01/31/microsofts-azure-revenue-nearly-doubled-year-over-year-in-its-second-quarter/</x:v>
      </x:c>
      <x:c r="Q9" s="15" t="str">
        <x:v>2017-10-26 | Microsoft | Microsoft Cloud Continues to Grow, Powers First Quarter Results | https://www.microsoft.com/en-us/investor/earnings/fy-2018-q1/press-release-webcast
2018-01-31 | Microsoft | Microsoft Cloud Growth Fuels Second Quarter Results | https://www.microsoft.com/en-us/investor/earnings/fy-2018-q2/press-release-webcast
2018-01-31 | TechCrunch | Microsoft’s Azure revenue nearly doubled year-over-year in its second quarter | https://techcrunch.com/2018/01/31/microsofts-azure-revenue-nearly-doubled-year-over-year-in-its-second-quarter/</x:v>
      </x:c>
      <x:c r="R9" s="15" t="n">
        <x:v>3</x:v>
      </x:c>
      <x:c r="S9" s="15" t="str">
        <x:v>PASS</x:v>
      </x:c>
    </x:row>
    <x:row r="10" ht="340" customHeight="1">
      <x:c r="A10" s="15" t="n">
        <x:v>8</x:v>
      </x:c>
      <x:c r="B10" s="15" t="str">
        <x:v>MSFT</x:v>
      </x:c>
      <x:c r="C10" s="15" t="str">
        <x:v>Microsoft</x:v>
      </x:c>
      <x:c r="D10" s="15" t="str">
        <x:v>2018q2</x:v>
      </x:c>
      <x:c r="E10" s="15" t="str">
        <x:v>2018-04-26</x:v>
      </x:c>
      <x:c r="F10" s="18" t="n">
        <x:v>1.21</x:v>
      </x:c>
      <x:c r="G10" s="18" t="n">
        <x:v>1.58</x:v>
      </x:c>
      <x:c r="H10" s="18" t="n">
        <x:v>2.81</x:v>
      </x:c>
      <x:c r="I10" s="18" t="n">
        <x:v>1.84</x:v>
      </x:c>
      <x:c r="J10" s="18" t="n">
        <x:v>1.5</x:v>
      </x:c>
      <x:c r="K10" s="15" t="str">
        <x:v>ret_1daypost_pct</x:v>
      </x:c>
      <x:c r="L10" s="15" t="str">
        <x:v>UP</x:v>
      </x:c>
      <x:c r="M10" s="15" t="str">
        <x:v>## Prior Context
By Q3, the question had shifted from whether Microsoft’s cloud strategy worked to how long near-100% Azure growth and margin improvement could persist at scale.
### Verified prior source
2018-01-31 | Microsoft | Microsoft Cloud Growth Fuels Second Quarter Results | https://www.microsoft.com/en-us/investor/earnings/fy-2018-q2/press-release-webcast
## Current Earnings Release
Fiscal Q3 revenue rose **16% to $26.8 billion** and EPS increased **36% to $0.95**, versus consensus around $0.85. Commercial cloud revenue grew **58%**, Azure revenue **93%**, Office 365 commercial revenue **42%**, and LinkedIn revenue **37%**.
Operating income increased **23%**, showing that Microsoft was converting cloud growth into profit rather than sacrificing margins indefinitely. Surface also rebounded strongly. The quarter was broad-based across cloud, productivity, LinkedIn and devices.
### Verified release source
2018-04-26 | Microsoft | Microsoft Cloud Strength Highlights Third Quarter Results | https://www.microsoft.com/en-us/Investor/earnings/FY-2018-Q3/press-release-webcast
## Possible Drivers
**First-order driver.** Shares rose because revenue and EPS beat expectations while cloud growth remained exceptional.
**Second-order driver.** Operating income growth confirmed real margin leverage from the cloud transition.
**Third-order driver.** LinkedIn and Surface improvements broadened the earnings contribution beyond Azure and Office.
### Verified reaction source
2018-04-26 | TechCrunch | By keeping its head in the cloud, Microsoft makes it rain on shareholders | https://techcrunch.com/2018/04/26/by-keeping-its-head-in-the-cloud-microsoft-makes-it-rain-on-shareholders/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10" s="15" t="str">
        <x:v>2018-01-31 | Microsoft | Microsoft Cloud Growth Fuels Second Quarter Results | https://www.microsoft.com/en-us/investor/earnings/fy-2018-q2/press-release-webcast</x:v>
      </x:c>
      <x:c r="O10" s="15" t="str">
        <x:v>2018-04-26 | Microsoft | Microsoft Cloud Strength Highlights Third Quarter Results | https://www.microsoft.com/en-us/Investor/earnings/FY-2018-Q3/press-release-webcast</x:v>
      </x:c>
      <x:c r="P10" s="15" t="str">
        <x:v>2018-04-26 | TechCrunch | By keeping its head in the cloud, Microsoft makes it rain on shareholders | https://techcrunch.com/2018/04/26/by-keeping-its-head-in-the-cloud-microsoft-makes-it-rain-on-shareholders/</x:v>
      </x:c>
      <x:c r="Q10" s="15" t="str">
        <x:v>2018-01-31 | Microsoft | Microsoft Cloud Growth Fuels Second Quarter Results | https://www.microsoft.com/en-us/investor/earnings/fy-2018-q2/press-release-webcast
2018-04-26 | Microsoft | Microsoft Cloud Strength Highlights Third Quarter Results | https://www.microsoft.com/en-us/Investor/earnings/FY-2018-Q3/press-release-webcast
2018-04-26 | TechCrunch | By keeping its head in the cloud, Microsoft makes it rain on shareholders | https://techcrunch.com/2018/04/26/by-keeping-its-head-in-the-cloud-microsoft-makes-it-rain-on-shareholders/</x:v>
      </x:c>
      <x:c r="R10" s="15" t="n">
        <x:v>3</x:v>
      </x:c>
      <x:c r="S10" s="15" t="str">
        <x:v>PASS</x:v>
      </x:c>
    </x:row>
    <x:row r="11" ht="340" customHeight="1">
      <x:c r="A11" s="15" t="n">
        <x:v>9</x:v>
      </x:c>
      <x:c r="B11" s="15" t="str">
        <x:v>MSFT</x:v>
      </x:c>
      <x:c r="C11" s="15" t="str">
        <x:v>Microsoft</x:v>
      </x:c>
      <x:c r="D11" s="15" t="str">
        <x:v>2018q3</x:v>
      </x:c>
      <x:c r="E11" s="15" t="str">
        <x:v>2018-07-19</x:v>
      </x:c>
      <x:c r="F11" s="18" t="n">
        <x:v>-0.44</x:v>
      </x:c>
      <x:c r="G11" s="18" t="n">
        <x:v>1.89</x:v>
      </x:c>
      <x:c r="H11" s="18" t="n">
        <x:v>1.45</x:v>
      </x:c>
      <x:c r="I11" s="18" t="n">
        <x:v>0.4</x:v>
      </x:c>
      <x:c r="J11" s="18" t="n">
        <x:v>1.41</x:v>
      </x:c>
      <x:c r="K11" s="15" t="str">
        <x:v>ret_1daypost_pct</x:v>
      </x:c>
      <x:c r="L11" s="15" t="str">
        <x:v>UP</x:v>
      </x:c>
      <x:c r="M11" s="15" t="str">
        <x:v>## Prior Context
Microsoft entered fiscal Q4 after a year in which the cloud transition had become the dominant explanation for the stock’s rerating. The hurdle was now high: investors expected both double-digit revenue growth and strong margin conversion.
### Verified prior source
2018-04-26 | Microsoft | Microsoft Cloud Strength Highlights Third Quarter Results | https://www.microsoft.com/en-us/Investor/earnings/FY-2018-Q3/press-release-webcast
## Current Earnings Release
Fiscal Q4 revenue reached **$30.1 billion**, up 17%, and non-GAAP EPS was **$1.13**. Both exceeded expectations. Intelligent Cloud revenue rose **23%**, Azure revenue **89%**, Office 365 commercial revenue remained strong, and LinkedIn revenue increased **37%**.
The quarter was broad-based: Windows commercial, gaming, Surface and search all grew as well. Microsoft finished fiscal 2018 above **$110 billion of annual revenue**, with operating income up 21% for the year. The release showed that Microsoft could sustain double-digit company growth even as Azure’s percentage growth naturally moderated from triple digits.
### Verified release source
2018-07-19 | Microsoft | Microsoft Cloud Drives Record Fourth Quarter Results | https://www.microsoft.com/en-us/investor/earnings/fy-2018-q4/press-release-webcast
## Possible Drivers
**First-order driver.** Shares rose because Microsoft beat both revenue and EPS expectations with strength across every major segment.
**Second-order driver.** Azure remained near 90% growth despite a much larger revenue base.
**Third-order driver.** LinkedIn, gaming, Surface and Windows made the growth mix unusually broad.
### Verified reaction source
2018-07-20 | The Motley Fool | Microsoft Corporation's Impressive Growth in 5 Metrics | https://www.fool.com/investing/2018/07/20/microsoft-corporations-impressive-growth-in-5-metr.aspx
## Verification Status
Included sources were checked for Microsoft/MSFT identity, the correct earnings event, publication date, timing window and source origin. Microsoft Investor Relations is the factual anchor. No WSJ, Reuters, Dow Jones or MarketWatch-syndicated article is included.
</x:v>
      </x:c>
      <x:c r="N11" s="15" t="str">
        <x:v>2018-04-26 | Microsoft | Microsoft Cloud Strength Highlights Third Quarter Results | https://www.microsoft.com/en-us/Investor/earnings/FY-2018-Q3/press-release-webcast</x:v>
      </x:c>
      <x:c r="O11" s="15" t="str">
        <x:v>2018-07-19 | Microsoft | Microsoft Cloud Drives Record Fourth Quarter Results | https://www.microsoft.com/en-us/investor/earnings/fy-2018-q4/press-release-webcast</x:v>
      </x:c>
      <x:c r="P11" s="15" t="str">
        <x:v>2018-07-20 | The Motley Fool | Microsoft Corporation's Impressive Growth in 5 Metrics | https://www.fool.com/investing/2018/07/20/microsoft-corporations-impressive-growth-in-5-metr.aspx</x:v>
      </x:c>
      <x:c r="Q11" s="15" t="str">
        <x:v>2018-04-26 | Microsoft | Microsoft Cloud Strength Highlights Third Quarter Results | https://www.microsoft.com/en-us/Investor/earnings/FY-2018-Q3/press-release-webcast
2018-07-19 | Microsoft | Microsoft Cloud Drives Record Fourth Quarter Results | https://www.microsoft.com/en-us/investor/earnings/fy-2018-q4/press-release-webcast
2018-07-20 | The Motley Fool | Microsoft Corporation's Impressive Growth in 5 Metrics | https://www.fool.com/investing/2018/07/20/microsoft-corporations-impressive-growth-in-5-metr.aspx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2016-04-21</x:v>
      </x:c>
      <x:c r="B2" s="12" t="str">
        <x:v>MSFT</x:v>
      </x:c>
      <x:c r="C2" s="12" t="str">
        <x:v>prior</x:v>
      </x:c>
      <x:c r="D2" s="12" t="str">
        <x:v>2016-01-28</x:v>
      </x:c>
      <x:c r="E2" s="12" t="n">
        <x:v>-84</x:v>
      </x:c>
      <x:c r="F2" s="12" t="str">
        <x:v>Microsoft</x:v>
      </x:c>
      <x:c r="G2" s="12" t="str">
        <x:v>Microsoft Cloud Strength Highlights Second Quarter Results</x:v>
      </x:c>
      <x:c r="H2" s="12" t="str">
        <x:v>https://www.microsoft.com/en-us/Investor/earnings/FY-2016-Q2/press-release-webcast</x:v>
      </x:c>
      <x:c r="I2" s="12" t="str">
        <x:v>OPENED/VERIFIED</x:v>
      </x:c>
      <x:c r="J2" s="12" t="str">
        <x:v>PASS</x:v>
      </x:c>
      <x:c r="K2" s="12" t="str">
        <x:v>PASS</x:v>
      </x:c>
      <x:c r="L2" s="12" t="str">
        <x:v>PASS</x:v>
      </x:c>
      <x:c r="M2" s="12" t="str">
        <x:v>NO</x:v>
      </x:c>
      <x:c r="N2" s="12" t="str">
        <x:v>PASS</x:v>
      </x:c>
      <x:c r="O2" s="12" t="str">
        <x:v>FACTUAL</x:v>
      </x:c>
      <x:c r="P2" s="12" t="str">
        <x:v>PASS</x:v>
      </x:c>
      <x:c r="Q2" s="12" t="str">
        <x:v>Checked against Microsoft/MSFT, exact earnings event/date, timing window and source-origin restrictions.</x:v>
      </x:c>
    </x:row>
    <x:row r="3">
      <x:c r="A3" s="12" t="str">
        <x:v>2016-04-21</x:v>
      </x:c>
      <x:c r="B3" s="12" t="str">
        <x:v>MSFT</x:v>
      </x:c>
      <x:c r="C3" s="12" t="str">
        <x:v>release</x:v>
      </x:c>
      <x:c r="D3" s="12" t="str">
        <x:v>2016-04-21</x:v>
      </x:c>
      <x:c r="E3" s="12" t="n">
        <x:v>0</x:v>
      </x:c>
      <x:c r="F3" s="12" t="str">
        <x:v>Microsoft</x:v>
      </x:c>
      <x:c r="G3" s="12" t="str">
        <x:v>Microsoft Cloud Strength Highlights Third Quarter Results</x:v>
      </x:c>
      <x:c r="H3" s="12" t="str">
        <x:v>https://www.microsoft.com/en-us/Investor/earnings/FY-2016-Q3/press-release-webcast</x:v>
      </x:c>
      <x:c r="I3" s="12" t="str">
        <x:v>OPENED/VERIFIED</x:v>
      </x:c>
      <x:c r="J3" s="12" t="str">
        <x:v>PASS</x:v>
      </x:c>
      <x:c r="K3" s="12" t="str">
        <x:v>PASS</x:v>
      </x:c>
      <x:c r="L3" s="12" t="str">
        <x:v>PASS</x:v>
      </x:c>
      <x:c r="M3" s="12" t="str">
        <x:v>NO</x:v>
      </x:c>
      <x:c r="N3" s="12" t="str">
        <x:v>PASS</x:v>
      </x:c>
      <x:c r="O3" s="12" t="str">
        <x:v>FACTUAL</x:v>
      </x:c>
      <x:c r="P3" s="12" t="str">
        <x:v>PASS</x:v>
      </x:c>
      <x:c r="Q3" s="12" t="str">
        <x:v>Checked against Microsoft/MSFT, exact earnings event/date, timing window and source-origin restrictions.</x:v>
      </x:c>
    </x:row>
    <x:row r="4">
      <x:c r="A4" s="12" t="str">
        <x:v>2016-04-21</x:v>
      </x:c>
      <x:c r="B4" s="12" t="str">
        <x:v>MSFT</x:v>
      </x:c>
      <x:c r="C4" s="12" t="str">
        <x:v>reaction</x:v>
      </x:c>
      <x:c r="D4" s="12" t="str">
        <x:v>2016-04-22</x:v>
      </x:c>
      <x:c r="E4" s="12" t="n">
        <x:v>1</x:v>
      </x:c>
      <x:c r="F4" s="12" t="str">
        <x:v>The Motley Fool</x:v>
      </x:c>
      <x:c r="G4" s="12" t="str">
        <x:v>Microsoft Corporation Stock Drops As Cloud Demand Breaks $10 Billion</x:v>
      </x:c>
      <x:c r="H4" s="12" t="str">
        <x:v>https://www.fool.com/investing/general/2016/04/22/tickercoveragemicrosoft-plunges-as-cloud-demand-br.aspx</x:v>
      </x:c>
      <x:c r="I4" s="12" t="str">
        <x:v>OPENED/VERIFIED</x:v>
      </x:c>
      <x:c r="J4" s="12" t="str">
        <x:v>PASS</x:v>
      </x:c>
      <x:c r="K4" s="12" t="str">
        <x:v>PASS</x:v>
      </x:c>
      <x:c r="L4" s="12" t="str">
        <x:v>PASS</x:v>
      </x:c>
      <x:c r="M4" s="12" t="str">
        <x:v>NO</x:v>
      </x:c>
      <x:c r="N4" s="12" t="str">
        <x:v>PASS</x:v>
      </x:c>
      <x:c r="O4" s="12" t="str">
        <x:v>CONTEMPORANEOUS_ATTRIBUTION</x:v>
      </x:c>
      <x:c r="P4" s="12" t="str">
        <x:v>PASS</x:v>
      </x:c>
      <x:c r="Q4" s="12" t="str">
        <x:v>Checked against Microsoft/MSFT, exact earnings event/date, timing window and source-origin restrictions.</x:v>
      </x:c>
    </x:row>
    <x:row r="5">
      <x:c r="A5" s="12" t="str">
        <x:v>2016-07-19</x:v>
      </x:c>
      <x:c r="B5" s="12" t="str">
        <x:v>MSFT</x:v>
      </x:c>
      <x:c r="C5" s="12" t="str">
        <x:v>prior</x:v>
      </x:c>
      <x:c r="D5" s="12" t="str">
        <x:v>2016-04-21</x:v>
      </x:c>
      <x:c r="E5" s="12" t="n">
        <x:v>-89</x:v>
      </x:c>
      <x:c r="F5" s="12" t="str">
        <x:v>Microsoft</x:v>
      </x:c>
      <x:c r="G5" s="12" t="str">
        <x:v>Microsoft Cloud Strength Highlights Third Quarter Results</x:v>
      </x:c>
      <x:c r="H5" s="12" t="str">
        <x:v>https://www.microsoft.com/en-us/Investor/earnings/FY-2016-Q3/press-release-webcast</x:v>
      </x:c>
      <x:c r="I5" s="12" t="str">
        <x:v>OPENED/VERIFIED</x:v>
      </x:c>
      <x:c r="J5" s="12" t="str">
        <x:v>PASS</x:v>
      </x:c>
      <x:c r="K5" s="12" t="str">
        <x:v>PASS</x:v>
      </x:c>
      <x:c r="L5" s="12" t="str">
        <x:v>PASS</x:v>
      </x:c>
      <x:c r="M5" s="12" t="str">
        <x:v>NO</x:v>
      </x:c>
      <x:c r="N5" s="12" t="str">
        <x:v>PASS</x:v>
      </x:c>
      <x:c r="O5" s="12" t="str">
        <x:v>FACTUAL</x:v>
      </x:c>
      <x:c r="P5" s="12" t="str">
        <x:v>PASS</x:v>
      </x:c>
      <x:c r="Q5" s="12" t="str">
        <x:v>Checked against Microsoft/MSFT, exact earnings event/date, timing window and source-origin restrictions.</x:v>
      </x:c>
    </x:row>
    <x:row r="6">
      <x:c r="A6" s="12" t="str">
        <x:v>2016-07-19</x:v>
      </x:c>
      <x:c r="B6" s="12" t="str">
        <x:v>MSFT</x:v>
      </x:c>
      <x:c r="C6" s="12" t="str">
        <x:v>release</x:v>
      </x:c>
      <x:c r="D6" s="12" t="str">
        <x:v>2016-07-19</x:v>
      </x:c>
      <x:c r="E6" s="12" t="n">
        <x:v>0</x:v>
      </x:c>
      <x:c r="F6" s="12" t="str">
        <x:v>Microsoft</x:v>
      </x:c>
      <x:c r="G6" s="12" t="str">
        <x:v>Microsoft Cloud Strength Highlights Fourth Quarter Results</x:v>
      </x:c>
      <x:c r="H6" s="12" t="str">
        <x:v>https://www.microsoft.com/en-us/Investor/earnings/FY-2016-Q4/press-release-webcast</x:v>
      </x:c>
      <x:c r="I6" s="12" t="str">
        <x:v>OPENED/VERIFIED</x:v>
      </x:c>
      <x:c r="J6" s="12" t="str">
        <x:v>PASS</x:v>
      </x:c>
      <x:c r="K6" s="12" t="str">
        <x:v>PASS</x:v>
      </x:c>
      <x:c r="L6" s="12" t="str">
        <x:v>PASS</x:v>
      </x:c>
      <x:c r="M6" s="12" t="str">
        <x:v>NO</x:v>
      </x:c>
      <x:c r="N6" s="12" t="str">
        <x:v>PASS</x:v>
      </x:c>
      <x:c r="O6" s="12" t="str">
        <x:v>FACTUAL</x:v>
      </x:c>
      <x:c r="P6" s="12" t="str">
        <x:v>PASS</x:v>
      </x:c>
      <x:c r="Q6" s="12" t="str">
        <x:v>Checked against Microsoft/MSFT, exact earnings event/date, timing window and source-origin restrictions.</x:v>
      </x:c>
    </x:row>
    <x:row r="7">
      <x:c r="A7" s="12" t="str">
        <x:v>2016-07-19</x:v>
      </x:c>
      <x:c r="B7" s="12" t="str">
        <x:v>MSFT</x:v>
      </x:c>
      <x:c r="C7" s="12" t="str">
        <x:v>reaction</x:v>
      </x:c>
      <x:c r="D7" s="12" t="str">
        <x:v>2016-07-19</x:v>
      </x:c>
      <x:c r="E7" s="12" t="n">
        <x:v>0</x:v>
      </x:c>
      <x:c r="F7" s="12" t="str">
        <x:v>TechCrunch</x:v>
      </x:c>
      <x:c r="G7" s="12" t="str">
        <x:v>Microsoft’s Q4 earnings beat Street with $22.6B in revenue, $0.69 EPS</x:v>
      </x:c>
      <x:c r="H7" s="12" t="str">
        <x:v>https://techcrunch.com/2016/07/19/microsofts-q4-earnings-beat-with-22-6b-in-revenue-0-69-eps/</x:v>
      </x:c>
      <x:c r="I7" s="12" t="str">
        <x:v>OPENED/VERIFIED</x:v>
      </x:c>
      <x:c r="J7" s="12" t="str">
        <x:v>PASS</x:v>
      </x:c>
      <x:c r="K7" s="12" t="str">
        <x:v>PASS</x:v>
      </x:c>
      <x:c r="L7" s="12" t="str">
        <x:v>PASS</x:v>
      </x:c>
      <x:c r="M7" s="12" t="str">
        <x:v>NO</x:v>
      </x:c>
      <x:c r="N7" s="12" t="str">
        <x:v>PASS</x:v>
      </x:c>
      <x:c r="O7" s="12" t="str">
        <x:v>CONTEMPORANEOUS_ATTRIBUTION</x:v>
      </x:c>
      <x:c r="P7" s="12" t="str">
        <x:v>PASS</x:v>
      </x:c>
      <x:c r="Q7" s="12" t="str">
        <x:v>Checked against Microsoft/MSFT, exact earnings event/date, timing window and source-origin restrictions.</x:v>
      </x:c>
    </x:row>
    <x:row r="8">
      <x:c r="A8" s="12" t="str">
        <x:v>2016-10-20</x:v>
      </x:c>
      <x:c r="B8" s="12" t="str">
        <x:v>MSFT</x:v>
      </x:c>
      <x:c r="C8" s="12" t="str">
        <x:v>prior</x:v>
      </x:c>
      <x:c r="D8" s="12" t="str">
        <x:v>2016-07-19</x:v>
      </x:c>
      <x:c r="E8" s="12" t="n">
        <x:v>-93</x:v>
      </x:c>
      <x:c r="F8" s="12" t="str">
        <x:v>Microsoft</x:v>
      </x:c>
      <x:c r="G8" s="12" t="str">
        <x:v>Microsoft Cloud Strength Highlights Fourth Quarter Results</x:v>
      </x:c>
      <x:c r="H8" s="12" t="str">
        <x:v>https://www.microsoft.com/en-us/Investor/earnings/FY-2016-Q4/press-release-webcast</x:v>
      </x:c>
      <x:c r="I8" s="12" t="str">
        <x:v>OPENED/VERIFIED</x:v>
      </x:c>
      <x:c r="J8" s="12" t="str">
        <x:v>PASS</x:v>
      </x:c>
      <x:c r="K8" s="12" t="str">
        <x:v>PASS</x:v>
      </x:c>
      <x:c r="L8" s="12" t="str">
        <x:v>PASS</x:v>
      </x:c>
      <x:c r="M8" s="12" t="str">
        <x:v>NO</x:v>
      </x:c>
      <x:c r="N8" s="12" t="str">
        <x:v>PASS</x:v>
      </x:c>
      <x:c r="O8" s="12" t="str">
        <x:v>FACTUAL</x:v>
      </x:c>
      <x:c r="P8" s="12" t="str">
        <x:v>PASS</x:v>
      </x:c>
      <x:c r="Q8" s="12" t="str">
        <x:v>Checked against Microsoft/MSFT, exact earnings event/date, timing window and source-origin restrictions.</x:v>
      </x:c>
    </x:row>
    <x:row r="9">
      <x:c r="A9" s="12" t="str">
        <x:v>2016-10-20</x:v>
      </x:c>
      <x:c r="B9" s="12" t="str">
        <x:v>MSFT</x:v>
      </x:c>
      <x:c r="C9" s="12" t="str">
        <x:v>release</x:v>
      </x:c>
      <x:c r="D9" s="12" t="str">
        <x:v>2016-10-20</x:v>
      </x:c>
      <x:c r="E9" s="12" t="n">
        <x:v>0</x:v>
      </x:c>
      <x:c r="F9" s="12" t="str">
        <x:v>Microsoft</x:v>
      </x:c>
      <x:c r="G9" s="12" t="str">
        <x:v>Microsoft Cloud Strength Highlights First Quarter Results</x:v>
      </x:c>
      <x:c r="H9" s="12" t="str">
        <x:v>https://www.microsoft.com/en-us/Investor/earnings/FY-2017-Q1/press-release-webcast</x:v>
      </x:c>
      <x:c r="I9" s="12" t="str">
        <x:v>OPENED/VERIFIED</x:v>
      </x:c>
      <x:c r="J9" s="12" t="str">
        <x:v>PASS</x:v>
      </x:c>
      <x:c r="K9" s="12" t="str">
        <x:v>PASS</x:v>
      </x:c>
      <x:c r="L9" s="12" t="str">
        <x:v>PASS</x:v>
      </x:c>
      <x:c r="M9" s="12" t="str">
        <x:v>NO</x:v>
      </x:c>
      <x:c r="N9" s="12" t="str">
        <x:v>PASS</x:v>
      </x:c>
      <x:c r="O9" s="12" t="str">
        <x:v>FACTUAL</x:v>
      </x:c>
      <x:c r="P9" s="12" t="str">
        <x:v>PASS</x:v>
      </x:c>
      <x:c r="Q9" s="12" t="str">
        <x:v>Checked against Microsoft/MSFT, exact earnings event/date, timing window and source-origin restrictions.</x:v>
      </x:c>
    </x:row>
    <x:row r="10">
      <x:c r="A10" s="12" t="str">
        <x:v>2016-10-20</x:v>
      </x:c>
      <x:c r="B10" s="12" t="str">
        <x:v>MSFT</x:v>
      </x:c>
      <x:c r="C10" s="12" t="str">
        <x:v>reaction</x:v>
      </x:c>
      <x:c r="D10" s="12" t="str">
        <x:v>2016-10-20</x:v>
      </x:c>
      <x:c r="E10" s="12" t="n">
        <x:v>0</x:v>
      </x:c>
      <x:c r="F10" s="12" t="str">
        <x:v>TechCrunch</x:v>
      </x:c>
      <x:c r="G10" s="12" t="str">
        <x:v>Microsoft’s cloud business bets pay off in Q1 as stock hits an all time high</x:v>
      </x:c>
      <x:c r="H10" s="12" t="str">
        <x:v>https://techcrunch.com/2016/10/20/microsoft-beats-on-strong-growth-in-cloud-business/</x:v>
      </x:c>
      <x:c r="I10" s="12" t="str">
        <x:v>OPENED/VERIFIED</x:v>
      </x:c>
      <x:c r="J10" s="12" t="str">
        <x:v>PASS</x:v>
      </x:c>
      <x:c r="K10" s="12" t="str">
        <x:v>PASS</x:v>
      </x:c>
      <x:c r="L10" s="12" t="str">
        <x:v>PASS</x:v>
      </x:c>
      <x:c r="M10" s="12" t="str">
        <x:v>NO</x:v>
      </x:c>
      <x:c r="N10" s="12" t="str">
        <x:v>PASS</x:v>
      </x:c>
      <x:c r="O10" s="12" t="str">
        <x:v>CONTEMPORANEOUS_ATTRIBUTION</x:v>
      </x:c>
      <x:c r="P10" s="12" t="str">
        <x:v>PASS</x:v>
      </x:c>
      <x:c r="Q10" s="12" t="str">
        <x:v>Checked against Microsoft/MSFT, exact earnings event/date, timing window and source-origin restrictions.</x:v>
      </x:c>
    </x:row>
    <x:row r="11">
      <x:c r="A11" s="12" t="str">
        <x:v>2017-01-26</x:v>
      </x:c>
      <x:c r="B11" s="12" t="str">
        <x:v>MSFT</x:v>
      </x:c>
      <x:c r="C11" s="12" t="str">
        <x:v>prior</x:v>
      </x:c>
      <x:c r="D11" s="12" t="str">
        <x:v>2016-10-20</x:v>
      </x:c>
      <x:c r="E11" s="12" t="n">
        <x:v>-98</x:v>
      </x:c>
      <x:c r="F11" s="12" t="str">
        <x:v>Microsoft</x:v>
      </x:c>
      <x:c r="G11" s="12" t="str">
        <x:v>Microsoft Cloud Strength Highlights First Quarter Results</x:v>
      </x:c>
      <x:c r="H11" s="12" t="str">
        <x:v>https://www.microsoft.com/en-us/Investor/earnings/FY-2017-Q1/press-release-webcast</x:v>
      </x:c>
      <x:c r="I11" s="12" t="str">
        <x:v>OPENED/VERIFIED</x:v>
      </x:c>
      <x:c r="J11" s="12" t="str">
        <x:v>PASS</x:v>
      </x:c>
      <x:c r="K11" s="12" t="str">
        <x:v>PASS</x:v>
      </x:c>
      <x:c r="L11" s="12" t="str">
        <x:v>PASS</x:v>
      </x:c>
      <x:c r="M11" s="12" t="str">
        <x:v>NO</x:v>
      </x:c>
      <x:c r="N11" s="12" t="str">
        <x:v>PASS</x:v>
      </x:c>
      <x:c r="O11" s="12" t="str">
        <x:v>FACTUAL</x:v>
      </x:c>
      <x:c r="P11" s="12" t="str">
        <x:v>PASS</x:v>
      </x:c>
      <x:c r="Q11" s="12" t="str">
        <x:v>Checked against Microsoft/MSFT, exact earnings event/date, timing window and source-origin restrictions.</x:v>
      </x:c>
    </x:row>
    <x:row r="12">
      <x:c r="A12" s="12" t="str">
        <x:v>2017-01-26</x:v>
      </x:c>
      <x:c r="B12" s="12" t="str">
        <x:v>MSFT</x:v>
      </x:c>
      <x:c r="C12" s="12" t="str">
        <x:v>release</x:v>
      </x:c>
      <x:c r="D12" s="12" t="str">
        <x:v>2017-01-26</x:v>
      </x:c>
      <x:c r="E12" s="12" t="n">
        <x:v>0</x:v>
      </x:c>
      <x:c r="F12" s="12" t="str">
        <x:v>Microsoft</x:v>
      </x:c>
      <x:c r="G12" s="12" t="str">
        <x:v>Microsoft Cloud Strength Highlights Second Quarter Results</x:v>
      </x:c>
      <x:c r="H12" s="12" t="str">
        <x:v>https://www.microsoft.com/en-us/Investor/earnings/FY-2017-Q2/press-release-webcast</x:v>
      </x:c>
      <x:c r="I12" s="12" t="str">
        <x:v>OPENED/VERIFIED</x:v>
      </x:c>
      <x:c r="J12" s="12" t="str">
        <x:v>PASS</x:v>
      </x:c>
      <x:c r="K12" s="12" t="str">
        <x:v>PASS</x:v>
      </x:c>
      <x:c r="L12" s="12" t="str">
        <x:v>PASS</x:v>
      </x:c>
      <x:c r="M12" s="12" t="str">
        <x:v>NO</x:v>
      </x:c>
      <x:c r="N12" s="12" t="str">
        <x:v>PASS</x:v>
      </x:c>
      <x:c r="O12" s="12" t="str">
        <x:v>FACTUAL</x:v>
      </x:c>
      <x:c r="P12" s="12" t="str">
        <x:v>PASS</x:v>
      </x:c>
      <x:c r="Q12" s="12" t="str">
        <x:v>Checked against Microsoft/MSFT, exact earnings event/date, timing window and source-origin restrictions.</x:v>
      </x:c>
    </x:row>
    <x:row r="13">
      <x:c r="A13" s="12" t="str">
        <x:v>2017-01-26</x:v>
      </x:c>
      <x:c r="B13" s="12" t="str">
        <x:v>MSFT</x:v>
      </x:c>
      <x:c r="C13" s="12" t="str">
        <x:v>reaction</x:v>
      </x:c>
      <x:c r="D13" s="12" t="str">
        <x:v>2017-01-28</x:v>
      </x:c>
      <x:c r="E13" s="12" t="n">
        <x:v>2</x:v>
      </x:c>
      <x:c r="F13" s="12" t="str">
        <x:v>The Motley Fool</x:v>
      </x:c>
      <x:c r="G13" s="12" t="str">
        <x:v>Microsoft Corporation's Cloud-Computing Business Is Surging</x:v>
      </x:c>
      <x:c r="H13" s="12" t="str">
        <x:v>https://www.fool.com/investing/2017/01/28/microsoft-corporations-cloud-computing-business-is.aspx</x:v>
      </x:c>
      <x:c r="I13" s="12" t="str">
        <x:v>OPENED/VERIFIED</x:v>
      </x:c>
      <x:c r="J13" s="12" t="str">
        <x:v>PASS</x:v>
      </x:c>
      <x:c r="K13" s="12" t="str">
        <x:v>PASS</x:v>
      </x:c>
      <x:c r="L13" s="12" t="str">
        <x:v>PASS</x:v>
      </x:c>
      <x:c r="M13" s="12" t="str">
        <x:v>NO</x:v>
      </x:c>
      <x:c r="N13" s="12" t="str">
        <x:v>PASS</x:v>
      </x:c>
      <x:c r="O13" s="12" t="str">
        <x:v>CONTEMPORANEOUS_ATTRIBUTION</x:v>
      </x:c>
      <x:c r="P13" s="12" t="str">
        <x:v>PASS</x:v>
      </x:c>
      <x:c r="Q13" s="12" t="str">
        <x:v>Checked against Microsoft/MSFT, exact earnings event/date, timing window and source-origin restrictions.</x:v>
      </x:c>
    </x:row>
    <x:row r="14">
      <x:c r="A14" s="12" t="str">
        <x:v>2017-04-27</x:v>
      </x:c>
      <x:c r="B14" s="12" t="str">
        <x:v>MSFT</x:v>
      </x:c>
      <x:c r="C14" s="12" t="str">
        <x:v>prior</x:v>
      </x:c>
      <x:c r="D14" s="12" t="str">
        <x:v>2017-01-26</x:v>
      </x:c>
      <x:c r="E14" s="12" t="n">
        <x:v>-91</x:v>
      </x:c>
      <x:c r="F14" s="12" t="str">
        <x:v>Microsoft</x:v>
      </x:c>
      <x:c r="G14" s="12" t="str">
        <x:v>Microsoft Cloud Strength Highlights Second Quarter Results</x:v>
      </x:c>
      <x:c r="H14" s="12" t="str">
        <x:v>https://www.microsoft.com/en-us/Investor/earnings/FY-2017-Q2/press-release-webcast</x:v>
      </x:c>
      <x:c r="I14" s="12" t="str">
        <x:v>OPENED/VERIFIED</x:v>
      </x:c>
      <x:c r="J14" s="12" t="str">
        <x:v>PASS</x:v>
      </x:c>
      <x:c r="K14" s="12" t="str">
        <x:v>PASS</x:v>
      </x:c>
      <x:c r="L14" s="12" t="str">
        <x:v>PASS</x:v>
      </x:c>
      <x:c r="M14" s="12" t="str">
        <x:v>NO</x:v>
      </x:c>
      <x:c r="N14" s="12" t="str">
        <x:v>PASS</x:v>
      </x:c>
      <x:c r="O14" s="12" t="str">
        <x:v>FACTUAL</x:v>
      </x:c>
      <x:c r="P14" s="12" t="str">
        <x:v>PASS</x:v>
      </x:c>
      <x:c r="Q14" s="12" t="str">
        <x:v>Checked against Microsoft/MSFT, exact earnings event/date, timing window and source-origin restrictions.</x:v>
      </x:c>
    </x:row>
    <x:row r="15">
      <x:c r="A15" s="12" t="str">
        <x:v>2017-04-27</x:v>
      </x:c>
      <x:c r="B15" s="12" t="str">
        <x:v>MSFT</x:v>
      </x:c>
      <x:c r="C15" s="12" t="str">
        <x:v>release</x:v>
      </x:c>
      <x:c r="D15" s="12" t="str">
        <x:v>2017-04-27</x:v>
      </x:c>
      <x:c r="E15" s="12" t="n">
        <x:v>0</x:v>
      </x:c>
      <x:c r="F15" s="12" t="str">
        <x:v>Microsoft</x:v>
      </x:c>
      <x:c r="G15" s="12" t="str">
        <x:v>Microsoft Cloud Strength Highlights Third Quarter Results</x:v>
      </x:c>
      <x:c r="H15" s="12" t="str">
        <x:v>https://www.microsoft.com/en-us/Investor/earnings/FY-2017-Q3/press-release-webcast</x:v>
      </x:c>
      <x:c r="I15" s="12" t="str">
        <x:v>OPENED/VERIFIED</x:v>
      </x:c>
      <x:c r="J15" s="12" t="str">
        <x:v>PASS</x:v>
      </x:c>
      <x:c r="K15" s="12" t="str">
        <x:v>PASS</x:v>
      </x:c>
      <x:c r="L15" s="12" t="str">
        <x:v>PASS</x:v>
      </x:c>
      <x:c r="M15" s="12" t="str">
        <x:v>NO</x:v>
      </x:c>
      <x:c r="N15" s="12" t="str">
        <x:v>PASS</x:v>
      </x:c>
      <x:c r="O15" s="12" t="str">
        <x:v>FACTUAL</x:v>
      </x:c>
      <x:c r="P15" s="12" t="str">
        <x:v>PASS</x:v>
      </x:c>
      <x:c r="Q15" s="12" t="str">
        <x:v>Checked against Microsoft/MSFT, exact earnings event/date, timing window and source-origin restrictions.</x:v>
      </x:c>
    </x:row>
    <x:row r="16">
      <x:c r="A16" s="12" t="str">
        <x:v>2017-04-27</x:v>
      </x:c>
      <x:c r="B16" s="12" t="str">
        <x:v>MSFT</x:v>
      </x:c>
      <x:c r="C16" s="12" t="str">
        <x:v>reaction</x:v>
      </x:c>
      <x:c r="D16" s="12" t="str">
        <x:v>2017-04-27</x:v>
      </x:c>
      <x:c r="E16" s="12" t="n">
        <x:v>0</x:v>
      </x:c>
      <x:c r="F16" s="12" t="str">
        <x:v>TechCrunch</x:v>
      </x:c>
      <x:c r="G16" s="12" t="str">
        <x:v>Microsoft meets expectations with $23.6B in revenue, Azure revenue up 93%</x:v>
      </x:c>
      <x:c r="H16" s="12" t="str">
        <x:v>https://techcrunch.com/2017/04/27/microsoft-meets-expectations-with-23-6b-in-revenue-azure-revenue-up-93/</x:v>
      </x:c>
      <x:c r="I16" s="12" t="str">
        <x:v>OPENED/VERIFIED</x:v>
      </x:c>
      <x:c r="J16" s="12" t="str">
        <x:v>PASS</x:v>
      </x:c>
      <x:c r="K16" s="12" t="str">
        <x:v>PASS</x:v>
      </x:c>
      <x:c r="L16" s="12" t="str">
        <x:v>PASS</x:v>
      </x:c>
      <x:c r="M16" s="12" t="str">
        <x:v>NO</x:v>
      </x:c>
      <x:c r="N16" s="12" t="str">
        <x:v>PASS</x:v>
      </x:c>
      <x:c r="O16" s="12" t="str">
        <x:v>CONTEMPORANEOUS_ATTRIBUTION</x:v>
      </x:c>
      <x:c r="P16" s="12" t="str">
        <x:v>PASS</x:v>
      </x:c>
      <x:c r="Q16" s="12" t="str">
        <x:v>Checked against Microsoft/MSFT, exact earnings event/date, timing window and source-origin restrictions.</x:v>
      </x:c>
    </x:row>
    <x:row r="17">
      <x:c r="A17" s="12" t="str">
        <x:v>2017-07-20</x:v>
      </x:c>
      <x:c r="B17" s="12" t="str">
        <x:v>MSFT</x:v>
      </x:c>
      <x:c r="C17" s="12" t="str">
        <x:v>prior</x:v>
      </x:c>
      <x:c r="D17" s="12" t="str">
        <x:v>2017-04-27</x:v>
      </x:c>
      <x:c r="E17" s="12" t="n">
        <x:v>-84</x:v>
      </x:c>
      <x:c r="F17" s="12" t="str">
        <x:v>Microsoft</x:v>
      </x:c>
      <x:c r="G17" s="12" t="str">
        <x:v>Microsoft Cloud Strength Highlights Third Quarter Results</x:v>
      </x:c>
      <x:c r="H17" s="12" t="str">
        <x:v>https://www.microsoft.com/en-us/Investor/earnings/FY-2017-Q3/press-release-webcast</x:v>
      </x:c>
      <x:c r="I17" s="12" t="str">
        <x:v>OPENED/VERIFIED</x:v>
      </x:c>
      <x:c r="J17" s="12" t="str">
        <x:v>PASS</x:v>
      </x:c>
      <x:c r="K17" s="12" t="str">
        <x:v>PASS</x:v>
      </x:c>
      <x:c r="L17" s="12" t="str">
        <x:v>PASS</x:v>
      </x:c>
      <x:c r="M17" s="12" t="str">
        <x:v>NO</x:v>
      </x:c>
      <x:c r="N17" s="12" t="str">
        <x:v>PASS</x:v>
      </x:c>
      <x:c r="O17" s="12" t="str">
        <x:v>FACTUAL</x:v>
      </x:c>
      <x:c r="P17" s="12" t="str">
        <x:v>PASS</x:v>
      </x:c>
      <x:c r="Q17" s="12" t="str">
        <x:v>Checked against Microsoft/MSFT, exact earnings event/date, timing window and source-origin restrictions.</x:v>
      </x:c>
    </x:row>
    <x:row r="18">
      <x:c r="A18" s="12" t="str">
        <x:v>2017-07-20</x:v>
      </x:c>
      <x:c r="B18" s="12" t="str">
        <x:v>MSFT</x:v>
      </x:c>
      <x:c r="C18" s="12" t="str">
        <x:v>release</x:v>
      </x:c>
      <x:c r="D18" s="12" t="str">
        <x:v>2017-07-20</x:v>
      </x:c>
      <x:c r="E18" s="12" t="n">
        <x:v>0</x:v>
      </x:c>
      <x:c r="F18" s="12" t="str">
        <x:v>Microsoft</x:v>
      </x:c>
      <x:c r="G18" s="12" t="str">
        <x:v>Microsoft Cloud Strength Highlights Fourth Quarter Results</x:v>
      </x:c>
      <x:c r="H18" s="12" t="str">
        <x:v>https://www.microsoft.com/en-us/Investor/earnings/FY-2017-Q4/press-release-webcast</x:v>
      </x:c>
      <x:c r="I18" s="12" t="str">
        <x:v>OPENED/VERIFIED</x:v>
      </x:c>
      <x:c r="J18" s="12" t="str">
        <x:v>PASS</x:v>
      </x:c>
      <x:c r="K18" s="12" t="str">
        <x:v>PASS</x:v>
      </x:c>
      <x:c r="L18" s="12" t="str">
        <x:v>PASS</x:v>
      </x:c>
      <x:c r="M18" s="12" t="str">
        <x:v>NO</x:v>
      </x:c>
      <x:c r="N18" s="12" t="str">
        <x:v>PASS</x:v>
      </x:c>
      <x:c r="O18" s="12" t="str">
        <x:v>FACTUAL</x:v>
      </x:c>
      <x:c r="P18" s="12" t="str">
        <x:v>PASS</x:v>
      </x:c>
      <x:c r="Q18" s="12" t="str">
        <x:v>Checked against Microsoft/MSFT, exact earnings event/date, timing window and source-origin restrictions.</x:v>
      </x:c>
    </x:row>
    <x:row r="19">
      <x:c r="A19" s="12" t="str">
        <x:v>2017-07-20</x:v>
      </x:c>
      <x:c r="B19" s="12" t="str">
        <x:v>MSFT</x:v>
      </x:c>
      <x:c r="C19" s="12" t="str">
        <x:v>reaction</x:v>
      </x:c>
      <x:c r="D19" s="12" t="str">
        <x:v>2017-07-21</x:v>
      </x:c>
      <x:c r="E19" s="12" t="n">
        <x:v>1</x:v>
      </x:c>
      <x:c r="F19" s="12" t="str">
        <x:v>Phys.org / AFP</x:v>
      </x:c>
      <x:c r="G19" s="12" t="str">
        <x:v>Microsoft profit rises on shift to cloud computing</x:v>
      </x:c>
      <x:c r="H19" s="12" t="str">
        <x:v>https://phys.org/news/2017-07-microsoft-profit-shift-cloud.html</x:v>
      </x:c>
      <x:c r="I19" s="12" t="str">
        <x:v>OPENED/VERIFIED</x:v>
      </x:c>
      <x:c r="J19" s="12" t="str">
        <x:v>PASS</x:v>
      </x:c>
      <x:c r="K19" s="12" t="str">
        <x:v>PASS</x:v>
      </x:c>
      <x:c r="L19" s="12" t="str">
        <x:v>PASS</x:v>
      </x:c>
      <x:c r="M19" s="12" t="str">
        <x:v>NO</x:v>
      </x:c>
      <x:c r="N19" s="12" t="str">
        <x:v>PASS</x:v>
      </x:c>
      <x:c r="O19" s="12" t="str">
        <x:v>CONTEMPORANEOUS_ATTRIBUTION</x:v>
      </x:c>
      <x:c r="P19" s="12" t="str">
        <x:v>PASS</x:v>
      </x:c>
      <x:c r="Q19" s="12" t="str">
        <x:v>Checked against Microsoft/MSFT, exact earnings event/date, timing window and source-origin restrictions.</x:v>
      </x:c>
    </x:row>
    <x:row r="20">
      <x:c r="A20" s="12" t="str">
        <x:v>2017-10-26</x:v>
      </x:c>
      <x:c r="B20" s="12" t="str">
        <x:v>MSFT</x:v>
      </x:c>
      <x:c r="C20" s="12" t="str">
        <x:v>prior</x:v>
      </x:c>
      <x:c r="D20" s="12" t="str">
        <x:v>2017-07-20</x:v>
      </x:c>
      <x:c r="E20" s="12" t="n">
        <x:v>-98</x:v>
      </x:c>
      <x:c r="F20" s="12" t="str">
        <x:v>Microsoft</x:v>
      </x:c>
      <x:c r="G20" s="12" t="str">
        <x:v>Microsoft Cloud Strength Highlights Fourth Quarter Results</x:v>
      </x:c>
      <x:c r="H20" s="12" t="str">
        <x:v>https://www.microsoft.com/en-us/Investor/earnings/FY-2017-Q4/press-release-webcast</x:v>
      </x:c>
      <x:c r="I20" s="12" t="str">
        <x:v>OPENED/VERIFIED</x:v>
      </x:c>
      <x:c r="J20" s="12" t="str">
        <x:v>PASS</x:v>
      </x:c>
      <x:c r="K20" s="12" t="str">
        <x:v>PASS</x:v>
      </x:c>
      <x:c r="L20" s="12" t="str">
        <x:v>PASS</x:v>
      </x:c>
      <x:c r="M20" s="12" t="str">
        <x:v>NO</x:v>
      </x:c>
      <x:c r="N20" s="12" t="str">
        <x:v>PASS</x:v>
      </x:c>
      <x:c r="O20" s="12" t="str">
        <x:v>FACTUAL</x:v>
      </x:c>
      <x:c r="P20" s="12" t="str">
        <x:v>PASS</x:v>
      </x:c>
      <x:c r="Q20" s="12" t="str">
        <x:v>Checked against Microsoft/MSFT, exact earnings event/date, timing window and source-origin restrictions.</x:v>
      </x:c>
    </x:row>
    <x:row r="21">
      <x:c r="A21" s="12" t="str">
        <x:v>2017-10-26</x:v>
      </x:c>
      <x:c r="B21" s="12" t="str">
        <x:v>MSFT</x:v>
      </x:c>
      <x:c r="C21" s="12" t="str">
        <x:v>release</x:v>
      </x:c>
      <x:c r="D21" s="12" t="str">
        <x:v>2017-10-26</x:v>
      </x:c>
      <x:c r="E21" s="12" t="n">
        <x:v>0</x:v>
      </x:c>
      <x:c r="F21" s="12" t="str">
        <x:v>Microsoft</x:v>
      </x:c>
      <x:c r="G21" s="12" t="str">
        <x:v>Microsoft Cloud Continues to Grow, Powers First Quarter Results</x:v>
      </x:c>
      <x:c r="H21" s="12" t="str">
        <x:v>https://www.microsoft.com/en-us/investor/earnings/fy-2018-q1/press-release-webcast</x:v>
      </x:c>
      <x:c r="I21" s="12" t="str">
        <x:v>OPENED/VERIFIED</x:v>
      </x:c>
      <x:c r="J21" s="12" t="str">
        <x:v>PASS</x:v>
      </x:c>
      <x:c r="K21" s="12" t="str">
        <x:v>PASS</x:v>
      </x:c>
      <x:c r="L21" s="12" t="str">
        <x:v>PASS</x:v>
      </x:c>
      <x:c r="M21" s="12" t="str">
        <x:v>NO</x:v>
      </x:c>
      <x:c r="N21" s="12" t="str">
        <x:v>PASS</x:v>
      </x:c>
      <x:c r="O21" s="12" t="str">
        <x:v>FACTUAL</x:v>
      </x:c>
      <x:c r="P21" s="12" t="str">
        <x:v>PASS</x:v>
      </x:c>
      <x:c r="Q21" s="12" t="str">
        <x:v>Checked against Microsoft/MSFT, exact earnings event/date, timing window and source-origin restrictions.</x:v>
      </x:c>
    </x:row>
    <x:row r="22">
      <x:c r="A22" s="12" t="str">
        <x:v>2017-10-26</x:v>
      </x:c>
      <x:c r="B22" s="12" t="str">
        <x:v>MSFT</x:v>
      </x:c>
      <x:c r="C22" s="12" t="str">
        <x:v>reaction</x:v>
      </x:c>
      <x:c r="D22" s="12" t="str">
        <x:v>2017-10-26</x:v>
      </x:c>
      <x:c r="E22" s="12" t="n">
        <x:v>0</x:v>
      </x:c>
      <x:c r="F22" s="12" t="str">
        <x:v>TechCrunch</x:v>
      </x:c>
      <x:c r="G22" s="12" t="str">
        <x:v>Microsoft easily beats the Street as its cloud run rate passes $20B a year early</x:v>
      </x:c>
      <x:c r="H22" s="12" t="str">
        <x:v>https://techcrunch.com/2017/10/26/microsoft-easily-beats-the-street-as-its-cloud-run-rate-passes-20b-a-year-early/</x:v>
      </x:c>
      <x:c r="I22" s="12" t="str">
        <x:v>OPENED/VERIFIED</x:v>
      </x:c>
      <x:c r="J22" s="12" t="str">
        <x:v>PASS</x:v>
      </x:c>
      <x:c r="K22" s="12" t="str">
        <x:v>PASS</x:v>
      </x:c>
      <x:c r="L22" s="12" t="str">
        <x:v>PASS</x:v>
      </x:c>
      <x:c r="M22" s="12" t="str">
        <x:v>NO</x:v>
      </x:c>
      <x:c r="N22" s="12" t="str">
        <x:v>PASS</x:v>
      </x:c>
      <x:c r="O22" s="12" t="str">
        <x:v>CONTEMPORANEOUS_ATTRIBUTION</x:v>
      </x:c>
      <x:c r="P22" s="12" t="str">
        <x:v>PASS</x:v>
      </x:c>
      <x:c r="Q22" s="12" t="str">
        <x:v>Checked against Microsoft/MSFT, exact earnings event/date, timing window and source-origin restrictions.</x:v>
      </x:c>
    </x:row>
    <x:row r="23">
      <x:c r="A23" s="12" t="str">
        <x:v>2018-01-31</x:v>
      </x:c>
      <x:c r="B23" s="12" t="str">
        <x:v>MSFT</x:v>
      </x:c>
      <x:c r="C23" s="12" t="str">
        <x:v>prior</x:v>
      </x:c>
      <x:c r="D23" s="12" t="str">
        <x:v>2017-10-26</x:v>
      </x:c>
      <x:c r="E23" s="12" t="n">
        <x:v>-97</x:v>
      </x:c>
      <x:c r="F23" s="12" t="str">
        <x:v>Microsoft</x:v>
      </x:c>
      <x:c r="G23" s="12" t="str">
        <x:v>Microsoft Cloud Continues to Grow, Powers First Quarter Results</x:v>
      </x:c>
      <x:c r="H23" s="12" t="str">
        <x:v>https://www.microsoft.com/en-us/investor/earnings/fy-2018-q1/press-release-webcast</x:v>
      </x:c>
      <x:c r="I23" s="12" t="str">
        <x:v>OPENED/VERIFIED</x:v>
      </x:c>
      <x:c r="J23" s="12" t="str">
        <x:v>PASS</x:v>
      </x:c>
      <x:c r="K23" s="12" t="str">
        <x:v>PASS</x:v>
      </x:c>
      <x:c r="L23" s="12" t="str">
        <x:v>PASS</x:v>
      </x:c>
      <x:c r="M23" s="12" t="str">
        <x:v>NO</x:v>
      </x:c>
      <x:c r="N23" s="12" t="str">
        <x:v>PASS</x:v>
      </x:c>
      <x:c r="O23" s="12" t="str">
        <x:v>FACTUAL</x:v>
      </x:c>
      <x:c r="P23" s="12" t="str">
        <x:v>PASS</x:v>
      </x:c>
      <x:c r="Q23" s="12" t="str">
        <x:v>Checked against Microsoft/MSFT, exact earnings event/date, timing window and source-origin restrictions.</x:v>
      </x:c>
    </x:row>
    <x:row r="24">
      <x:c r="A24" s="12" t="str">
        <x:v>2018-01-31</x:v>
      </x:c>
      <x:c r="B24" s="12" t="str">
        <x:v>MSFT</x:v>
      </x:c>
      <x:c r="C24" s="12" t="str">
        <x:v>release</x:v>
      </x:c>
      <x:c r="D24" s="12" t="str">
        <x:v>2018-01-31</x:v>
      </x:c>
      <x:c r="E24" s="12" t="n">
        <x:v>0</x:v>
      </x:c>
      <x:c r="F24" s="12" t="str">
        <x:v>Microsoft</x:v>
      </x:c>
      <x:c r="G24" s="12" t="str">
        <x:v>Microsoft Cloud Growth Fuels Second Quarter Results</x:v>
      </x:c>
      <x:c r="H24" s="12" t="str">
        <x:v>https://www.microsoft.com/en-us/investor/earnings/fy-2018-q2/press-release-webcast</x:v>
      </x:c>
      <x:c r="I24" s="12" t="str">
        <x:v>OPENED/VERIFIED</x:v>
      </x:c>
      <x:c r="J24" s="12" t="str">
        <x:v>PASS</x:v>
      </x:c>
      <x:c r="K24" s="12" t="str">
        <x:v>PASS</x:v>
      </x:c>
      <x:c r="L24" s="12" t="str">
        <x:v>PASS</x:v>
      </x:c>
      <x:c r="M24" s="12" t="str">
        <x:v>NO</x:v>
      </x:c>
      <x:c r="N24" s="12" t="str">
        <x:v>PASS</x:v>
      </x:c>
      <x:c r="O24" s="12" t="str">
        <x:v>FACTUAL</x:v>
      </x:c>
      <x:c r="P24" s="12" t="str">
        <x:v>PASS</x:v>
      </x:c>
      <x:c r="Q24" s="12" t="str">
        <x:v>Checked against Microsoft/MSFT, exact earnings event/date, timing window and source-origin restrictions.</x:v>
      </x:c>
    </x:row>
    <x:row r="25">
      <x:c r="A25" s="12" t="str">
        <x:v>2018-01-31</x:v>
      </x:c>
      <x:c r="B25" s="12" t="str">
        <x:v>MSFT</x:v>
      </x:c>
      <x:c r="C25" s="12" t="str">
        <x:v>reaction</x:v>
      </x:c>
      <x:c r="D25" s="12" t="str">
        <x:v>2018-01-31</x:v>
      </x:c>
      <x:c r="E25" s="12" t="n">
        <x:v>0</x:v>
      </x:c>
      <x:c r="F25" s="12" t="str">
        <x:v>TechCrunch</x:v>
      </x:c>
      <x:c r="G25" s="12" t="str">
        <x:v>Microsoft’s Azure revenue nearly doubled year-over-year in its second quarter</x:v>
      </x:c>
      <x:c r="H25" s="12" t="str">
        <x:v>https://techcrunch.com/2018/01/31/microsofts-azure-revenue-nearly-doubled-year-over-year-in-its-second-quarter/</x:v>
      </x:c>
      <x:c r="I25" s="12" t="str">
        <x:v>OPENED/VERIFIED</x:v>
      </x:c>
      <x:c r="J25" s="12" t="str">
        <x:v>PASS</x:v>
      </x:c>
      <x:c r="K25" s="12" t="str">
        <x:v>PASS</x:v>
      </x:c>
      <x:c r="L25" s="12" t="str">
        <x:v>PASS</x:v>
      </x:c>
      <x:c r="M25" s="12" t="str">
        <x:v>NO</x:v>
      </x:c>
      <x:c r="N25" s="12" t="str">
        <x:v>PASS</x:v>
      </x:c>
      <x:c r="O25" s="12" t="str">
        <x:v>CONTEMPORANEOUS_ATTRIBUTION</x:v>
      </x:c>
      <x:c r="P25" s="12" t="str">
        <x:v>PASS</x:v>
      </x:c>
      <x:c r="Q25" s="12" t="str">
        <x:v>Checked against Microsoft/MSFT, exact earnings event/date, timing window and source-origin restrictions.</x:v>
      </x:c>
    </x:row>
    <x:row r="26">
      <x:c r="A26" s="12" t="str">
        <x:v>2018-04-26</x:v>
      </x:c>
      <x:c r="B26" s="12" t="str">
        <x:v>MSFT</x:v>
      </x:c>
      <x:c r="C26" s="12" t="str">
        <x:v>prior</x:v>
      </x:c>
      <x:c r="D26" s="12" t="str">
        <x:v>2018-01-31</x:v>
      </x:c>
      <x:c r="E26" s="12" t="n">
        <x:v>-85</x:v>
      </x:c>
      <x:c r="F26" s="12" t="str">
        <x:v>Microsoft</x:v>
      </x:c>
      <x:c r="G26" s="12" t="str">
        <x:v>Microsoft Cloud Growth Fuels Second Quarter Results</x:v>
      </x:c>
      <x:c r="H26" s="12" t="str">
        <x:v>https://www.microsoft.com/en-us/investor/earnings/fy-2018-q2/press-release-webcast</x:v>
      </x:c>
      <x:c r="I26" s="12" t="str">
        <x:v>OPENED/VERIFIED</x:v>
      </x:c>
      <x:c r="J26" s="12" t="str">
        <x:v>PASS</x:v>
      </x:c>
      <x:c r="K26" s="12" t="str">
        <x:v>PASS</x:v>
      </x:c>
      <x:c r="L26" s="12" t="str">
        <x:v>PASS</x:v>
      </x:c>
      <x:c r="M26" s="12" t="str">
        <x:v>NO</x:v>
      </x:c>
      <x:c r="N26" s="12" t="str">
        <x:v>PASS</x:v>
      </x:c>
      <x:c r="O26" s="12" t="str">
        <x:v>FACTUAL</x:v>
      </x:c>
      <x:c r="P26" s="12" t="str">
        <x:v>PASS</x:v>
      </x:c>
      <x:c r="Q26" s="12" t="str">
        <x:v>Checked against Microsoft/MSFT, exact earnings event/date, timing window and source-origin restrictions.</x:v>
      </x:c>
    </x:row>
    <x:row r="27">
      <x:c r="A27" s="12" t="str">
        <x:v>2018-04-26</x:v>
      </x:c>
      <x:c r="B27" s="12" t="str">
        <x:v>MSFT</x:v>
      </x:c>
      <x:c r="C27" s="12" t="str">
        <x:v>release</x:v>
      </x:c>
      <x:c r="D27" s="12" t="str">
        <x:v>2018-04-26</x:v>
      </x:c>
      <x:c r="E27" s="12" t="n">
        <x:v>0</x:v>
      </x:c>
      <x:c r="F27" s="12" t="str">
        <x:v>Microsoft</x:v>
      </x:c>
      <x:c r="G27" s="12" t="str">
        <x:v>Microsoft Cloud Strength Highlights Third Quarter Results</x:v>
      </x:c>
      <x:c r="H27" s="12" t="str">
        <x:v>https://www.microsoft.com/en-us/Investor/earnings/FY-2018-Q3/press-release-webcast</x:v>
      </x:c>
      <x:c r="I27" s="12" t="str">
        <x:v>OPENED/VERIFIED</x:v>
      </x:c>
      <x:c r="J27" s="12" t="str">
        <x:v>PASS</x:v>
      </x:c>
      <x:c r="K27" s="12" t="str">
        <x:v>PASS</x:v>
      </x:c>
      <x:c r="L27" s="12" t="str">
        <x:v>PASS</x:v>
      </x:c>
      <x:c r="M27" s="12" t="str">
        <x:v>NO</x:v>
      </x:c>
      <x:c r="N27" s="12" t="str">
        <x:v>PASS</x:v>
      </x:c>
      <x:c r="O27" s="12" t="str">
        <x:v>FACTUAL</x:v>
      </x:c>
      <x:c r="P27" s="12" t="str">
        <x:v>PASS</x:v>
      </x:c>
      <x:c r="Q27" s="12" t="str">
        <x:v>Checked against Microsoft/MSFT, exact earnings event/date, timing window and source-origin restrictions.</x:v>
      </x:c>
    </x:row>
    <x:row r="28">
      <x:c r="A28" s="12" t="str">
        <x:v>2018-04-26</x:v>
      </x:c>
      <x:c r="B28" s="12" t="str">
        <x:v>MSFT</x:v>
      </x:c>
      <x:c r="C28" s="12" t="str">
        <x:v>reaction</x:v>
      </x:c>
      <x:c r="D28" s="12" t="str">
        <x:v>2018-04-26</x:v>
      </x:c>
      <x:c r="E28" s="12" t="n">
        <x:v>0</x:v>
      </x:c>
      <x:c r="F28" s="12" t="str">
        <x:v>TechCrunch</x:v>
      </x:c>
      <x:c r="G28" s="12" t="str">
        <x:v>By keeping its head in the cloud, Microsoft makes it rain on shareholders</x:v>
      </x:c>
      <x:c r="H28" s="12" t="str">
        <x:v>https://techcrunch.com/2018/04/26/by-keeping-its-head-in-the-cloud-microsoft-makes-it-rain-on-shareholders/</x:v>
      </x:c>
      <x:c r="I28" s="12" t="str">
        <x:v>OPENED/VERIFIED</x:v>
      </x:c>
      <x:c r="J28" s="12" t="str">
        <x:v>PASS</x:v>
      </x:c>
      <x:c r="K28" s="12" t="str">
        <x:v>PASS</x:v>
      </x:c>
      <x:c r="L28" s="12" t="str">
        <x:v>PASS</x:v>
      </x:c>
      <x:c r="M28" s="12" t="str">
        <x:v>NO</x:v>
      </x:c>
      <x:c r="N28" s="12" t="str">
        <x:v>PASS</x:v>
      </x:c>
      <x:c r="O28" s="12" t="str">
        <x:v>CONTEMPORANEOUS_ATTRIBUTION</x:v>
      </x:c>
      <x:c r="P28" s="12" t="str">
        <x:v>PASS</x:v>
      </x:c>
      <x:c r="Q28" s="12" t="str">
        <x:v>Checked against Microsoft/MSFT, exact earnings event/date, timing window and source-origin restrictions.</x:v>
      </x:c>
    </x:row>
    <x:row r="29">
      <x:c r="A29" s="12" t="str">
        <x:v>2018-07-19</x:v>
      </x:c>
      <x:c r="B29" s="12" t="str">
        <x:v>MSFT</x:v>
      </x:c>
      <x:c r="C29" s="12" t="str">
        <x:v>prior</x:v>
      </x:c>
      <x:c r="D29" s="12" t="str">
        <x:v>2018-04-26</x:v>
      </x:c>
      <x:c r="E29" s="12" t="n">
        <x:v>-84</x:v>
      </x:c>
      <x:c r="F29" s="12" t="str">
        <x:v>Microsoft</x:v>
      </x:c>
      <x:c r="G29" s="12" t="str">
        <x:v>Microsoft Cloud Strength Highlights Third Quarter Results</x:v>
      </x:c>
      <x:c r="H29" s="12" t="str">
        <x:v>https://www.microsoft.com/en-us/Investor/earnings/FY-2018-Q3/press-release-webcast</x:v>
      </x:c>
      <x:c r="I29" s="12" t="str">
        <x:v>OPENED/VERIFIED</x:v>
      </x:c>
      <x:c r="J29" s="12" t="str">
        <x:v>PASS</x:v>
      </x:c>
      <x:c r="K29" s="12" t="str">
        <x:v>PASS</x:v>
      </x:c>
      <x:c r="L29" s="12" t="str">
        <x:v>PASS</x:v>
      </x:c>
      <x:c r="M29" s="12" t="str">
        <x:v>NO</x:v>
      </x:c>
      <x:c r="N29" s="12" t="str">
        <x:v>PASS</x:v>
      </x:c>
      <x:c r="O29" s="12" t="str">
        <x:v>FACTUAL</x:v>
      </x:c>
      <x:c r="P29" s="12" t="str">
        <x:v>PASS</x:v>
      </x:c>
      <x:c r="Q29" s="12" t="str">
        <x:v>Checked against Microsoft/MSFT, exact earnings event/date, timing window and source-origin restrictions.</x:v>
      </x:c>
    </x:row>
    <x:row r="30">
      <x:c r="A30" s="12" t="str">
        <x:v>2018-07-19</x:v>
      </x:c>
      <x:c r="B30" s="12" t="str">
        <x:v>MSFT</x:v>
      </x:c>
      <x:c r="C30" s="12" t="str">
        <x:v>release</x:v>
      </x:c>
      <x:c r="D30" s="12" t="str">
        <x:v>2018-07-19</x:v>
      </x:c>
      <x:c r="E30" s="12" t="n">
        <x:v>0</x:v>
      </x:c>
      <x:c r="F30" s="12" t="str">
        <x:v>Microsoft</x:v>
      </x:c>
      <x:c r="G30" s="12" t="str">
        <x:v>Microsoft Cloud Drives Record Fourth Quarter Results</x:v>
      </x:c>
      <x:c r="H30" s="12" t="str">
        <x:v>https://www.microsoft.com/en-us/investor/earnings/fy-2018-q4/press-release-webcast</x:v>
      </x:c>
      <x:c r="I30" s="12" t="str">
        <x:v>OPENED/VERIFIED</x:v>
      </x:c>
      <x:c r="J30" s="12" t="str">
        <x:v>PASS</x:v>
      </x:c>
      <x:c r="K30" s="12" t="str">
        <x:v>PASS</x:v>
      </x:c>
      <x:c r="L30" s="12" t="str">
        <x:v>PASS</x:v>
      </x:c>
      <x:c r="M30" s="12" t="str">
        <x:v>NO</x:v>
      </x:c>
      <x:c r="N30" s="12" t="str">
        <x:v>PASS</x:v>
      </x:c>
      <x:c r="O30" s="12" t="str">
        <x:v>FACTUAL</x:v>
      </x:c>
      <x:c r="P30" s="12" t="str">
        <x:v>PASS</x:v>
      </x:c>
      <x:c r="Q30" s="12" t="str">
        <x:v>Checked against Microsoft/MSFT, exact earnings event/date, timing window and source-origin restrictions.</x:v>
      </x:c>
    </x:row>
    <x:row r="31">
      <x:c r="A31" s="12" t="str">
        <x:v>2018-07-19</x:v>
      </x:c>
      <x:c r="B31" s="12" t="str">
        <x:v>MSFT</x:v>
      </x:c>
      <x:c r="C31" s="12" t="str">
        <x:v>reaction</x:v>
      </x:c>
      <x:c r="D31" s="12" t="str">
        <x:v>2018-07-20</x:v>
      </x:c>
      <x:c r="E31" s="12" t="n">
        <x:v>1</x:v>
      </x:c>
      <x:c r="F31" s="12" t="str">
        <x:v>The Motley Fool</x:v>
      </x:c>
      <x:c r="G31" s="12" t="str">
        <x:v>Microsoft Corporation's Impressive Growth in 5 Metrics</x:v>
      </x:c>
      <x:c r="H31" s="12" t="str">
        <x:v>https://www.fool.com/investing/2018/07/20/microsoft-corporations-impressive-growth-in-5-metr.aspx</x:v>
      </x:c>
      <x:c r="I31" s="12" t="str">
        <x:v>OPENED/VERIFIED</x:v>
      </x:c>
      <x:c r="J31" s="12" t="str">
        <x:v>PASS</x:v>
      </x:c>
      <x:c r="K31" s="12" t="str">
        <x:v>PASS</x:v>
      </x:c>
      <x:c r="L31" s="12" t="str">
        <x:v>PASS</x:v>
      </x:c>
      <x:c r="M31" s="12" t="str">
        <x:v>NO</x:v>
      </x:c>
      <x:c r="N31" s="12" t="str">
        <x:v>PASS</x:v>
      </x:c>
      <x:c r="O31" s="12" t="str">
        <x:v>CONTEMPORANEOUS_ATTRIBUTION</x:v>
      </x:c>
      <x:c r="P31" s="12" t="str">
        <x:v>PASS</x:v>
      </x:c>
      <x:c r="Q31" s="12" t="str">
        <x:v>Checked against Microsoft/MSFT, exact earnings event/date, timing window and source-origin restrictions.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2016-04-21</x:v>
      </x:c>
      <x:c r="B2" t="str">
        <x:v>MSFT</x:v>
      </x:c>
      <x:c r="C2" s="20" t="n">
        <x:v>0.87</x:v>
      </x:c>
      <x:c r="D2" s="20" t="n">
        <x:v>-7.35</x:v>
      </x:c>
      <x:c r="E2" t="str">
        <x:v>ret_1daypost_pct</x:v>
      </x:c>
      <x:c r="F2" t="str">
        <x:f>IF(D2&gt;0.1,"UP",IF(D2&lt;-0.1,"DOWN","FLAT"))</x:f>
        <x:v>DOWN</x:v>
      </x:c>
      <x:c r="G2" t="str">
        <x:v>DOWN</x:v>
      </x:c>
      <x:c r="H2" t="str">
        <x:f>IF(F2=G2,"PASS","FAIL")</x:f>
        <x:v>PASS</x:v>
      </x:c>
      <x:c r="I2" t="n">
        <x:v>3</x:v>
      </x:c>
      <x:c r="J2" t="n">
        <x:f>COUNTIFS('Source Audit'!$A:$A,A2,'Source Audit'!$P:$P,"PASS")</x:f>
        <x:v>3</x:v>
      </x:c>
      <x:c r="K2" t="str">
        <x:f>IF(AND(H2="PASS",J2=I2),"PASS","FAIL")</x:f>
        <x:v>PASS</x:v>
      </x:c>
    </x:row>
    <x:row r="3">
      <x:c r="A3" t="str">
        <x:v>2016-07-19</x:v>
      </x:c>
      <x:c r="B3" t="str">
        <x:v>MSFT</x:v>
      </x:c>
      <x:c r="C3" s="20" t="n">
        <x:v>-1.38</x:v>
      </x:c>
      <x:c r="D3" s="20" t="n">
        <x:v>4.85</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2016-10-20</x:v>
      </x:c>
      <x:c r="B4" t="str">
        <x:v>MSFT</x:v>
      </x:c>
      <x:c r="C4" s="20" t="n">
        <x:v>-0.32</x:v>
      </x:c>
      <x:c r="D4" s="20" t="n">
        <x:v>4.22</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2017-01-26</x:v>
      </x:c>
      <x:c r="B5" t="str">
        <x:v>MSFT</x:v>
      </x:c>
      <x:c r="C5" s="20" t="n">
        <x:v>1.04</x:v>
      </x:c>
      <x:c r="D5" s="20" t="n">
        <x:v>2.51</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2017-04-27</x:v>
      </x:c>
      <x:c r="B6" t="str">
        <x:v>MSFT</x:v>
      </x:c>
      <x:c r="C6" s="20" t="n">
        <x:v>0.65</x:v>
      </x:c>
      <x:c r="D6" s="20" t="n">
        <x:v>0.54</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2017-07-20</x:v>
      </x:c>
      <x:c r="B7" t="str">
        <x:v>MSFT</x:v>
      </x:c>
      <x:c r="C7" s="20" t="n">
        <x:v>0.48</x:v>
      </x:c>
      <x:c r="D7" s="20" t="n">
        <x:v>-0.49</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2017-10-26</x:v>
      </x:c>
      <x:c r="B8" t="str">
        <x:v>MSFT</x:v>
      </x:c>
      <x:c r="C8" s="20" t="n">
        <x:v>0.02</x:v>
      </x:c>
      <x:c r="D8" s="20" t="n">
        <x:v>5.65</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2018-01-31</x:v>
      </x:c>
      <x:c r="B9" t="str">
        <x:v>MSFT</x:v>
      </x:c>
      <x:c r="C9" s="20" t="n">
        <x:v>2.43</x:v>
      </x:c>
      <x:c r="D9" s="20" t="n">
        <x:v>-0.76</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2018-04-26</x:v>
      </x:c>
      <x:c r="B10" t="str">
        <x:v>MSFT</x:v>
      </x:c>
      <x:c r="C10" s="20" t="n">
        <x:v>1.21</x:v>
      </x:c>
      <x:c r="D10" s="20" t="n">
        <x:v>1.58</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2018-07-19</x:v>
      </x:c>
      <x:c r="B11" t="str">
        <x:v>MSFT</x:v>
      </x:c>
      <x:c r="C11" s="20" t="n">
        <x:v>-0.44</x:v>
      </x:c>
      <x:c r="D11" s="20" t="n">
        <x:v>1.89</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MSFT rebuilt from scratch under the corrected verification protocol.</x:v>
      </x:c>
    </x:row>
    <x:row r="3">
      <x:c r="A3" s="12" t="str">
        <x:v>Identity source</x:v>
      </x:c>
      <x:c r="B3" s="12" t="str">
        <x:v>Ticker/company, exact earnings dates and all return fields come from group_observations.csv.</x:v>
      </x:c>
    </x:row>
    <x:row r="4">
      <x:c r="A4" s="12" t="str">
        <x:v>Reaction basis</x:v>
      </x:c>
      <x:c r="B4" s="12" t="str">
        <x:v>Microsoft published these sampled results after the U.S. market close; ret_1daypost_pct is used for mechanical direction QA.</x:v>
      </x:c>
    </x:row>
    <x:row r="5">
      <x:c r="A5" s="12" t="str">
        <x:v>Narrative</x:v>
      </x:c>
      <x:c r="B5" s="12" t="str">
        <x:v>Short Prior Context, detailed Current Earnings Release, and three concise event-specific Possible Drivers.</x:v>
      </x:c>
    </x:row>
    <x:row r="6">
      <x:c r="A6" s="12" t="str">
        <x:v>Sources</x:v>
      </x:c>
      <x:c r="B6" s="12" t="str">
        <x:v>Microsoft Investor Relations anchors the factual record. Reaction sources were opened/verified and kept within day 0 to +3.</x:v>
      </x:c>
    </x:row>
    <x:row r="7">
      <x:c r="A7" s="12" t="str">
        <x:v>Timing</x:v>
      </x:c>
      <x:c r="B7" s="12" t="str">
        <x:v>Prior = -100..-1 days; release = day 0; reaction = day 0..+3.</x:v>
      </x:c>
    </x:row>
    <x:row r="8">
      <x:c r="A8" s="12" t="str">
        <x:v>Restrictions</x:v>
      </x:c>
      <x:c r="B8" s="12" t="str">
        <x:v>No WSJ, Reuters, Dow Jones or MarketWatch-syndicated article is included.</x:v>
      </x:c>
    </x:row>
    <x:row r="9">
      <x:c r="A9" s="12" t="str">
        <x:v>QA</x:v>
      </x:c>
      <x:c r="B9" s="12" t="str">
        <x:v>Event QA mechanically recomputes the post-release direction and checks the exact PASS source count for every event.</x:v>
      </x:c>
    </x:row>
  </x:sheetData>
  <x:pageMargins left="0.7" right="0.7" top="0.75" bottom="0.75" header="0.3" footer="0.3"/>
</x:worksheet>
</file>