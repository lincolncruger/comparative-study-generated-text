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bcae76a101542f3" /></Relationships>
</file>

<file path=xl/workbook.xml><?xml version="1.0" encoding="utf-8"?>
<x:workbook xmlns:x="http://schemas.openxmlformats.org/spreadsheetml/2006/main">
  <x:sheets>
    <x:sheet xmlns:r="http://schemas.openxmlformats.org/officeDocument/2006/relationships" name="AVGO" sheetId="1" r:id="R0c55f2c133e54874"/>
    <x:sheet xmlns:r="http://schemas.openxmlformats.org/officeDocument/2006/relationships" name="Source Audit" sheetId="2" r:id="R5db5fb721bef4e64"/>
    <x:sheet xmlns:r="http://schemas.openxmlformats.org/officeDocument/2006/relationships" name="Event QA" sheetId="3" r:id="R31dbaa7559334e73"/>
    <x:sheet xmlns:r="http://schemas.openxmlformats.org/officeDocument/2006/relationships" name="Methodology" sheetId="4" r:id="R8289c3d8b478479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6821cc617b847af" /><Relationship Type="http://schemas.openxmlformats.org/officeDocument/2006/relationships/theme" Target="/xl/theme/theme1.xml" Id="R3e4a43d4b9714c1f" /><Relationship Type="http://schemas.openxmlformats.org/officeDocument/2006/relationships/sharedStrings" Target="/xl/sharedStrings.xml" Id="R07355cb8c9254faf" /><Relationship Type="http://schemas.openxmlformats.org/officeDocument/2006/relationships/worksheet" Target="/xl/worksheets/sheet1.xml" Id="R0c55f2c133e54874" /><Relationship Type="http://schemas.openxmlformats.org/officeDocument/2006/relationships/worksheet" Target="/xl/worksheets/sheet2.xml" Id="R5db5fb721bef4e64" /><Relationship Type="http://schemas.openxmlformats.org/officeDocument/2006/relationships/worksheet" Target="/xl/worksheets/sheet3.xml" Id="R31dbaa7559334e73" /><Relationship Type="http://schemas.openxmlformats.org/officeDocument/2006/relationships/worksheet" Target="/xl/worksheets/sheet4.xml" Id="R8289c3d8b478479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4" hidden="0" customWidth="1"/>
    <x:col min="8" max="8" width="11" hidden="0" customWidth="1"/>
    <x:col min="9" max="9" width="11" hidden="0" customWidth="1"/>
    <x:col min="10" max="10" width="11" hidden="0" customWidth="1"/>
    <x:col min="11" max="11" width="20" hidden="0" customWidth="1"/>
    <x:col min="12" max="12" width="18" hidden="0" customWidth="1"/>
    <x:col min="13" max="13" width="96" hidden="0" customWidth="1"/>
    <x:col min="14" max="14" width="62" hidden="0" customWidth="1"/>
    <x:col min="15" max="15" width="62" hidden="0" customWidth="1"/>
    <x:col min="16" max="16" width="62" hidden="0" customWidth="1"/>
    <x:col min="17" max="17" width="76" hidden="0" customWidth="1"/>
    <x:col min="18" max="18" width="12" hidden="0" customWidth="1"/>
    <x:col min="19" max="19"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reaction_basis</x:v>
      </x:c>
      <x:c r="L1" s="14" t="str">
        <x:v>reaction_direction</x:v>
      </x:c>
      <x:c r="M1" s="14" t="str">
        <x:v>contextual_analysis_full</x:v>
      </x:c>
      <x:c r="N1" s="14" t="str">
        <x:v>prior_context_sources</x:v>
      </x:c>
      <x:c r="O1" s="14" t="str">
        <x:v>release_sources</x:v>
      </x:c>
      <x:c r="P1" s="14" t="str">
        <x:v>reaction_sources</x:v>
      </x:c>
      <x:c r="Q1" s="14" t="str">
        <x:v>all_sources</x:v>
      </x:c>
      <x:c r="R1" s="14" t="str">
        <x:v>source_count</x:v>
      </x:c>
      <x:c r="S1" s="14" t="str">
        <x:v>qa_status</x:v>
      </x:c>
    </x:row>
    <x:row r="2" ht="340" customHeight="1">
      <x:c r="A2" s="15" t="n">
        <x:v>0</x:v>
      </x:c>
      <x:c r="B2" s="15" t="str">
        <x:v>AVGO</x:v>
      </x:c>
      <x:c r="C2" s="15" t="str">
        <x:v>Broadcom</x:v>
      </x:c>
      <x:c r="D2" s="15" t="str">
        <x:v>2016q2</x:v>
      </x:c>
      <x:c r="E2" s="15" t="str">
        <x:v>2016-06-02</x:v>
      </x:c>
      <x:c r="F2" s="18" t="n">
        <x:v>-0.27</x:v>
      </x:c>
      <x:c r="G2" s="18" t="n">
        <x:v>5.13</x:v>
      </x:c>
      <x:c r="H2" s="18" t="n">
        <x:v>4.85</x:v>
      </x:c>
      <x:c r="I2" s="18" t="n">
        <x:v>4.88</x:v>
      </x:c>
      <x:c r="J2" s="18" t="n">
        <x:v>5.48</x:v>
      </x:c>
      <x:c r="K2" s="15" t="str">
        <x:v>ret_1daypost_pct</x:v>
      </x:c>
      <x:c r="L2" s="15" t="str">
        <x:v>UP</x:v>
      </x:c>
      <x:c r="M2" s="15" t="str">
        <x:v>## Prior Context
This was the first full quarter after Avago completed its acquisition of Broadcom Corporation and adopted the Broadcom name. Investors were testing whether the $37 billion combination could deliver synergies quickly enough to offset weak smartphone demand.
### Verified prior source
No prior source included: no page was added merely to satisfy a source-count target.
## Current Earnings Release
Broadcom reported **$3.56 billion of non-GAAP revenue** and **$2.53 of non-GAAP EPS**. EPS was above the roughly $2.38 consensus cited by contemporaneous coverage. The combined company generated **$622 million of operating cash flow**, while non-GAAP gross margin held near **60%** despite heavy acquisition accounting.
Wired infrastructure had become the largest segment and offset weaker wireless and enterprise-storage demand. Management guided fiscal Q3 non-GAAP revenue to about **$3.75 billion ± $75 million**, expecting a robust wireless rebound and continued wired strength.
### Verified release source
2016-06-02 | Broadcom | Broadcom Limited Announces Second Quarter Fiscal Year 2016 Financial Results and Interim Dividend | https://investors.broadcom.com/news-releases/news-release-details/broadcom-limited-announces-second-quarter-fiscal-year-2016
## Possible Drivers
**First-order driver.** Shares jumped because adjusted EPS beat expectations and Q3 guidance was strong.
**Second-order driver.** Early merger synergies supported margins despite acquisition-related GAAP losses.
**Third-order driver.** Wired strength reduced dependence on the weak smartphone cycle.
### Verified reaction source
2016-06-03 | Fortune | Shares of Apple Supplier Broadcom Jump Despite iPhone Sales Dip | https://fortune.com/2016/06/03/apple-supplier-broadcom-iphone-sales-dip/
## Verification Status
Included sources were checked for Broadcom/AVGO identity, the correct event, publication date, timing window and source origin. Broadcom Investor Relations is the factual anchor. No WSJ, Reuters, Dow Jones or MarketWatch-syndicated article is included.
</x:v>
      </x:c>
      <x:c r="N2" s="15" t="str">
        <x:v>None</x:v>
      </x:c>
      <x:c r="O2" s="15" t="str">
        <x:v>2016-06-02 | Broadcom | Broadcom Limited Announces Second Quarter Fiscal Year 2016 Financial Results and Interim Dividend | https://investors.broadcom.com/news-releases/news-release-details/broadcom-limited-announces-second-quarter-fiscal-year-2016</x:v>
      </x:c>
      <x:c r="P2" s="15" t="str">
        <x:v>2016-06-03 | Fortune | Shares of Apple Supplier Broadcom Jump Despite iPhone Sales Dip | https://fortune.com/2016/06/03/apple-supplier-broadcom-iphone-sales-dip/</x:v>
      </x:c>
      <x:c r="Q2" s="15" t="str">
        <x:v>2016-06-02 | Broadcom | Broadcom Limited Announces Second Quarter Fiscal Year 2016 Financial Results and Interim Dividend | https://investors.broadcom.com/news-releases/news-release-details/broadcom-limited-announces-second-quarter-fiscal-year-2016
2016-06-03 | Fortune | Shares of Apple Supplier Broadcom Jump Despite iPhone Sales Dip | https://fortune.com/2016/06/03/apple-supplier-broadcom-iphone-sales-dip/</x:v>
      </x:c>
      <x:c r="R2" s="15" t="n">
        <x:v>2</x:v>
      </x:c>
      <x:c r="S2" s="15" t="str">
        <x:v>PASS</x:v>
      </x:c>
    </x:row>
    <x:row r="3" ht="340" customHeight="1">
      <x:c r="A3" s="15" t="n">
        <x:v>1</x:v>
      </x:c>
      <x:c r="B3" s="15" t="str">
        <x:v>AVGO</x:v>
      </x:c>
      <x:c r="C3" s="15" t="str">
        <x:v>Broadcom</x:v>
      </x:c>
      <x:c r="D3" s="15" t="str">
        <x:v>2016q3</x:v>
      </x:c>
      <x:c r="E3" s="15" t="str">
        <x:v>2016-09-01</x:v>
      </x:c>
      <x:c r="F3" s="18" t="n">
        <x:v>0.3</x:v>
      </x:c>
      <x:c r="G3" s="18" t="n">
        <x:v>-2.84</x:v>
      </x:c>
      <x:c r="H3" s="18" t="n">
        <x:v>-2.54</x:v>
      </x:c>
      <x:c r="I3" s="18" t="n">
        <x:v>-2.61</x:v>
      </x:c>
      <x:c r="J3" s="18" t="n">
        <x:v>-5.38</x:v>
      </x:c>
      <x:c r="K3" s="15" t="str">
        <x:v>ret_1daypost_pct</x:v>
      </x:c>
      <x:c r="L3" s="15" t="str">
        <x:v>DOWN</x:v>
      </x:c>
      <x:c r="M3" s="15" t="str">
        <x:v>## Prior Context
After the June beat, the market expected both merger synergies and a seasonal smartphone ramp to lift earnings. Wireless content at Apple/Samsung and wired networking were the main growth variables.
### Verified prior source
2016-06-02 | Broadcom | Broadcom Limited Announces Second Quarter Fiscal Year 2016 Financial Results and Interim Dividend | https://investors.broadcom.com/news-releases/news-release-details/broadcom-limited-announces-second-quarter-fiscal-year-2016
## Current Earnings Release
Fiscal Q3 non-GAAP revenue reached about **$3.80 billion**, up 7% sequentially, and non-GAAP EPS was **$2.89**. Both topped consensus. Wireless accelerated with the premium-smartphone build, while wired infrastructure remained the largest segment. Non-GAAP gross margin improved to **60.4%**.
The less favorable detail was in set-top-box connectivity: contemporaneous coverage highlighted **supply constraints** that limited sales in that business. Broadcom's guidance was still slightly above expectations, but the stock had already risen about 22% year to date and was near record highs, leaving very little tolerance for even a small operational blemish.
### Verified release source
2016-09-01 | Broadcom | Broadcom Limited Announces Third Quarter Fiscal Year 2016 Financial Results and Interim Dividend | https://investors.broadcom.com/news-releases/news-release-details/broadcom-limited-announces-third-quarter-fiscal-year-2016
## Possible Drivers
**First-order driver.** The stock fell despite the beat because set-top supply constraints and an already-high expectations bar overshadowed the otherwise strong report.
**Second-order driver.** Wireless demand from the iPhone ramp was strong, so the selloff was not evidence of broad semiconductor weakness.
**Third-order driver.** After a large pre-earnings run, merely beating estimates was insufficient to support another rerating.
### Verified reaction source
2016-09-02 | TheStreet | Broadcom's Set-Top Issues Are Overshadowing a Big iPhone 7 Ramp | https://www.thestreet.com/investing/stocks/broadcom-s-set-top-issues-are-overshadowing-a-big-iphone-7-ramp-13692903
## Verification Status
Included sources were checked for Broadcom/AVGO identity, the correct event, publication date, timing window and source origin. Broadcom Investor Relations is the factual anchor. No WSJ, Reuters, Dow Jones or MarketWatch-syndicated article is included.
</x:v>
      </x:c>
      <x:c r="N3" s="15" t="str">
        <x:v>2016-06-02 | Broadcom | Broadcom Limited Announces Second Quarter Fiscal Year 2016 Financial Results and Interim Dividend | https://investors.broadcom.com/news-releases/news-release-details/broadcom-limited-announces-second-quarter-fiscal-year-2016</x:v>
      </x:c>
      <x:c r="O3" s="15" t="str">
        <x:v>2016-09-01 | Broadcom | Broadcom Limited Announces Third Quarter Fiscal Year 2016 Financial Results and Interim Dividend | https://investors.broadcom.com/news-releases/news-release-details/broadcom-limited-announces-third-quarter-fiscal-year-2016</x:v>
      </x:c>
      <x:c r="P3" s="15" t="str">
        <x:v>2016-09-02 | TheStreet | Broadcom's Set-Top Issues Are Overshadowing a Big iPhone 7 Ramp | https://www.thestreet.com/investing/stocks/broadcom-s-set-top-issues-are-overshadowing-a-big-iphone-7-ramp-13692903</x:v>
      </x:c>
      <x:c r="Q3" s="15" t="str">
        <x:v>2016-06-02 | Broadcom | Broadcom Limited Announces Second Quarter Fiscal Year 2016 Financial Results and Interim Dividend | https://investors.broadcom.com/news-releases/news-release-details/broadcom-limited-announces-second-quarter-fiscal-year-2016
2016-09-01 | Broadcom | Broadcom Limited Announces Third Quarter Fiscal Year 2016 Financial Results and Interim Dividend | https://investors.broadcom.com/news-releases/news-release-details/broadcom-limited-announces-third-quarter-fiscal-year-2016
2016-09-02 | TheStreet | Broadcom's Set-Top Issues Are Overshadowing a Big iPhone 7 Ramp | https://www.thestreet.com/investing/stocks/broadcom-s-set-top-issues-are-overshadowing-a-big-iphone-7-ramp-13692903</x:v>
      </x:c>
      <x:c r="R3" s="15" t="n">
        <x:v>3</x:v>
      </x:c>
      <x:c r="S3" s="15" t="str">
        <x:v>PASS</x:v>
      </x:c>
    </x:row>
    <x:row r="4" ht="340" customHeight="1">
      <x:c r="A4" s="15" t="n">
        <x:v>2</x:v>
      </x:c>
      <x:c r="B4" s="15" t="str">
        <x:v>AVGO</x:v>
      </x:c>
      <x:c r="C4" s="15" t="str">
        <x:v>Broadcom</x:v>
      </x:c>
      <x:c r="D4" s="15" t="str">
        <x:v>2016q4</x:v>
      </x:c>
      <x:c r="E4" s="15" t="str">
        <x:v>2016-12-08</x:v>
      </x:c>
      <x:c r="F4" s="18" t="n">
        <x:v>0.91</x:v>
      </x:c>
      <x:c r="G4" s="18" t="n">
        <x:v>4.52</x:v>
      </x:c>
      <x:c r="H4" s="18" t="n">
        <x:v>5.47</x:v>
      </x:c>
      <x:c r="I4" s="18" t="n">
        <x:v>6.59</x:v>
      </x:c>
      <x:c r="J4" s="18" t="n">
        <x:v>6.44</x:v>
      </x:c>
      <x:c r="K4" s="15" t="str">
        <x:v>ret_1daypost_pct</x:v>
      </x:c>
      <x:c r="L4" s="15" t="str">
        <x:v>UP</x:v>
      </x:c>
      <x:c r="M4" s="15" t="str">
        <x:v>## Prior Context
By year-end, Broadcom had already shown that integration was progressing faster than initially feared. The key question was whether margin and cash-flow gains could continue as the company scaled.
### Verified prior source
2016-09-01 | Broadcom | Broadcom Limited Announces Third Quarter Fiscal Year 2016 Financial Results and Interim Dividend | https://investors.broadcom.com/news-releases/news-release-details/broadcom-limited-announces-third-quarter-fiscal-year-2016
## Current Earnings Release
Fiscal Q4 revenue was about **$4.14 billion** and non-GAAP EPS **$3.47**, both modestly above consensus. Broadcom continued to improve its operating model after the Avago/Broadcom merger and maintained strong cash generation.
The capital-return signal was unusually important: Broadcom **doubled the quarterly dividend to $1.02**. The release also reinforced confidence in wireless, wired infrastructure and continued integration savings.
### Verified release source
2016-12-08 | Broadcom | Broadcom Limited Announces Fourth Quarter and Fiscal Year 2016 Financial Results and Interim Dividend | https://investors.broadcom.com/news-releases/news-release-details/broadcom-limited-announces-fourth-quarter-and-fiscal-year-2016
## Possible Drivers
**First-order driver.** The stock rose on an earnings/revenue beat plus a large dividend increase.
**Second-order driver.** Ongoing merger synergies supported further margin expansion.
**Third-order driver.** Wireless and wired demand broadened the growth base.
### Verified reaction source
2016-12-09 | TheStreet | Broadcom's (AVGO) Big Earnings Beat: What Wall Street's Saying | https://www.thestreet.com/investing/stocks/broadcom-s-big-earnings-beat-what-wall-street-s-saying-13920731
## Verification Status
Included sources were checked for Broadcom/AVGO identity, the correct event, publication date, timing window and source origin. Broadcom Investor Relations is the factual anchor. No WSJ, Reuters, Dow Jones or MarketWatch-syndicated article is included.
</x:v>
      </x:c>
      <x:c r="N4" s="15" t="str">
        <x:v>2016-09-01 | Broadcom | Broadcom Limited Announces Third Quarter Fiscal Year 2016 Financial Results and Interim Dividend | https://investors.broadcom.com/news-releases/news-release-details/broadcom-limited-announces-third-quarter-fiscal-year-2016</x:v>
      </x:c>
      <x:c r="O4" s="15" t="str">
        <x:v>2016-12-08 | Broadcom | Broadcom Limited Announces Fourth Quarter and Fiscal Year 2016 Financial Results and Interim Dividend | https://investors.broadcom.com/news-releases/news-release-details/broadcom-limited-announces-fourth-quarter-and-fiscal-year-2016</x:v>
      </x:c>
      <x:c r="P4" s="15" t="str">
        <x:v>2016-12-09 | TheStreet | Broadcom's (AVGO) Big Earnings Beat: What Wall Street's Saying | https://www.thestreet.com/investing/stocks/broadcom-s-big-earnings-beat-what-wall-street-s-saying-13920731</x:v>
      </x:c>
      <x:c r="Q4" s="15" t="str">
        <x:v>2016-09-01 | Broadcom | Broadcom Limited Announces Third Quarter Fiscal Year 2016 Financial Results and Interim Dividend | https://investors.broadcom.com/news-releases/news-release-details/broadcom-limited-announces-third-quarter-fiscal-year-2016
2016-12-08 | Broadcom | Broadcom Limited Announces Fourth Quarter and Fiscal Year 2016 Financial Results and Interim Dividend | https://investors.broadcom.com/news-releases/news-release-details/broadcom-limited-announces-fourth-quarter-and-fiscal-year-2016
2016-12-09 | TheStreet | Broadcom's (AVGO) Big Earnings Beat: What Wall Street's Saying | https://www.thestreet.com/investing/stocks/broadcom-s-big-earnings-beat-what-wall-street-s-saying-13920731</x:v>
      </x:c>
      <x:c r="R4" s="15" t="n">
        <x:v>3</x:v>
      </x:c>
      <x:c r="S4" s="15" t="str">
        <x:v>PASS</x:v>
      </x:c>
    </x:row>
    <x:row r="5" ht="340" customHeight="1">
      <x:c r="A5" s="15" t="n">
        <x:v>3</x:v>
      </x:c>
      <x:c r="B5" s="15" t="str">
        <x:v>AVGO</x:v>
      </x:c>
      <x:c r="C5" s="15" t="str">
        <x:v>Broadcom</x:v>
      </x:c>
      <x:c r="D5" s="15" t="str">
        <x:v>2017q1</x:v>
      </x:c>
      <x:c r="E5" s="15" t="str">
        <x:v>2017-03-01</x:v>
      </x:c>
      <x:c r="F5" s="18" t="n">
        <x:v>0.66</x:v>
      </x:c>
      <x:c r="G5" s="18" t="n">
        <x:v>1.69</x:v>
      </x:c>
      <x:c r="H5" s="18" t="n">
        <x:v>2.36</x:v>
      </x:c>
      <x:c r="I5" s="18" t="n">
        <x:v>1.7</x:v>
      </x:c>
      <x:c r="J5" s="18" t="n">
        <x:v>2.3</x:v>
      </x:c>
      <x:c r="K5" s="15" t="str">
        <x:v>ret_1daypost_pct</x:v>
      </x:c>
      <x:c r="L5" s="15" t="str">
        <x:v>UP</x:v>
      </x:c>
      <x:c r="M5" s="15" t="str">
        <x:v>## Prior Context
With the integration story largely accepted, investors were shifting attention toward organic growth. The main question was whether Broadcom could sustain strong earnings through normal early-year smartphone seasonality.
### Verified prior source
2016-12-08 | Broadcom | Broadcom Limited Announces Fourth Quarter and Fiscal Year 2016 Financial Results and Interim Dividend | https://investors.broadcom.com/news-releases/news-release-details/broadcom-limited-announces-fourth-quarter-and-fiscal-year-2016
## Current Earnings Release
Fiscal Q1 non-GAAP revenue was about **$4.15 billion** and non-GAAP EPS **$3.63**, up from $2.41 a year earlier. Wireless declined sequentially with seasonality, but enterprise storage improved and overall margins remained strong.
Management emphasized continued data-center/networking demand and framed the business around **double-digit organic growth**. The report suggested the earnings story was moving beyond merger cost cuts toward underlying portfolio growth.
### Verified release source
2017-03-01 | Broadcom | Broadcom Limited Announces First Quarter Fiscal Year 2017 Financial Results and Interim Dividend | https://investors.broadcom.com/news-releases/news-release-details/broadcom-limited-announces-first-quarter-fiscal-year-2017
## Possible Drivers
**First-order driver.** Strong earnings and an organic-growth outlook supported the positive reaction.
**Second-order driver.** Data-center and storage demand offset normal wireless seasonality.
**Third-order driver.** The thesis was shifting from cost synergies toward organic growth.
### Verified reaction source
2017-03-02 | Fox Business / Motley Fool | Broadcom Guides for Double-Digit Organic Revenue Growth | https://www.foxbusiness.com/markets/broadcom-guides-for-double-digit-organic-revenue-growth
## Verification Status
Included sources were checked for Broadcom/AVGO identity, the correct event, publication date, timing window and source origin. Broadcom Investor Relations is the factual anchor. No WSJ, Reuters, Dow Jones or MarketWatch-syndicated article is included.
</x:v>
      </x:c>
      <x:c r="N5" s="15" t="str">
        <x:v>2016-12-08 | Broadcom | Broadcom Limited Announces Fourth Quarter and Fiscal Year 2016 Financial Results and Interim Dividend | https://investors.broadcom.com/news-releases/news-release-details/broadcom-limited-announces-fourth-quarter-and-fiscal-year-2016</x:v>
      </x:c>
      <x:c r="O5" s="15" t="str">
        <x:v>2017-03-01 | Broadcom | Broadcom Limited Announces First Quarter Fiscal Year 2017 Financial Results and Interim Dividend | https://investors.broadcom.com/news-releases/news-release-details/broadcom-limited-announces-first-quarter-fiscal-year-2017</x:v>
      </x:c>
      <x:c r="P5" s="15" t="str">
        <x:v>2017-03-02 | Fox Business / Motley Fool | Broadcom Guides for Double-Digit Organic Revenue Growth | https://www.foxbusiness.com/markets/broadcom-guides-for-double-digit-organic-revenue-growth</x:v>
      </x:c>
      <x:c r="Q5" s="15" t="str">
        <x:v>2016-12-08 | Broadcom | Broadcom Limited Announces Fourth Quarter and Fiscal Year 2016 Financial Results and Interim Dividend | https://investors.broadcom.com/news-releases/news-release-details/broadcom-limited-announces-fourth-quarter-and-fiscal-year-2016
2017-03-01 | Broadcom | Broadcom Limited Announces First Quarter Fiscal Year 2017 Financial Results and Interim Dividend | https://investors.broadcom.com/news-releases/news-release-details/broadcom-limited-announces-first-quarter-fiscal-year-2017
2017-03-02 | Fox Business / Motley Fool | Broadcom Guides for Double-Digit Organic Revenue Growth | https://www.foxbusiness.com/markets/broadcom-guides-for-double-digit-organic-revenue-growth</x:v>
      </x:c>
      <x:c r="R5" s="15" t="n">
        <x:v>3</x:v>
      </x:c>
      <x:c r="S5" s="15" t="str">
        <x:v>PASS</x:v>
      </x:c>
    </x:row>
    <x:row r="6" ht="340" customHeight="1">
      <x:c r="A6" s="15" t="n">
        <x:v>4</x:v>
      </x:c>
      <x:c r="B6" s="15" t="str">
        <x:v>AVGO</x:v>
      </x:c>
      <x:c r="C6" s="15" t="str">
        <x:v>Broadcom</x:v>
      </x:c>
      <x:c r="D6" s="15" t="str">
        <x:v>2017q2</x:v>
      </x:c>
      <x:c r="E6" s="15" t="str">
        <x:v>2017-06-01</x:v>
      </x:c>
      <x:c r="F6" s="18" t="n">
        <x:v>-2.95</x:v>
      </x:c>
      <x:c r="G6" s="18" t="n">
        <x:v>8.15</x:v>
      </x:c>
      <x:c r="H6" s="18" t="n">
        <x:v>4.96</x:v>
      </x:c>
      <x:c r="I6" s="18" t="n">
        <x:v>4.85</x:v>
      </x:c>
      <x:c r="J6" s="18" t="n">
        <x:v>4.99</x:v>
      </x:c>
      <x:c r="K6" s="15" t="str">
        <x:v>ret_1daypost_pct</x:v>
      </x:c>
      <x:c r="L6" s="15" t="str">
        <x:v>UP</x:v>
      </x:c>
      <x:c r="M6" s="15" t="str">
        <x:v>## Prior Context
Broadcom entered Q2 with high expectations for data-center networking and the second-half smartphone ramp. Investors also expected further gross-margin expansion.
### Verified prior source
2017-03-01 | Broadcom | Broadcom Limited Announces First Quarter Fiscal Year 2017 Financial Results and Interim Dividend | https://investors.broadcom.com/news-releases/news-release-details/broadcom-limited-announces-first-quarter-fiscal-year-2017
## Current Earnings Release
Fiscal Q2 revenue was about **$4.20 billion**, up 18% year over year, and non-GAAP EPS reached **$3.69**. Both beat consensus; contemporaneous coverage cited expectations near $4.11 billion of revenue and $3.50 EPS. Non-GAAP gross margin was **63.1%**.
Broadcom guided fiscal Q3 revenue to roughly **$4.38–$4.50 billion**, above consensus around $4.27 billion, with wired growth and a seasonal wireless ramp expected to drive the increase.
### Verified release source
2017-06-01 | Broadcom | Broadcom Limited Announces Second Quarter Fiscal Year 2017 Financial Results and Interim Dividend | https://investors.broadcom.com/news-releases/news-release-details/broadcom-limited-announces-second-quarter-fiscal-year-2017
## Possible Drivers
**First-order driver.** Shares surged because Broadcom beat revenue/EPS expectations and guided above consensus.
**Second-order driver.** Gross-margin expansion showed strong operating leverage.
**Third-order driver.** Data-center demand and the coming smartphone ramp provided two growth catalysts.
### Verified reaction source
2017-06-02 | TheStreet | Broadcom Shares Pop on Strong 2Q Results: What Wall Street's Saying | https://www.thestreet.com/investing/stocks/broadcom-shares-pop-on-strong-q2-results-what-wall-street-s-saying-14160335
## Verification Status
Included sources were checked for Broadcom/AVGO identity, the correct event, publication date, timing window and source origin. Broadcom Investor Relations is the factual anchor. No WSJ, Reuters, Dow Jones or MarketWatch-syndicated article is included.
</x:v>
      </x:c>
      <x:c r="N6" s="15" t="str">
        <x:v>2017-03-01 | Broadcom | Broadcom Limited Announces First Quarter Fiscal Year 2017 Financial Results and Interim Dividend | https://investors.broadcom.com/news-releases/news-release-details/broadcom-limited-announces-first-quarter-fiscal-year-2017</x:v>
      </x:c>
      <x:c r="O6" s="15" t="str">
        <x:v>2017-06-01 | Broadcom | Broadcom Limited Announces Second Quarter Fiscal Year 2017 Financial Results and Interim Dividend | https://investors.broadcom.com/news-releases/news-release-details/broadcom-limited-announces-second-quarter-fiscal-year-2017</x:v>
      </x:c>
      <x:c r="P6" s="15" t="str">
        <x:v>2017-06-02 | TheStreet | Broadcom Shares Pop on Strong 2Q Results: What Wall Street's Saying | https://www.thestreet.com/investing/stocks/broadcom-shares-pop-on-strong-q2-results-what-wall-street-s-saying-14160335</x:v>
      </x:c>
      <x:c r="Q6" s="15" t="str">
        <x:v>2017-03-01 | Broadcom | Broadcom Limited Announces First Quarter Fiscal Year 2017 Financial Results and Interim Dividend | https://investors.broadcom.com/news-releases/news-release-details/broadcom-limited-announces-first-quarter-fiscal-year-2017
2017-06-01 | Broadcom | Broadcom Limited Announces Second Quarter Fiscal Year 2017 Financial Results and Interim Dividend | https://investors.broadcom.com/news-releases/news-release-details/broadcom-limited-announces-second-quarter-fiscal-year-2017
2017-06-02 | TheStreet | Broadcom Shares Pop on Strong 2Q Results: What Wall Street's Saying | https://www.thestreet.com/investing/stocks/broadcom-shares-pop-on-strong-q2-results-what-wall-street-s-saying-14160335</x:v>
      </x:c>
      <x:c r="R6" s="15" t="n">
        <x:v>3</x:v>
      </x:c>
      <x:c r="S6" s="15" t="str">
        <x:v>PASS</x:v>
      </x:c>
    </x:row>
    <x:row r="7" ht="340" customHeight="1">
      <x:c r="A7" s="15" t="n">
        <x:v>5</x:v>
      </x:c>
      <x:c r="B7" s="15" t="str">
        <x:v>AVGO</x:v>
      </x:c>
      <x:c r="C7" s="15" t="str">
        <x:v>Broadcom</x:v>
      </x:c>
      <x:c r="D7" s="15" t="str">
        <x:v>2017q3</x:v>
      </x:c>
      <x:c r="E7" s="15" t="str">
        <x:v>2017-08-24</x:v>
      </x:c>
      <x:c r="F7" s="18" t="n">
        <x:v>-0.61</x:v>
      </x:c>
      <x:c r="G7" s="18" t="n">
        <x:v>-3.91</x:v>
      </x:c>
      <x:c r="H7" s="18" t="n">
        <x:v>-4.5</x:v>
      </x:c>
      <x:c r="I7" s="18" t="n">
        <x:v>-3.67</x:v>
      </x:c>
      <x:c r="J7" s="18" t="n">
        <x:v>-5.28</x:v>
      </x:c>
      <x:c r="K7" s="15" t="str">
        <x:v>ret_1daypost_pct</x:v>
      </x:c>
      <x:c r="L7" s="15" t="str">
        <x:v>DOWN</x:v>
      </x:c>
      <x:c r="M7" s="15" t="str">
        <x:v>## Prior Context
The stock had rallied strongly into the quarter, and investors widely expected a large guidance raise from the upcoming iPhone 8/X production ramp. The expectations bar was therefore unusually high.
### Verified prior source
2017-06-01 | Broadcom | Broadcom Limited Announces Second Quarter Fiscal Year 2017 Financial Results and Interim Dividend | https://investors.broadcom.com/news-releases/news-release-details/broadcom-limited-announces-second-quarter-fiscal-year-2017
## Current Earnings Release
Fiscal Q3 revenue rose to about **$4.46 billion**, up 18% year over year, and non-GAAP EPS reached **$4.10**. Wireless revenue increased 12% sequentially and 27% year over year as premium-smartphone production accelerated.
The reported quarter was strong. The issue was fiscal Q4 guidance: it was positive, but not sufficiently above the aggressive expectations already embedded in the stock around Apple’s new-phone cycle.
### Verified release source
2017-08-24 | Broadcom | Broadcom Limited Announces Third Quarter Fiscal Year 2017 Financial Results | https://investors.broadcom.com/news-releases/news-release-details/broadcom-limited-announces-third-quarter-fiscal-year-2017-0
## Possible Drivers
**First-order driver.** Shares fell because guidance did not clear very high iPhone-ramp expectations.
**Second-order driver.** Current wireless demand was strong; this was an expectations problem, not a weak quarter.
**Third-order driver.** AVGO had become increasingly sensitive to incremental Apple-content assumptions.
### Verified reaction source
2017-08-25 | InvestorPlace | Broadcom Ltd (AVGO): Selling the News Works for Me | https://investorplace.com/2017/08/broadcom-ltd-avgo-selling-the-news-works-for-me/
## Verification Status
Included sources were checked for Broadcom/AVGO identity, the correct event, publication date, timing window and source origin. Broadcom Investor Relations is the factual anchor. No WSJ, Reuters, Dow Jones or MarketWatch-syndicated article is included.
</x:v>
      </x:c>
      <x:c r="N7" s="15" t="str">
        <x:v>2017-06-01 | Broadcom | Broadcom Limited Announces Second Quarter Fiscal Year 2017 Financial Results and Interim Dividend | https://investors.broadcom.com/news-releases/news-release-details/broadcom-limited-announces-second-quarter-fiscal-year-2017</x:v>
      </x:c>
      <x:c r="O7" s="15" t="str">
        <x:v>2017-08-24 | Broadcom | Broadcom Limited Announces Third Quarter Fiscal Year 2017 Financial Results | https://investors.broadcom.com/news-releases/news-release-details/broadcom-limited-announces-third-quarter-fiscal-year-2017-0</x:v>
      </x:c>
      <x:c r="P7" s="15" t="str">
        <x:v>2017-08-25 | InvestorPlace | Broadcom Ltd (AVGO): Selling the News Works for Me | https://investorplace.com/2017/08/broadcom-ltd-avgo-selling-the-news-works-for-me/</x:v>
      </x:c>
      <x:c r="Q7" s="15" t="str">
        <x:v>2017-06-01 | Broadcom | Broadcom Limited Announces Second Quarter Fiscal Year 2017 Financial Results and Interim Dividend | https://investors.broadcom.com/news-releases/news-release-details/broadcom-limited-announces-second-quarter-fiscal-year-2017
2017-08-24 | Broadcom | Broadcom Limited Announces Third Quarter Fiscal Year 2017 Financial Results | https://investors.broadcom.com/news-releases/news-release-details/broadcom-limited-announces-third-quarter-fiscal-year-2017-0
2017-08-25 | InvestorPlace | Broadcom Ltd (AVGO): Selling the News Works for Me | https://investorplace.com/2017/08/broadcom-ltd-avgo-selling-the-news-works-for-me/</x:v>
      </x:c>
      <x:c r="R7" s="15" t="n">
        <x:v>3</x:v>
      </x:c>
      <x:c r="S7" s="15" t="str">
        <x:v>PASS</x:v>
      </x:c>
    </x:row>
    <x:row r="8" ht="340" customHeight="1">
      <x:c r="A8" s="15" t="n">
        <x:v>6</x:v>
      </x:c>
      <x:c r="B8" s="15" t="str">
        <x:v>AVGO</x:v>
      </x:c>
      <x:c r="C8" s="15" t="str">
        <x:v>Broadcom</x:v>
      </x:c>
      <x:c r="D8" s="15" t="str">
        <x:v>2017q4</x:v>
      </x:c>
      <x:c r="E8" s="15" t="str">
        <x:v>2017-12-06</x:v>
      </x:c>
      <x:c r="F8" s="18" t="n">
        <x:v>0.99</x:v>
      </x:c>
      <x:c r="G8" s="18" t="n">
        <x:v>-0.4</x:v>
      </x:c>
      <x:c r="H8" s="18" t="n">
        <x:v>0.59</x:v>
      </x:c>
      <x:c r="I8" s="18" t="n">
        <x:v>0.26</x:v>
      </x:c>
      <x:c r="J8" s="18" t="n">
        <x:v>-2.02</x:v>
      </x:c>
      <x:c r="K8" s="15" t="str">
        <x:v>ret_1daypost_pct</x:v>
      </x:c>
      <x:c r="L8" s="15" t="str">
        <x:v>DOWN</x:v>
      </x:c>
      <x:c r="M8" s="15" t="str">
        <x:v>## Prior Context
The earnings report came while Broadcom was pursuing a $130 billion proposal for Qualcomm and shortly after closing Brocade. Investors were balancing acquisition risk with very strong iPhone X and data-center demand.
### Verified prior source
2017-11-06 | Broadcom | Broadcom Proposes to Acquire Qualcomm for $70.00 per Share in Cash and Stock in Transaction Valued at $130 Billion | https://investors.broadcom.com/news-releases/news-release-details/broadcom-proposes-acquire-qualcomm-7000-share-cash-and-stock-0
## Current Earnings Release
Fiscal Q4 revenue was **$4.84 billion** and non-GAAP EPS **$4.59**, both above consensus. Broadcom guided fiscal Q1 revenue to about **$5.3 billion**, well above pre-report expectations even allowing for a partial Brocade contribution.
Broadcom also raised the quarterly dividend **72% to $1.75** and increased its long-term free-cash-flow target to **40% of revenue**. The report was fundamentally strong and shares initially opened sharply higher the next morning, but that rally faded during the session and the stock finished modestly lower in the supplied return series.
### Verified release source
2017-12-06 | Broadcom | Broadcom Limited Announces Fourth Quarter and Fiscal Year 2017 Financial Results and Interim Dividend | https://investors.broadcom.com/news-releases/news-release-details/broadcom-limited-announces-fourth-quarter-and-fiscal-year-2017-0
## Possible Drivers
**First-order driver.** The full-session reaction was slightly negative because investors sold the initial post-earnings rally despite a strong beat and guide.
**Second-order driver.** iPhone X and data-center demand supported fundamentals, so the reversal was not driven by a weak operating print.
**Third-order driver.** The large Qualcomm bid and the stock's prior run likely increased sensitivity to valuation and positioning.
### Verified reaction source
2017-12-07 | TheStreet Pro | Broadcom Traders Need to Remain Cautious as Rallies Get Sold | https://pro.thestreet.com/investing/broadcom-traders-need-remain-cautious-rallies-get-sold
## Verification Status
Included sources were checked for Broadcom/AVGO identity, the correct event, publication date, timing window and source origin. Broadcom Investor Relations is the factual anchor. No WSJ, Reuters, Dow Jones or MarketWatch-syndicated article is included.
</x:v>
      </x:c>
      <x:c r="N8" s="15" t="str">
        <x:v>2017-11-06 | Broadcom | Broadcom Proposes to Acquire Qualcomm for $70.00 per Share in Cash and Stock in Transaction Valued at $130 Billion | https://investors.broadcom.com/news-releases/news-release-details/broadcom-proposes-acquire-qualcomm-7000-share-cash-and-stock-0</x:v>
      </x:c>
      <x:c r="O8" s="15" t="str">
        <x:v>2017-12-06 | Broadcom | Broadcom Limited Announces Fourth Quarter and Fiscal Year 2017 Financial Results and Interim Dividend | https://investors.broadcom.com/news-releases/news-release-details/broadcom-limited-announces-fourth-quarter-and-fiscal-year-2017-0</x:v>
      </x:c>
      <x:c r="P8" s="15" t="str">
        <x:v>2017-12-07 | TheStreet Pro | Broadcom Traders Need to Remain Cautious as Rallies Get Sold | https://pro.thestreet.com/investing/broadcom-traders-need-remain-cautious-rallies-get-sold</x:v>
      </x:c>
      <x:c r="Q8" s="15" t="str">
        <x:v>2017-11-06 | Broadcom | Broadcom Proposes to Acquire Qualcomm for $70.00 per Share in Cash and Stock in Transaction Valued at $130 Billion | https://investors.broadcom.com/news-releases/news-release-details/broadcom-proposes-acquire-qualcomm-7000-share-cash-and-stock-0
2017-12-06 | Broadcom | Broadcom Limited Announces Fourth Quarter and Fiscal Year 2017 Financial Results and Interim Dividend | https://investors.broadcom.com/news-releases/news-release-details/broadcom-limited-announces-fourth-quarter-and-fiscal-year-2017-0
2017-12-07 | TheStreet Pro | Broadcom Traders Need to Remain Cautious as Rallies Get Sold | https://pro.thestreet.com/investing/broadcom-traders-need-remain-cautious-rallies-get-sold</x:v>
      </x:c>
      <x:c r="R8" s="15" t="n">
        <x:v>3</x:v>
      </x:c>
      <x:c r="S8" s="15" t="str">
        <x:v>PASS</x:v>
      </x:c>
    </x:row>
    <x:row r="9" ht="340" customHeight="1">
      <x:c r="A9" s="15" t="n">
        <x:v>7</x:v>
      </x:c>
      <x:c r="B9" s="15" t="str">
        <x:v>AVGO</x:v>
      </x:c>
      <x:c r="C9" s="15" t="str">
        <x:v>Broadcom</x:v>
      </x:c>
      <x:c r="D9" s="15" t="str">
        <x:v>2018q1</x:v>
      </x:c>
      <x:c r="E9" s="15" t="str">
        <x:v>2018-03-15</x:v>
      </x:c>
      <x:c r="F9" s="18" t="n">
        <x:v>2.97</x:v>
      </x:c>
      <x:c r="G9" s="18" t="n">
        <x:v>-5.06</x:v>
      </x:c>
      <x:c r="H9" s="18" t="n">
        <x:v>-2.24</x:v>
      </x:c>
      <x:c r="I9" s="18" t="n">
        <x:v>-2.02</x:v>
      </x:c>
      <x:c r="J9" s="18" t="n">
        <x:v>-5.71</x:v>
      </x:c>
      <x:c r="K9" s="15" t="str">
        <x:v>ret_1daypost_pct</x:v>
      </x:c>
      <x:c r="L9" s="15" t="str">
        <x:v>DOWN</x:v>
      </x:c>
      <x:c r="M9" s="15" t="str">
        <x:v>## Prior Context
Days before earnings, the U.S. government blocked Broadcom’s proposed Qualcomm acquisition. That abruptly removed a major M&amp;A catalyst and changed the context of the earnings event.
### Verified prior source
2017-12-06 | Broadcom | Broadcom Limited Announces Fourth Quarter and Fiscal Year 2017 Financial Results and Interim Dividend | https://investors.broadcom.com/news-releases/news-release-details/broadcom-limited-announces-fourth-quarter-and-fiscal-year-2017-0
## Current Earnings Release
Fiscal Q1 non-GAAP revenue was **$5.33 billion**, up 28% year over year, and non-GAAP EPS was **$5.12**. Wireless revenue surged **88% year over year** to $2.21 billion, helped by the delayed iPhone X cycle, while Brocade boosted enterprise storage. Non-GAAP operating margin expanded to **48.2%**.
Broadcom guided Q2 revenue to about **$5.0 billion**, expecting data-center and storage strength to offset a sharp seasonal wireless decline. The operating report itself was strong, but investors were simultaneously repricing Broadcom after the failed Qualcomm bid.
### Verified release source
2018-03-15 | Broadcom | Broadcom Limited Announces First Quarter Fiscal Year 2018 Financial Results and Interim Dividend | https://investors.broadcom.com/news-releases/news-release-details/broadcom-limited-announces-first-quarter-fiscal-year-2018-0
## Possible Drivers
**First-order driver.** The decline was mainly an M&amp;A/expectations reset despite strong earnings.
**Second-order driver.** iPhone-driven wireless strength was expected to reverse seasonally in Q2.
**Third-order driver.** Data-center and Brocade storage demand kept the core outlook healthy.
### Verified reaction source
2018-03-16 | TheStreet Pro | Broadcom Shares Pressured After Latest Results | https://pro.thestreet.com/portfolio/broadcom-shares-pressured-after-latest-results
## Verification Status
Included sources were checked for Broadcom/AVGO identity, the correct event, publication date, timing window and source origin. Broadcom Investor Relations is the factual anchor. No WSJ, Reuters, Dow Jones or MarketWatch-syndicated article is included.
</x:v>
      </x:c>
      <x:c r="N9" s="15" t="str">
        <x:v>2017-12-06 | Broadcom | Broadcom Limited Announces Fourth Quarter and Fiscal Year 2017 Financial Results and Interim Dividend | https://investors.broadcom.com/news-releases/news-release-details/broadcom-limited-announces-fourth-quarter-and-fiscal-year-2017-0</x:v>
      </x:c>
      <x:c r="O9" s="15" t="str">
        <x:v>2018-03-15 | Broadcom | Broadcom Limited Announces First Quarter Fiscal Year 2018 Financial Results and Interim Dividend | https://investors.broadcom.com/news-releases/news-release-details/broadcom-limited-announces-first-quarter-fiscal-year-2018-0</x:v>
      </x:c>
      <x:c r="P9" s="15" t="str">
        <x:v>2018-03-16 | TheStreet Pro | Broadcom Shares Pressured After Latest Results | https://pro.thestreet.com/portfolio/broadcom-shares-pressured-after-latest-results</x:v>
      </x:c>
      <x:c r="Q9" s="15" t="str">
        <x:v>2017-12-06 | Broadcom | Broadcom Limited Announces Fourth Quarter and Fiscal Year 2017 Financial Results and Interim Dividend | https://investors.broadcom.com/news-releases/news-release-details/broadcom-limited-announces-fourth-quarter-and-fiscal-year-2017-0
2018-03-15 | Broadcom | Broadcom Limited Announces First Quarter Fiscal Year 2018 Financial Results and Interim Dividend | https://investors.broadcom.com/news-releases/news-release-details/broadcom-limited-announces-first-quarter-fiscal-year-2018-0
2018-03-16 | TheStreet Pro | Broadcom Shares Pressured After Latest Results | https://pro.thestreet.com/portfolio/broadcom-shares-pressured-after-latest-results</x:v>
      </x:c>
      <x:c r="R9" s="15" t="n">
        <x:v>3</x:v>
      </x:c>
      <x:c r="S9" s="15" t="str">
        <x:v>PASS</x:v>
      </x:c>
    </x:row>
    <x:row r="10" ht="340" customHeight="1">
      <x:c r="A10" s="15" t="n">
        <x:v>8</x:v>
      </x:c>
      <x:c r="B10" s="15" t="str">
        <x:v>AVGO</x:v>
      </x:c>
      <x:c r="C10" s="15" t="str">
        <x:v>Broadcom</x:v>
      </x:c>
      <x:c r="D10" s="15" t="str">
        <x:v>2018q2</x:v>
      </x:c>
      <x:c r="E10" s="15" t="str">
        <x:v>2018-06-07</x:v>
      </x:c>
      <x:c r="F10" s="18" t="n">
        <x:v>0.55</x:v>
      </x:c>
      <x:c r="G10" s="18" t="n">
        <x:v>-2.83</x:v>
      </x:c>
      <x:c r="H10" s="18" t="n">
        <x:v>-2.3</x:v>
      </x:c>
      <x:c r="I10" s="18" t="n">
        <x:v>-1.47</x:v>
      </x:c>
      <x:c r="J10" s="18" t="n">
        <x:v>-0.49</x:v>
      </x:c>
      <x:c r="K10" s="15" t="str">
        <x:v>ret_1daypost_pct</x:v>
      </x:c>
      <x:c r="L10" s="15" t="str">
        <x:v>DOWN</x:v>
      </x:c>
      <x:c r="M10" s="15" t="str">
        <x:v>## Prior Context
After Qualcomm, Broadcom’s thesis shifted toward organic cash generation and smaller acquisitions. Investors wanted data-center growth to offset the seasonal decline in Apple-related wireless revenue.
### Verified prior source
2018-03-15 | Broadcom | Broadcom Limited Announces First Quarter Fiscal Year 2018 Financial Results and Interim Dividend | https://investors.broadcom.com/news-releases/news-release-details/broadcom-limited-announces-first-quarter-fiscal-year-2018-0
## Current Earnings Release
Fiscal Q2 non-GAAP revenue was **$5.02 billion**, up 19% year over year, and non-GAAP EPS was **$4.88**. Non-GAAP gross margin reached a record **66.6%**, while free cash flow was **$2.12 billion**, roughly **42% of revenue**.
Wired infrastructure revenue rose strongly while wireless declined seasonally. Broadcom also repurchased **$1.5 billion of stock** in the six weeks through June 1. The quarter demonstrated exceptional margin and cash conversion despite a sequential revenue decline.
### Verified release source
2018-06-07 | Broadcom | Broadcom Inc. Announces Second Quarter Fiscal Year 2018 Financial Results and Quarterly Dividend | https://investors.broadcom.com/news-releases/news-release-details/broadcom-inc-announces-second-quarter-fiscal-year-2018-0
## Possible Drivers
**First-order driver.** The stock weakened despite upbeat results as investors focused on the slower near-term growth mix.
**Second-order driver.** Record gross margin and 42% FCF conversion showed very strong operating quality.
**Third-order driver.** Wired/data-center growth cushioned but did not eliminate wireless-seasonality concerns.
### Verified reaction source
2018-06-08 | Benzinga | 7 Stocks To Watch For June 8, 2018 | https://www.benzinga.com/news/earnings/18/06/11851263/7-stocks-to-watch-for-june-8-2018
## Verification Status
Included sources were checked for Broadcom/AVGO identity, the correct event, publication date, timing window and source origin. Broadcom Investor Relations is the factual anchor. No WSJ, Reuters, Dow Jones or MarketWatch-syndicated article is included.
</x:v>
      </x:c>
      <x:c r="N10" s="15" t="str">
        <x:v>2018-03-15 | Broadcom | Broadcom Limited Announces First Quarter Fiscal Year 2018 Financial Results and Interim Dividend | https://investors.broadcom.com/news-releases/news-release-details/broadcom-limited-announces-first-quarter-fiscal-year-2018-0</x:v>
      </x:c>
      <x:c r="O10" s="15" t="str">
        <x:v>2018-06-07 | Broadcom | Broadcom Inc. Announces Second Quarter Fiscal Year 2018 Financial Results and Quarterly Dividend | https://investors.broadcom.com/news-releases/news-release-details/broadcom-inc-announces-second-quarter-fiscal-year-2018-0</x:v>
      </x:c>
      <x:c r="P10" s="15" t="str">
        <x:v>2018-06-08 | Benzinga | 7 Stocks To Watch For June 8, 2018 | https://www.benzinga.com/news/earnings/18/06/11851263/7-stocks-to-watch-for-june-8-2018</x:v>
      </x:c>
      <x:c r="Q10" s="15" t="str">
        <x:v>2018-03-15 | Broadcom | Broadcom Limited Announces First Quarter Fiscal Year 2018 Financial Results and Interim Dividend | https://investors.broadcom.com/news-releases/news-release-details/broadcom-limited-announces-first-quarter-fiscal-year-2018-0
2018-06-07 | Broadcom | Broadcom Inc. Announces Second Quarter Fiscal Year 2018 Financial Results and Quarterly Dividend | https://investors.broadcom.com/news-releases/news-release-details/broadcom-inc-announces-second-quarter-fiscal-year-2018-0
2018-06-08 | Benzinga | 7 Stocks To Watch For June 8, 2018 | https://www.benzinga.com/news/earnings/18/06/11851263/7-stocks-to-watch-for-june-8-2018</x:v>
      </x:c>
      <x:c r="R10" s="15" t="n">
        <x:v>3</x:v>
      </x:c>
      <x:c r="S10" s="15" t="str">
        <x:v>PASS</x:v>
      </x:c>
    </x:row>
    <x:row r="11" ht="340" customHeight="1">
      <x:c r="A11" s="15" t="n">
        <x:v>9</x:v>
      </x:c>
      <x:c r="B11" s="15" t="str">
        <x:v>AVGO</x:v>
      </x:c>
      <x:c r="C11" s="15" t="str">
        <x:v>Broadcom</x:v>
      </x:c>
      <x:c r="D11" s="15" t="str">
        <x:v>2018q3</x:v>
      </x:c>
      <x:c r="E11" s="15" t="str">
        <x:v>2018-09-06</x:v>
      </x:c>
      <x:c r="F11" s="18" t="n">
        <x:v>-2.06</x:v>
      </x:c>
      <x:c r="G11" s="18" t="n">
        <x:v>7.93</x:v>
      </x:c>
      <x:c r="H11" s="18" t="n">
        <x:v>5.7</x:v>
      </x:c>
      <x:c r="I11" s="18" t="n">
        <x:v>7.03</x:v>
      </x:c>
      <x:c r="J11" s="18" t="n">
        <x:v>6.42</x:v>
      </x:c>
      <x:c r="K11" s="15" t="str">
        <x:v>ret_1daypost_pct</x:v>
      </x:c>
      <x:c r="L11" s="15" t="str">
        <x:v>UP</x:v>
      </x:c>
      <x:c r="M11" s="15" t="str">
        <x:v>## Prior Context
In July, Broadcom agreed to acquire CA Technologies, surprising investors by expanding from semiconductors into enterprise software. Q3 therefore tested whether the core chip business remained healthy during that strategic shift.
### Verified prior source
2018-06-07 | Broadcom | Broadcom Inc. Announces Second Quarter Fiscal Year 2018 Financial Results and Quarterly Dividend | https://investors.broadcom.com/news-releases/news-release-details/broadcom-inc-announces-second-quarter-fiscal-year-2018-0
## Current Earnings Release
Fiscal Q3 revenue rose **13% to $5.06 billion** and non-GAAP EPS increased **21% to $4.98**. Free cash flow again exceeded **$2.1 billion**. Management said data-center demand was driving strong growth across more than half of consolidated revenue, while wireless was comparatively weak.
The Q4 outlook remained solid despite lower expected wireless revenue. The result reassured investors that data-center networking and storage remained strong as Broadcom prepared to integrate CA Technologies.
### Verified release source
2018-09-06 | Broadcom | Broadcom Inc. Announces Third Quarter Fiscal Year 2018 Financial Results and Quarterly Dividend | https://investors.broadcom.com/news-releases/news-release-details/broadcom-inc-announces-third-quarter-fiscal-year-2018-financial
## Possible Drivers
**First-order driver.** Shares jumped because earnings, cash flow and data-center demand were stronger than feared.
**Second-order driver.** Growth was shifting toward data-center networking and storage rather than smartphones.
**Third-order driver.** Strong core results reduced concern that the CA deal reflected semiconductor weakness.
### Verified reaction source
2018-09-07 | The Motley Fool | Why Barnes &amp; Noble, Five Below, and Broadcom Jumped Today | https://www.fool.com/investing/2018/09/07/why-barnes-noble-five-below-and-broadcom-jumped-to.aspx
## Verification Status
Included sources were checked for Broadcom/AVGO identity, the correct event, publication date, timing window and source origin. Broadcom Investor Relations is the factual anchor. No WSJ, Reuters, Dow Jones or MarketWatch-syndicated article is included.
</x:v>
      </x:c>
      <x:c r="N11" s="15" t="str">
        <x:v>2018-06-07 | Broadcom | Broadcom Inc. Announces Second Quarter Fiscal Year 2018 Financial Results and Quarterly Dividend | https://investors.broadcom.com/news-releases/news-release-details/broadcom-inc-announces-second-quarter-fiscal-year-2018-0</x:v>
      </x:c>
      <x:c r="O11" s="15" t="str">
        <x:v>2018-09-06 | Broadcom | Broadcom Inc. Announces Third Quarter Fiscal Year 2018 Financial Results and Quarterly Dividend | https://investors.broadcom.com/news-releases/news-release-details/broadcom-inc-announces-third-quarter-fiscal-year-2018-financial</x:v>
      </x:c>
      <x:c r="P11" s="15" t="str">
        <x:v>2018-09-07 | The Motley Fool | Why Barnes &amp; Noble, Five Below, and Broadcom Jumped Today | https://www.fool.com/investing/2018/09/07/why-barnes-noble-five-below-and-broadcom-jumped-to.aspx</x:v>
      </x:c>
      <x:c r="Q11" s="15" t="str">
        <x:v>2018-06-07 | Broadcom | Broadcom Inc. Announces Second Quarter Fiscal Year 2018 Financial Results and Quarterly Dividend | https://investors.broadcom.com/news-releases/news-release-details/broadcom-inc-announces-second-quarter-fiscal-year-2018-0
2018-09-06 | Broadcom | Broadcom Inc. Announces Third Quarter Fiscal Year 2018 Financial Results and Quarterly Dividend | https://investors.broadcom.com/news-releases/news-release-details/broadcom-inc-announces-third-quarter-fiscal-year-2018-financial
2018-09-07 | The Motley Fool | Why Barnes &amp; Noble, Five Below, and Broadcom Jumped Today | https://www.fool.com/investing/2018/09/07/why-barnes-noble-five-below-and-broadcom-jumped-to.aspx</x:v>
      </x:c>
      <x:c r="R11" s="15" t="n">
        <x:v>3</x:v>
      </x:c>
      <x:c r="S11" s="15" t="str">
        <x:v>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12" hidden="0" customWidth="1"/>
    <x:col min="4" max="4" width="14" hidden="0" customWidth="1"/>
    <x:col min="5" max="5" width="10" hidden="0" customWidth="1"/>
    <x:col min="6" max="6" width="22" hidden="0" customWidth="1"/>
    <x:col min="7" max="7" width="60" hidden="0" customWidth="1"/>
    <x:col min="8" max="8" width="90" hidden="0" customWidth="1"/>
    <x:col min="9" max="9" width="16" hidden="0" customWidth="1"/>
    <x:col min="10" max="10" width="14" hidden="0" customWidth="1"/>
    <x:col min="11" max="11" width="14" hidden="0" customWidth="1"/>
    <x:col min="12" max="12" width="14" hidden="0" customWidth="1"/>
    <x:col min="13" max="13" width="18" hidden="0" customWidth="1"/>
    <x:col min="14" max="14" width="18" hidden="0" customWidth="1"/>
    <x:col min="15" max="15" width="28" hidden="0" customWidth="1"/>
    <x:col min="16" max="16" width="14" hidden="0" customWidth="1"/>
    <x:col min="17" max="17" width="72" hidden="0" customWidth="1"/>
  </x:cols>
  <x:sheetData>
    <x:row r="1">
      <x:c r="A1" s="6" t="str">
        <x:v>earnings_date</x:v>
      </x:c>
      <x:c r="B1" s="6" t="str">
        <x:v>ticker</x:v>
      </x:c>
      <x:c r="C1" s="6" t="str">
        <x:v>role</x:v>
      </x:c>
      <x:c r="D1" s="6" t="str">
        <x:v>source_date</x:v>
      </x:c>
      <x:c r="E1" s="6" t="str">
        <x:v>day_delta</x:v>
      </x:c>
      <x:c r="F1" s="6" t="str">
        <x:v>publisher</x:v>
      </x:c>
      <x:c r="G1" s="6" t="str">
        <x:v>title</x:v>
      </x:c>
      <x:c r="H1" s="6" t="str">
        <x:v>url</x:v>
      </x:c>
      <x:c r="I1" s="6" t="str">
        <x:v>url_status</x:v>
      </x:c>
      <x:c r="J1" s="6" t="str">
        <x:v>ticker_match</x:v>
      </x:c>
      <x:c r="K1" s="6" t="str">
        <x:v>event_match</x:v>
      </x:c>
      <x:c r="L1" s="6" t="str">
        <x:v>date_match</x:v>
      </x:c>
      <x:c r="M1" s="6" t="str">
        <x:v>prohibited_source</x:v>
      </x:c>
      <x:c r="N1" s="6" t="str">
        <x:v>claim_supported</x:v>
      </x:c>
      <x:c r="O1" s="6" t="str">
        <x:v>attribution_strength</x:v>
      </x:c>
      <x:c r="P1" s="6" t="str">
        <x:v>final_status</x:v>
      </x:c>
      <x:c r="Q1" s="6" t="str">
        <x:v>verification_note</x:v>
      </x:c>
    </x:row>
    <x:row r="2">
      <x:c r="A2" s="12" t="str">
        <x:v>2016-06-02</x:v>
      </x:c>
      <x:c r="B2" s="12" t="str">
        <x:v>AVGO</x:v>
      </x:c>
      <x:c r="C2" s="12" t="str">
        <x:v>release</x:v>
      </x:c>
      <x:c r="D2" s="12" t="str">
        <x:v>2016-06-02</x:v>
      </x:c>
      <x:c r="E2" s="12" t="n">
        <x:v>0</x:v>
      </x:c>
      <x:c r="F2" s="12" t="str">
        <x:v>Broadcom</x:v>
      </x:c>
      <x:c r="G2" s="12" t="str">
        <x:v>Broadcom Limited Announces Second Quarter Fiscal Year 2016 Financial Results and Interim Dividend</x:v>
      </x:c>
      <x:c r="H2" s="12" t="str">
        <x:v>https://investors.broadcom.com/news-releases/news-release-details/broadcom-limited-announces-second-quarter-fiscal-year-2016</x:v>
      </x:c>
      <x:c r="I2" s="12" t="str">
        <x:v>VERIFIED</x:v>
      </x:c>
      <x:c r="J2" s="12" t="str">
        <x:v>PASS</x:v>
      </x:c>
      <x:c r="K2" s="12" t="str">
        <x:v>PASS</x:v>
      </x:c>
      <x:c r="L2" s="12" t="str">
        <x:v>PASS</x:v>
      </x:c>
      <x:c r="M2" s="12" t="str">
        <x:v>NO</x:v>
      </x:c>
      <x:c r="N2" s="12" t="str">
        <x:v>PASS</x:v>
      </x:c>
      <x:c r="O2" s="12" t="str">
        <x:v>FACTUAL</x:v>
      </x:c>
      <x:c r="P2" s="12" t="str">
        <x:v>PASS</x:v>
      </x:c>
      <x:c r="Q2" s="12" t="str">
        <x:v>Checked against Broadcom/AVGO, the exact event, publication date, timing window and prohibited-source rule.</x:v>
      </x:c>
    </x:row>
    <x:row r="3">
      <x:c r="A3" s="12" t="str">
        <x:v>2016-06-02</x:v>
      </x:c>
      <x:c r="B3" s="12" t="str">
        <x:v>AVGO</x:v>
      </x:c>
      <x:c r="C3" s="12" t="str">
        <x:v>reaction</x:v>
      </x:c>
      <x:c r="D3" s="12" t="str">
        <x:v>2016-06-03</x:v>
      </x:c>
      <x:c r="E3" s="12" t="n">
        <x:v>1</x:v>
      </x:c>
      <x:c r="F3" s="12" t="str">
        <x:v>Fortune</x:v>
      </x:c>
      <x:c r="G3" s="12" t="str">
        <x:v>Shares of Apple Supplier Broadcom Jump Despite iPhone Sales Dip</x:v>
      </x:c>
      <x:c r="H3" s="12" t="str">
        <x:v>https://fortune.com/2016/06/03/apple-supplier-broadcom-iphone-sales-dip/</x:v>
      </x:c>
      <x:c r="I3" s="12" t="str">
        <x:v>VERIFIED</x:v>
      </x:c>
      <x:c r="J3" s="12" t="str">
        <x:v>PASS</x:v>
      </x:c>
      <x:c r="K3" s="12" t="str">
        <x:v>PASS</x:v>
      </x:c>
      <x:c r="L3" s="12" t="str">
        <x:v>PASS</x:v>
      </x:c>
      <x:c r="M3" s="12" t="str">
        <x:v>NO</x:v>
      </x:c>
      <x:c r="N3" s="12" t="str">
        <x:v>PASS</x:v>
      </x:c>
      <x:c r="O3" s="12" t="str">
        <x:v>CONTEMPORANEOUS_ATTRIBUTION</x:v>
      </x:c>
      <x:c r="P3" s="12" t="str">
        <x:v>PASS</x:v>
      </x:c>
      <x:c r="Q3" s="12" t="str">
        <x:v>Checked against Broadcom/AVGO, the exact event, publication date, timing window and prohibited-source rule.</x:v>
      </x:c>
    </x:row>
    <x:row r="4">
      <x:c r="A4" s="12" t="str">
        <x:v>2016-09-01</x:v>
      </x:c>
      <x:c r="B4" s="12" t="str">
        <x:v>AVGO</x:v>
      </x:c>
      <x:c r="C4" s="12" t="str">
        <x:v>prior</x:v>
      </x:c>
      <x:c r="D4" s="12" t="str">
        <x:v>2016-06-02</x:v>
      </x:c>
      <x:c r="E4" s="12" t="n">
        <x:v>-91</x:v>
      </x:c>
      <x:c r="F4" s="12" t="str">
        <x:v>Broadcom</x:v>
      </x:c>
      <x:c r="G4" s="12" t="str">
        <x:v>Broadcom Limited Announces Second Quarter Fiscal Year 2016 Financial Results and Interim Dividend</x:v>
      </x:c>
      <x:c r="H4" s="12" t="str">
        <x:v>https://investors.broadcom.com/news-releases/news-release-details/broadcom-limited-announces-second-quarter-fiscal-year-2016</x:v>
      </x:c>
      <x:c r="I4" s="12" t="str">
        <x:v>VERIFIED</x:v>
      </x:c>
      <x:c r="J4" s="12" t="str">
        <x:v>PASS</x:v>
      </x:c>
      <x:c r="K4" s="12" t="str">
        <x:v>PASS</x:v>
      </x:c>
      <x:c r="L4" s="12" t="str">
        <x:v>PASS</x:v>
      </x:c>
      <x:c r="M4" s="12" t="str">
        <x:v>NO</x:v>
      </x:c>
      <x:c r="N4" s="12" t="str">
        <x:v>PASS</x:v>
      </x:c>
      <x:c r="O4" s="12" t="str">
        <x:v>FACTUAL</x:v>
      </x:c>
      <x:c r="P4" s="12" t="str">
        <x:v>PASS</x:v>
      </x:c>
      <x:c r="Q4" s="12" t="str">
        <x:v>Checked against Broadcom/AVGO, the exact event, publication date, timing window and prohibited-source rule.</x:v>
      </x:c>
    </x:row>
    <x:row r="5">
      <x:c r="A5" s="12" t="str">
        <x:v>2016-09-01</x:v>
      </x:c>
      <x:c r="B5" s="12" t="str">
        <x:v>AVGO</x:v>
      </x:c>
      <x:c r="C5" s="12" t="str">
        <x:v>release</x:v>
      </x:c>
      <x:c r="D5" s="12" t="str">
        <x:v>2016-09-01</x:v>
      </x:c>
      <x:c r="E5" s="12" t="n">
        <x:v>0</x:v>
      </x:c>
      <x:c r="F5" s="12" t="str">
        <x:v>Broadcom</x:v>
      </x:c>
      <x:c r="G5" s="12" t="str">
        <x:v>Broadcom Limited Announces Third Quarter Fiscal Year 2016 Financial Results and Interim Dividend</x:v>
      </x:c>
      <x:c r="H5" s="12" t="str">
        <x:v>https://investors.broadcom.com/news-releases/news-release-details/broadcom-limited-announces-third-quarter-fiscal-year-2016</x:v>
      </x:c>
      <x:c r="I5" s="12" t="str">
        <x:v>VERIFIED</x:v>
      </x:c>
      <x:c r="J5" s="12" t="str">
        <x:v>PASS</x:v>
      </x:c>
      <x:c r="K5" s="12" t="str">
        <x:v>PASS</x:v>
      </x:c>
      <x:c r="L5" s="12" t="str">
        <x:v>PASS</x:v>
      </x:c>
      <x:c r="M5" s="12" t="str">
        <x:v>NO</x:v>
      </x:c>
      <x:c r="N5" s="12" t="str">
        <x:v>PASS</x:v>
      </x:c>
      <x:c r="O5" s="12" t="str">
        <x:v>FACTUAL</x:v>
      </x:c>
      <x:c r="P5" s="12" t="str">
        <x:v>PASS</x:v>
      </x:c>
      <x:c r="Q5" s="12" t="str">
        <x:v>Checked against Broadcom/AVGO, the exact event, publication date, timing window and prohibited-source rule.</x:v>
      </x:c>
    </x:row>
    <x:row r="6">
      <x:c r="A6" s="12" t="str">
        <x:v>2016-09-01</x:v>
      </x:c>
      <x:c r="B6" s="12" t="str">
        <x:v>AVGO</x:v>
      </x:c>
      <x:c r="C6" s="12" t="str">
        <x:v>reaction</x:v>
      </x:c>
      <x:c r="D6" s="12" t="str">
        <x:v>2016-09-02</x:v>
      </x:c>
      <x:c r="E6" s="12" t="n">
        <x:v>1</x:v>
      </x:c>
      <x:c r="F6" s="12" t="str">
        <x:v>TheStreet</x:v>
      </x:c>
      <x:c r="G6" s="12" t="str">
        <x:v>Broadcom's Set-Top Issues Are Overshadowing a Big iPhone 7 Ramp</x:v>
      </x:c>
      <x:c r="H6" s="12" t="str">
        <x:v>https://www.thestreet.com/investing/stocks/broadcom-s-set-top-issues-are-overshadowing-a-big-iphone-7-ramp-13692903</x:v>
      </x:c>
      <x:c r="I6" s="12" t="str">
        <x:v>VERIFIED</x:v>
      </x:c>
      <x:c r="J6" s="12" t="str">
        <x:v>PASS</x:v>
      </x:c>
      <x:c r="K6" s="12" t="str">
        <x:v>PASS</x:v>
      </x:c>
      <x:c r="L6" s="12" t="str">
        <x:v>PASS</x:v>
      </x:c>
      <x:c r="M6" s="12" t="str">
        <x:v>NO</x:v>
      </x:c>
      <x:c r="N6" s="12" t="str">
        <x:v>PASS</x:v>
      </x:c>
      <x:c r="O6" s="12" t="str">
        <x:v>CONTEMPORANEOUS_ATTRIBUTION</x:v>
      </x:c>
      <x:c r="P6" s="12" t="str">
        <x:v>PASS</x:v>
      </x:c>
      <x:c r="Q6" s="12" t="str">
        <x:v>Checked against Broadcom/AVGO, the exact event, publication date, timing window and prohibited-source rule.</x:v>
      </x:c>
    </x:row>
    <x:row r="7">
      <x:c r="A7" s="12" t="str">
        <x:v>2016-12-08</x:v>
      </x:c>
      <x:c r="B7" s="12" t="str">
        <x:v>AVGO</x:v>
      </x:c>
      <x:c r="C7" s="12" t="str">
        <x:v>prior</x:v>
      </x:c>
      <x:c r="D7" s="12" t="str">
        <x:v>2016-09-01</x:v>
      </x:c>
      <x:c r="E7" s="12" t="n">
        <x:v>-98</x:v>
      </x:c>
      <x:c r="F7" s="12" t="str">
        <x:v>Broadcom</x:v>
      </x:c>
      <x:c r="G7" s="12" t="str">
        <x:v>Broadcom Limited Announces Third Quarter Fiscal Year 2016 Financial Results and Interim Dividend</x:v>
      </x:c>
      <x:c r="H7" s="12" t="str">
        <x:v>https://investors.broadcom.com/news-releases/news-release-details/broadcom-limited-announces-third-quarter-fiscal-year-2016</x:v>
      </x:c>
      <x:c r="I7" s="12" t="str">
        <x:v>VERIFIED</x:v>
      </x:c>
      <x:c r="J7" s="12" t="str">
        <x:v>PASS</x:v>
      </x:c>
      <x:c r="K7" s="12" t="str">
        <x:v>PASS</x:v>
      </x:c>
      <x:c r="L7" s="12" t="str">
        <x:v>PASS</x:v>
      </x:c>
      <x:c r="M7" s="12" t="str">
        <x:v>NO</x:v>
      </x:c>
      <x:c r="N7" s="12" t="str">
        <x:v>PASS</x:v>
      </x:c>
      <x:c r="O7" s="12" t="str">
        <x:v>FACTUAL</x:v>
      </x:c>
      <x:c r="P7" s="12" t="str">
        <x:v>PASS</x:v>
      </x:c>
      <x:c r="Q7" s="12" t="str">
        <x:v>Checked against Broadcom/AVGO, the exact event, publication date, timing window and prohibited-source rule.</x:v>
      </x:c>
    </x:row>
    <x:row r="8">
      <x:c r="A8" s="12" t="str">
        <x:v>2016-12-08</x:v>
      </x:c>
      <x:c r="B8" s="12" t="str">
        <x:v>AVGO</x:v>
      </x:c>
      <x:c r="C8" s="12" t="str">
        <x:v>release</x:v>
      </x:c>
      <x:c r="D8" s="12" t="str">
        <x:v>2016-12-08</x:v>
      </x:c>
      <x:c r="E8" s="12" t="n">
        <x:v>0</x:v>
      </x:c>
      <x:c r="F8" s="12" t="str">
        <x:v>Broadcom</x:v>
      </x:c>
      <x:c r="G8" s="12" t="str">
        <x:v>Broadcom Limited Announces Fourth Quarter and Fiscal Year 2016 Financial Results and Interim Dividend</x:v>
      </x:c>
      <x:c r="H8" s="12" t="str">
        <x:v>https://investors.broadcom.com/news-releases/news-release-details/broadcom-limited-announces-fourth-quarter-and-fiscal-year-2016</x:v>
      </x:c>
      <x:c r="I8" s="12" t="str">
        <x:v>VERIFIED</x:v>
      </x:c>
      <x:c r="J8" s="12" t="str">
        <x:v>PASS</x:v>
      </x:c>
      <x:c r="K8" s="12" t="str">
        <x:v>PASS</x:v>
      </x:c>
      <x:c r="L8" s="12" t="str">
        <x:v>PASS</x:v>
      </x:c>
      <x:c r="M8" s="12" t="str">
        <x:v>NO</x:v>
      </x:c>
      <x:c r="N8" s="12" t="str">
        <x:v>PASS</x:v>
      </x:c>
      <x:c r="O8" s="12" t="str">
        <x:v>FACTUAL</x:v>
      </x:c>
      <x:c r="P8" s="12" t="str">
        <x:v>PASS</x:v>
      </x:c>
      <x:c r="Q8" s="12" t="str">
        <x:v>Checked against Broadcom/AVGO, the exact event, publication date, timing window and prohibited-source rule.</x:v>
      </x:c>
    </x:row>
    <x:row r="9">
      <x:c r="A9" s="12" t="str">
        <x:v>2016-12-08</x:v>
      </x:c>
      <x:c r="B9" s="12" t="str">
        <x:v>AVGO</x:v>
      </x:c>
      <x:c r="C9" s="12" t="str">
        <x:v>reaction</x:v>
      </x:c>
      <x:c r="D9" s="12" t="str">
        <x:v>2016-12-09</x:v>
      </x:c>
      <x:c r="E9" s="12" t="n">
        <x:v>1</x:v>
      </x:c>
      <x:c r="F9" s="12" t="str">
        <x:v>TheStreet</x:v>
      </x:c>
      <x:c r="G9" s="12" t="str">
        <x:v>Broadcom's (AVGO) Big Earnings Beat: What Wall Street's Saying</x:v>
      </x:c>
      <x:c r="H9" s="12" t="str">
        <x:v>https://www.thestreet.com/investing/stocks/broadcom-s-big-earnings-beat-what-wall-street-s-saying-13920731</x:v>
      </x:c>
      <x:c r="I9" s="12" t="str">
        <x:v>VERIFIED</x:v>
      </x:c>
      <x:c r="J9" s="12" t="str">
        <x:v>PASS</x:v>
      </x:c>
      <x:c r="K9" s="12" t="str">
        <x:v>PASS</x:v>
      </x:c>
      <x:c r="L9" s="12" t="str">
        <x:v>PASS</x:v>
      </x:c>
      <x:c r="M9" s="12" t="str">
        <x:v>NO</x:v>
      </x:c>
      <x:c r="N9" s="12" t="str">
        <x:v>PASS</x:v>
      </x:c>
      <x:c r="O9" s="12" t="str">
        <x:v>CONTEMPORANEOUS_ATTRIBUTION</x:v>
      </x:c>
      <x:c r="P9" s="12" t="str">
        <x:v>PASS</x:v>
      </x:c>
      <x:c r="Q9" s="12" t="str">
        <x:v>Checked against Broadcom/AVGO, the exact event, publication date, timing window and prohibited-source rule.</x:v>
      </x:c>
    </x:row>
    <x:row r="10">
      <x:c r="A10" s="12" t="str">
        <x:v>2017-03-01</x:v>
      </x:c>
      <x:c r="B10" s="12" t="str">
        <x:v>AVGO</x:v>
      </x:c>
      <x:c r="C10" s="12" t="str">
        <x:v>prior</x:v>
      </x:c>
      <x:c r="D10" s="12" t="str">
        <x:v>2016-12-08</x:v>
      </x:c>
      <x:c r="E10" s="12" t="n">
        <x:v>-83</x:v>
      </x:c>
      <x:c r="F10" s="12" t="str">
        <x:v>Broadcom</x:v>
      </x:c>
      <x:c r="G10" s="12" t="str">
        <x:v>Broadcom Limited Announces Fourth Quarter and Fiscal Year 2016 Financial Results and Interim Dividend</x:v>
      </x:c>
      <x:c r="H10" s="12" t="str">
        <x:v>https://investors.broadcom.com/news-releases/news-release-details/broadcom-limited-announces-fourth-quarter-and-fiscal-year-2016</x:v>
      </x:c>
      <x:c r="I10" s="12" t="str">
        <x:v>VERIFIED</x:v>
      </x:c>
      <x:c r="J10" s="12" t="str">
        <x:v>PASS</x:v>
      </x:c>
      <x:c r="K10" s="12" t="str">
        <x:v>PASS</x:v>
      </x:c>
      <x:c r="L10" s="12" t="str">
        <x:v>PASS</x:v>
      </x:c>
      <x:c r="M10" s="12" t="str">
        <x:v>NO</x:v>
      </x:c>
      <x:c r="N10" s="12" t="str">
        <x:v>PASS</x:v>
      </x:c>
      <x:c r="O10" s="12" t="str">
        <x:v>FACTUAL</x:v>
      </x:c>
      <x:c r="P10" s="12" t="str">
        <x:v>PASS</x:v>
      </x:c>
      <x:c r="Q10" s="12" t="str">
        <x:v>Checked against Broadcom/AVGO, the exact event, publication date, timing window and prohibited-source rule.</x:v>
      </x:c>
    </x:row>
    <x:row r="11">
      <x:c r="A11" s="12" t="str">
        <x:v>2017-03-01</x:v>
      </x:c>
      <x:c r="B11" s="12" t="str">
        <x:v>AVGO</x:v>
      </x:c>
      <x:c r="C11" s="12" t="str">
        <x:v>release</x:v>
      </x:c>
      <x:c r="D11" s="12" t="str">
        <x:v>2017-03-01</x:v>
      </x:c>
      <x:c r="E11" s="12" t="n">
        <x:v>0</x:v>
      </x:c>
      <x:c r="F11" s="12" t="str">
        <x:v>Broadcom</x:v>
      </x:c>
      <x:c r="G11" s="12" t="str">
        <x:v>Broadcom Limited Announces First Quarter Fiscal Year 2017 Financial Results and Interim Dividend</x:v>
      </x:c>
      <x:c r="H11" s="12" t="str">
        <x:v>https://investors.broadcom.com/news-releases/news-release-details/broadcom-limited-announces-first-quarter-fiscal-year-2017</x:v>
      </x:c>
      <x:c r="I11" s="12" t="str">
        <x:v>VERIFIED</x:v>
      </x:c>
      <x:c r="J11" s="12" t="str">
        <x:v>PASS</x:v>
      </x:c>
      <x:c r="K11" s="12" t="str">
        <x:v>PASS</x:v>
      </x:c>
      <x:c r="L11" s="12" t="str">
        <x:v>PASS</x:v>
      </x:c>
      <x:c r="M11" s="12" t="str">
        <x:v>NO</x:v>
      </x:c>
      <x:c r="N11" s="12" t="str">
        <x:v>PASS</x:v>
      </x:c>
      <x:c r="O11" s="12" t="str">
        <x:v>FACTUAL</x:v>
      </x:c>
      <x:c r="P11" s="12" t="str">
        <x:v>PASS</x:v>
      </x:c>
      <x:c r="Q11" s="12" t="str">
        <x:v>Checked against Broadcom/AVGO, the exact event, publication date, timing window and prohibited-source rule.</x:v>
      </x:c>
    </x:row>
    <x:row r="12">
      <x:c r="A12" s="12" t="str">
        <x:v>2017-03-01</x:v>
      </x:c>
      <x:c r="B12" s="12" t="str">
        <x:v>AVGO</x:v>
      </x:c>
      <x:c r="C12" s="12" t="str">
        <x:v>reaction</x:v>
      </x:c>
      <x:c r="D12" s="12" t="str">
        <x:v>2017-03-02</x:v>
      </x:c>
      <x:c r="E12" s="12" t="n">
        <x:v>1</x:v>
      </x:c>
      <x:c r="F12" s="12" t="str">
        <x:v>Fox Business / Motley Fool</x:v>
      </x:c>
      <x:c r="G12" s="12" t="str">
        <x:v>Broadcom Guides for Double-Digit Organic Revenue Growth</x:v>
      </x:c>
      <x:c r="H12" s="12" t="str">
        <x:v>https://www.foxbusiness.com/markets/broadcom-guides-for-double-digit-organic-revenue-growth</x:v>
      </x:c>
      <x:c r="I12" s="12" t="str">
        <x:v>VERIFIED</x:v>
      </x:c>
      <x:c r="J12" s="12" t="str">
        <x:v>PASS</x:v>
      </x:c>
      <x:c r="K12" s="12" t="str">
        <x:v>PASS</x:v>
      </x:c>
      <x:c r="L12" s="12" t="str">
        <x:v>PASS</x:v>
      </x:c>
      <x:c r="M12" s="12" t="str">
        <x:v>NO</x:v>
      </x:c>
      <x:c r="N12" s="12" t="str">
        <x:v>PASS</x:v>
      </x:c>
      <x:c r="O12" s="12" t="str">
        <x:v>CONTEMPORANEOUS_ATTRIBUTION</x:v>
      </x:c>
      <x:c r="P12" s="12" t="str">
        <x:v>PASS</x:v>
      </x:c>
      <x:c r="Q12" s="12" t="str">
        <x:v>Checked against Broadcom/AVGO, the exact event, publication date, timing window and prohibited-source rule.</x:v>
      </x:c>
    </x:row>
    <x:row r="13">
      <x:c r="A13" s="12" t="str">
        <x:v>2017-06-01</x:v>
      </x:c>
      <x:c r="B13" s="12" t="str">
        <x:v>AVGO</x:v>
      </x:c>
      <x:c r="C13" s="12" t="str">
        <x:v>prior</x:v>
      </x:c>
      <x:c r="D13" s="12" t="str">
        <x:v>2017-03-01</x:v>
      </x:c>
      <x:c r="E13" s="12" t="n">
        <x:v>-92</x:v>
      </x:c>
      <x:c r="F13" s="12" t="str">
        <x:v>Broadcom</x:v>
      </x:c>
      <x:c r="G13" s="12" t="str">
        <x:v>Broadcom Limited Announces First Quarter Fiscal Year 2017 Financial Results and Interim Dividend</x:v>
      </x:c>
      <x:c r="H13" s="12" t="str">
        <x:v>https://investors.broadcom.com/news-releases/news-release-details/broadcom-limited-announces-first-quarter-fiscal-year-2017</x:v>
      </x:c>
      <x:c r="I13" s="12" t="str">
        <x:v>VERIFIED</x:v>
      </x:c>
      <x:c r="J13" s="12" t="str">
        <x:v>PASS</x:v>
      </x:c>
      <x:c r="K13" s="12" t="str">
        <x:v>PASS</x:v>
      </x:c>
      <x:c r="L13" s="12" t="str">
        <x:v>PASS</x:v>
      </x:c>
      <x:c r="M13" s="12" t="str">
        <x:v>NO</x:v>
      </x:c>
      <x:c r="N13" s="12" t="str">
        <x:v>PASS</x:v>
      </x:c>
      <x:c r="O13" s="12" t="str">
        <x:v>FACTUAL</x:v>
      </x:c>
      <x:c r="P13" s="12" t="str">
        <x:v>PASS</x:v>
      </x:c>
      <x:c r="Q13" s="12" t="str">
        <x:v>Checked against Broadcom/AVGO, the exact event, publication date, timing window and prohibited-source rule.</x:v>
      </x:c>
    </x:row>
    <x:row r="14">
      <x:c r="A14" s="12" t="str">
        <x:v>2017-06-01</x:v>
      </x:c>
      <x:c r="B14" s="12" t="str">
        <x:v>AVGO</x:v>
      </x:c>
      <x:c r="C14" s="12" t="str">
        <x:v>release</x:v>
      </x:c>
      <x:c r="D14" s="12" t="str">
        <x:v>2017-06-01</x:v>
      </x:c>
      <x:c r="E14" s="12" t="n">
        <x:v>0</x:v>
      </x:c>
      <x:c r="F14" s="12" t="str">
        <x:v>Broadcom</x:v>
      </x:c>
      <x:c r="G14" s="12" t="str">
        <x:v>Broadcom Limited Announces Second Quarter Fiscal Year 2017 Financial Results and Interim Dividend</x:v>
      </x:c>
      <x:c r="H14" s="12" t="str">
        <x:v>https://investors.broadcom.com/news-releases/news-release-details/broadcom-limited-announces-second-quarter-fiscal-year-2017</x:v>
      </x:c>
      <x:c r="I14" s="12" t="str">
        <x:v>VERIFIED</x:v>
      </x:c>
      <x:c r="J14" s="12" t="str">
        <x:v>PASS</x:v>
      </x:c>
      <x:c r="K14" s="12" t="str">
        <x:v>PASS</x:v>
      </x:c>
      <x:c r="L14" s="12" t="str">
        <x:v>PASS</x:v>
      </x:c>
      <x:c r="M14" s="12" t="str">
        <x:v>NO</x:v>
      </x:c>
      <x:c r="N14" s="12" t="str">
        <x:v>PASS</x:v>
      </x:c>
      <x:c r="O14" s="12" t="str">
        <x:v>FACTUAL</x:v>
      </x:c>
      <x:c r="P14" s="12" t="str">
        <x:v>PASS</x:v>
      </x:c>
      <x:c r="Q14" s="12" t="str">
        <x:v>Checked against Broadcom/AVGO, the exact event, publication date, timing window and prohibited-source rule.</x:v>
      </x:c>
    </x:row>
    <x:row r="15">
      <x:c r="A15" s="12" t="str">
        <x:v>2017-06-01</x:v>
      </x:c>
      <x:c r="B15" s="12" t="str">
        <x:v>AVGO</x:v>
      </x:c>
      <x:c r="C15" s="12" t="str">
        <x:v>reaction</x:v>
      </x:c>
      <x:c r="D15" s="12" t="str">
        <x:v>2017-06-02</x:v>
      </x:c>
      <x:c r="E15" s="12" t="n">
        <x:v>1</x:v>
      </x:c>
      <x:c r="F15" s="12" t="str">
        <x:v>TheStreet</x:v>
      </x:c>
      <x:c r="G15" s="12" t="str">
        <x:v>Broadcom Shares Pop on Strong 2Q Results: What Wall Street's Saying</x:v>
      </x:c>
      <x:c r="H15" s="12" t="str">
        <x:v>https://www.thestreet.com/investing/stocks/broadcom-shares-pop-on-strong-q2-results-what-wall-street-s-saying-14160335</x:v>
      </x:c>
      <x:c r="I15" s="12" t="str">
        <x:v>VERIFIED</x:v>
      </x:c>
      <x:c r="J15" s="12" t="str">
        <x:v>PASS</x:v>
      </x:c>
      <x:c r="K15" s="12" t="str">
        <x:v>PASS</x:v>
      </x:c>
      <x:c r="L15" s="12" t="str">
        <x:v>PASS</x:v>
      </x:c>
      <x:c r="M15" s="12" t="str">
        <x:v>NO</x:v>
      </x:c>
      <x:c r="N15" s="12" t="str">
        <x:v>PASS</x:v>
      </x:c>
      <x:c r="O15" s="12" t="str">
        <x:v>CONTEMPORANEOUS_ATTRIBUTION</x:v>
      </x:c>
      <x:c r="P15" s="12" t="str">
        <x:v>PASS</x:v>
      </x:c>
      <x:c r="Q15" s="12" t="str">
        <x:v>Checked against Broadcom/AVGO, the exact event, publication date, timing window and prohibited-source rule.</x:v>
      </x:c>
    </x:row>
    <x:row r="16">
      <x:c r="A16" s="12" t="str">
        <x:v>2017-08-24</x:v>
      </x:c>
      <x:c r="B16" s="12" t="str">
        <x:v>AVGO</x:v>
      </x:c>
      <x:c r="C16" s="12" t="str">
        <x:v>prior</x:v>
      </x:c>
      <x:c r="D16" s="12" t="str">
        <x:v>2017-06-01</x:v>
      </x:c>
      <x:c r="E16" s="12" t="n">
        <x:v>-84</x:v>
      </x:c>
      <x:c r="F16" s="12" t="str">
        <x:v>Broadcom</x:v>
      </x:c>
      <x:c r="G16" s="12" t="str">
        <x:v>Broadcom Limited Announces Second Quarter Fiscal Year 2017 Financial Results and Interim Dividend</x:v>
      </x:c>
      <x:c r="H16" s="12" t="str">
        <x:v>https://investors.broadcom.com/news-releases/news-release-details/broadcom-limited-announces-second-quarter-fiscal-year-2017</x:v>
      </x:c>
      <x:c r="I16" s="12" t="str">
        <x:v>VERIFIED</x:v>
      </x:c>
      <x:c r="J16" s="12" t="str">
        <x:v>PASS</x:v>
      </x:c>
      <x:c r="K16" s="12" t="str">
        <x:v>PASS</x:v>
      </x:c>
      <x:c r="L16" s="12" t="str">
        <x:v>PASS</x:v>
      </x:c>
      <x:c r="M16" s="12" t="str">
        <x:v>NO</x:v>
      </x:c>
      <x:c r="N16" s="12" t="str">
        <x:v>PASS</x:v>
      </x:c>
      <x:c r="O16" s="12" t="str">
        <x:v>FACTUAL</x:v>
      </x:c>
      <x:c r="P16" s="12" t="str">
        <x:v>PASS</x:v>
      </x:c>
      <x:c r="Q16" s="12" t="str">
        <x:v>Checked against Broadcom/AVGO, the exact event, publication date, timing window and prohibited-source rule.</x:v>
      </x:c>
    </x:row>
    <x:row r="17">
      <x:c r="A17" s="12" t="str">
        <x:v>2017-08-24</x:v>
      </x:c>
      <x:c r="B17" s="12" t="str">
        <x:v>AVGO</x:v>
      </x:c>
      <x:c r="C17" s="12" t="str">
        <x:v>release</x:v>
      </x:c>
      <x:c r="D17" s="12" t="str">
        <x:v>2017-08-24</x:v>
      </x:c>
      <x:c r="E17" s="12" t="n">
        <x:v>0</x:v>
      </x:c>
      <x:c r="F17" s="12" t="str">
        <x:v>Broadcom</x:v>
      </x:c>
      <x:c r="G17" s="12" t="str">
        <x:v>Broadcom Limited Announces Third Quarter Fiscal Year 2017 Financial Results</x:v>
      </x:c>
      <x:c r="H17" s="12" t="str">
        <x:v>https://investors.broadcom.com/news-releases/news-release-details/broadcom-limited-announces-third-quarter-fiscal-year-2017-0</x:v>
      </x:c>
      <x:c r="I17" s="12" t="str">
        <x:v>VERIFIED</x:v>
      </x:c>
      <x:c r="J17" s="12" t="str">
        <x:v>PASS</x:v>
      </x:c>
      <x:c r="K17" s="12" t="str">
        <x:v>PASS</x:v>
      </x:c>
      <x:c r="L17" s="12" t="str">
        <x:v>PASS</x:v>
      </x:c>
      <x:c r="M17" s="12" t="str">
        <x:v>NO</x:v>
      </x:c>
      <x:c r="N17" s="12" t="str">
        <x:v>PASS</x:v>
      </x:c>
      <x:c r="O17" s="12" t="str">
        <x:v>FACTUAL</x:v>
      </x:c>
      <x:c r="P17" s="12" t="str">
        <x:v>PASS</x:v>
      </x:c>
      <x:c r="Q17" s="12" t="str">
        <x:v>Checked against Broadcom/AVGO, the exact event, publication date, timing window and prohibited-source rule.</x:v>
      </x:c>
    </x:row>
    <x:row r="18">
      <x:c r="A18" s="12" t="str">
        <x:v>2017-08-24</x:v>
      </x:c>
      <x:c r="B18" s="12" t="str">
        <x:v>AVGO</x:v>
      </x:c>
      <x:c r="C18" s="12" t="str">
        <x:v>reaction</x:v>
      </x:c>
      <x:c r="D18" s="12" t="str">
        <x:v>2017-08-25</x:v>
      </x:c>
      <x:c r="E18" s="12" t="n">
        <x:v>1</x:v>
      </x:c>
      <x:c r="F18" s="12" t="str">
        <x:v>InvestorPlace</x:v>
      </x:c>
      <x:c r="G18" s="12" t="str">
        <x:v>Broadcom Ltd (AVGO): Selling the News Works for Me</x:v>
      </x:c>
      <x:c r="H18" s="12" t="str">
        <x:v>https://investorplace.com/2017/08/broadcom-ltd-avgo-selling-the-news-works-for-me/</x:v>
      </x:c>
      <x:c r="I18" s="12" t="str">
        <x:v>VERIFIED</x:v>
      </x:c>
      <x:c r="J18" s="12" t="str">
        <x:v>PASS</x:v>
      </x:c>
      <x:c r="K18" s="12" t="str">
        <x:v>PASS</x:v>
      </x:c>
      <x:c r="L18" s="12" t="str">
        <x:v>PASS</x:v>
      </x:c>
      <x:c r="M18" s="12" t="str">
        <x:v>NO</x:v>
      </x:c>
      <x:c r="N18" s="12" t="str">
        <x:v>PASS</x:v>
      </x:c>
      <x:c r="O18" s="12" t="str">
        <x:v>CONTEMPORANEOUS_ATTRIBUTION</x:v>
      </x:c>
      <x:c r="P18" s="12" t="str">
        <x:v>PASS</x:v>
      </x:c>
      <x:c r="Q18" s="12" t="str">
        <x:v>Checked against Broadcom/AVGO, the exact event, publication date, timing window and prohibited-source rule.</x:v>
      </x:c>
    </x:row>
    <x:row r="19">
      <x:c r="A19" s="12" t="str">
        <x:v>2017-12-06</x:v>
      </x:c>
      <x:c r="B19" s="12" t="str">
        <x:v>AVGO</x:v>
      </x:c>
      <x:c r="C19" s="12" t="str">
        <x:v>prior</x:v>
      </x:c>
      <x:c r="D19" s="12" t="str">
        <x:v>2017-11-06</x:v>
      </x:c>
      <x:c r="E19" s="12" t="n">
        <x:v>-30</x:v>
      </x:c>
      <x:c r="F19" s="12" t="str">
        <x:v>Broadcom</x:v>
      </x:c>
      <x:c r="G19" s="12" t="str">
        <x:v>Broadcom Proposes to Acquire Qualcomm for $70.00 per Share in Cash and Stock in Transaction Valued at $130 Billion</x:v>
      </x:c>
      <x:c r="H19" s="12" t="str">
        <x:v>https://investors.broadcom.com/news-releases/news-release-details/broadcom-proposes-acquire-qualcomm-7000-share-cash-and-stock-0</x:v>
      </x:c>
      <x:c r="I19" s="12" t="str">
        <x:v>VERIFIED</x:v>
      </x:c>
      <x:c r="J19" s="12" t="str">
        <x:v>PASS</x:v>
      </x:c>
      <x:c r="K19" s="12" t="str">
        <x:v>PASS</x:v>
      </x:c>
      <x:c r="L19" s="12" t="str">
        <x:v>PASS</x:v>
      </x:c>
      <x:c r="M19" s="12" t="str">
        <x:v>NO</x:v>
      </x:c>
      <x:c r="N19" s="12" t="str">
        <x:v>PASS</x:v>
      </x:c>
      <x:c r="O19" s="12" t="str">
        <x:v>FACTUAL</x:v>
      </x:c>
      <x:c r="P19" s="12" t="str">
        <x:v>PASS</x:v>
      </x:c>
      <x:c r="Q19" s="12" t="str">
        <x:v>Checked against Broadcom/AVGO, the exact event, publication date, timing window and prohibited-source rule.</x:v>
      </x:c>
    </x:row>
    <x:row r="20">
      <x:c r="A20" s="12" t="str">
        <x:v>2017-12-06</x:v>
      </x:c>
      <x:c r="B20" s="12" t="str">
        <x:v>AVGO</x:v>
      </x:c>
      <x:c r="C20" s="12" t="str">
        <x:v>release</x:v>
      </x:c>
      <x:c r="D20" s="12" t="str">
        <x:v>2017-12-06</x:v>
      </x:c>
      <x:c r="E20" s="12" t="n">
        <x:v>0</x:v>
      </x:c>
      <x:c r="F20" s="12" t="str">
        <x:v>Broadcom</x:v>
      </x:c>
      <x:c r="G20" s="12" t="str">
        <x:v>Broadcom Limited Announces Fourth Quarter and Fiscal Year 2017 Financial Results and Interim Dividend</x:v>
      </x:c>
      <x:c r="H20" s="12" t="str">
        <x:v>https://investors.broadcom.com/news-releases/news-release-details/broadcom-limited-announces-fourth-quarter-and-fiscal-year-2017-0</x:v>
      </x:c>
      <x:c r="I20" s="12" t="str">
        <x:v>VERIFIED</x:v>
      </x:c>
      <x:c r="J20" s="12" t="str">
        <x:v>PASS</x:v>
      </x:c>
      <x:c r="K20" s="12" t="str">
        <x:v>PASS</x:v>
      </x:c>
      <x:c r="L20" s="12" t="str">
        <x:v>PASS</x:v>
      </x:c>
      <x:c r="M20" s="12" t="str">
        <x:v>NO</x:v>
      </x:c>
      <x:c r="N20" s="12" t="str">
        <x:v>PASS</x:v>
      </x:c>
      <x:c r="O20" s="12" t="str">
        <x:v>FACTUAL</x:v>
      </x:c>
      <x:c r="P20" s="12" t="str">
        <x:v>PASS</x:v>
      </x:c>
      <x:c r="Q20" s="12" t="str">
        <x:v>Checked against Broadcom/AVGO, the exact event, publication date, timing window and prohibited-source rule.</x:v>
      </x:c>
    </x:row>
    <x:row r="21">
      <x:c r="A21" s="12" t="str">
        <x:v>2017-12-06</x:v>
      </x:c>
      <x:c r="B21" s="12" t="str">
        <x:v>AVGO</x:v>
      </x:c>
      <x:c r="C21" s="12" t="str">
        <x:v>reaction</x:v>
      </x:c>
      <x:c r="D21" s="12" t="str">
        <x:v>2017-12-07</x:v>
      </x:c>
      <x:c r="E21" s="12" t="n">
        <x:v>1</x:v>
      </x:c>
      <x:c r="F21" s="12" t="str">
        <x:v>TheStreet Pro</x:v>
      </x:c>
      <x:c r="G21" s="12" t="str">
        <x:v>Broadcom Traders Need to Remain Cautious as Rallies Get Sold</x:v>
      </x:c>
      <x:c r="H21" s="12" t="str">
        <x:v>https://pro.thestreet.com/investing/broadcom-traders-need-remain-cautious-rallies-get-sold</x:v>
      </x:c>
      <x:c r="I21" s="12" t="str">
        <x:v>VERIFIED</x:v>
      </x:c>
      <x:c r="J21" s="12" t="str">
        <x:v>PASS</x:v>
      </x:c>
      <x:c r="K21" s="12" t="str">
        <x:v>PASS</x:v>
      </x:c>
      <x:c r="L21" s="12" t="str">
        <x:v>PASS</x:v>
      </x:c>
      <x:c r="M21" s="12" t="str">
        <x:v>NO</x:v>
      </x:c>
      <x:c r="N21" s="12" t="str">
        <x:v>PASS</x:v>
      </x:c>
      <x:c r="O21" s="12" t="str">
        <x:v>CONTEMPORANEOUS_ATTRIBUTION</x:v>
      </x:c>
      <x:c r="P21" s="12" t="str">
        <x:v>PASS</x:v>
      </x:c>
      <x:c r="Q21" s="12" t="str">
        <x:v>Checked against Broadcom/AVGO, the exact event, publication date, timing window and prohibited-source rule.</x:v>
      </x:c>
    </x:row>
    <x:row r="22">
      <x:c r="A22" s="12" t="str">
        <x:v>2018-03-15</x:v>
      </x:c>
      <x:c r="B22" s="12" t="str">
        <x:v>AVGO</x:v>
      </x:c>
      <x:c r="C22" s="12" t="str">
        <x:v>prior</x:v>
      </x:c>
      <x:c r="D22" s="12" t="str">
        <x:v>2017-12-06</x:v>
      </x:c>
      <x:c r="E22" s="12" t="n">
        <x:v>-99</x:v>
      </x:c>
      <x:c r="F22" s="12" t="str">
        <x:v>Broadcom</x:v>
      </x:c>
      <x:c r="G22" s="12" t="str">
        <x:v>Broadcom Limited Announces Fourth Quarter and Fiscal Year 2017 Financial Results and Interim Dividend</x:v>
      </x:c>
      <x:c r="H22" s="12" t="str">
        <x:v>https://investors.broadcom.com/news-releases/news-release-details/broadcom-limited-announces-fourth-quarter-and-fiscal-year-2017-0</x:v>
      </x:c>
      <x:c r="I22" s="12" t="str">
        <x:v>VERIFIED</x:v>
      </x:c>
      <x:c r="J22" s="12" t="str">
        <x:v>PASS</x:v>
      </x:c>
      <x:c r="K22" s="12" t="str">
        <x:v>PASS</x:v>
      </x:c>
      <x:c r="L22" s="12" t="str">
        <x:v>PASS</x:v>
      </x:c>
      <x:c r="M22" s="12" t="str">
        <x:v>NO</x:v>
      </x:c>
      <x:c r="N22" s="12" t="str">
        <x:v>PASS</x:v>
      </x:c>
      <x:c r="O22" s="12" t="str">
        <x:v>FACTUAL</x:v>
      </x:c>
      <x:c r="P22" s="12" t="str">
        <x:v>PASS</x:v>
      </x:c>
      <x:c r="Q22" s="12" t="str">
        <x:v>Checked against Broadcom/AVGO, the exact event, publication date, timing window and prohibited-source rule.</x:v>
      </x:c>
    </x:row>
    <x:row r="23">
      <x:c r="A23" s="12" t="str">
        <x:v>2018-03-15</x:v>
      </x:c>
      <x:c r="B23" s="12" t="str">
        <x:v>AVGO</x:v>
      </x:c>
      <x:c r="C23" s="12" t="str">
        <x:v>release</x:v>
      </x:c>
      <x:c r="D23" s="12" t="str">
        <x:v>2018-03-15</x:v>
      </x:c>
      <x:c r="E23" s="12" t="n">
        <x:v>0</x:v>
      </x:c>
      <x:c r="F23" s="12" t="str">
        <x:v>Broadcom</x:v>
      </x:c>
      <x:c r="G23" s="12" t="str">
        <x:v>Broadcom Limited Announces First Quarter Fiscal Year 2018 Financial Results and Interim Dividend</x:v>
      </x:c>
      <x:c r="H23" s="12" t="str">
        <x:v>https://investors.broadcom.com/news-releases/news-release-details/broadcom-limited-announces-first-quarter-fiscal-year-2018-0</x:v>
      </x:c>
      <x:c r="I23" s="12" t="str">
        <x:v>VERIFIED</x:v>
      </x:c>
      <x:c r="J23" s="12" t="str">
        <x:v>PASS</x:v>
      </x:c>
      <x:c r="K23" s="12" t="str">
        <x:v>PASS</x:v>
      </x:c>
      <x:c r="L23" s="12" t="str">
        <x:v>PASS</x:v>
      </x:c>
      <x:c r="M23" s="12" t="str">
        <x:v>NO</x:v>
      </x:c>
      <x:c r="N23" s="12" t="str">
        <x:v>PASS</x:v>
      </x:c>
      <x:c r="O23" s="12" t="str">
        <x:v>FACTUAL</x:v>
      </x:c>
      <x:c r="P23" s="12" t="str">
        <x:v>PASS</x:v>
      </x:c>
      <x:c r="Q23" s="12" t="str">
        <x:v>Checked against Broadcom/AVGO, the exact event, publication date, timing window and prohibited-source rule.</x:v>
      </x:c>
    </x:row>
    <x:row r="24">
      <x:c r="A24" s="12" t="str">
        <x:v>2018-03-15</x:v>
      </x:c>
      <x:c r="B24" s="12" t="str">
        <x:v>AVGO</x:v>
      </x:c>
      <x:c r="C24" s="12" t="str">
        <x:v>reaction</x:v>
      </x:c>
      <x:c r="D24" s="12" t="str">
        <x:v>2018-03-16</x:v>
      </x:c>
      <x:c r="E24" s="12" t="n">
        <x:v>1</x:v>
      </x:c>
      <x:c r="F24" s="12" t="str">
        <x:v>TheStreet Pro</x:v>
      </x:c>
      <x:c r="G24" s="12" t="str">
        <x:v>Broadcom Shares Pressured After Latest Results</x:v>
      </x:c>
      <x:c r="H24" s="12" t="str">
        <x:v>https://pro.thestreet.com/portfolio/broadcom-shares-pressured-after-latest-results</x:v>
      </x:c>
      <x:c r="I24" s="12" t="str">
        <x:v>VERIFIED</x:v>
      </x:c>
      <x:c r="J24" s="12" t="str">
        <x:v>PASS</x:v>
      </x:c>
      <x:c r="K24" s="12" t="str">
        <x:v>PASS</x:v>
      </x:c>
      <x:c r="L24" s="12" t="str">
        <x:v>PASS</x:v>
      </x:c>
      <x:c r="M24" s="12" t="str">
        <x:v>NO</x:v>
      </x:c>
      <x:c r="N24" s="12" t="str">
        <x:v>PASS</x:v>
      </x:c>
      <x:c r="O24" s="12" t="str">
        <x:v>CONTEMPORANEOUS_ATTRIBUTION</x:v>
      </x:c>
      <x:c r="P24" s="12" t="str">
        <x:v>PASS</x:v>
      </x:c>
      <x:c r="Q24" s="12" t="str">
        <x:v>Checked against Broadcom/AVGO, the exact event, publication date, timing window and prohibited-source rule.</x:v>
      </x:c>
    </x:row>
    <x:row r="25">
      <x:c r="A25" s="12" t="str">
        <x:v>2018-06-07</x:v>
      </x:c>
      <x:c r="B25" s="12" t="str">
        <x:v>AVGO</x:v>
      </x:c>
      <x:c r="C25" s="12" t="str">
        <x:v>prior</x:v>
      </x:c>
      <x:c r="D25" s="12" t="str">
        <x:v>2018-03-15</x:v>
      </x:c>
      <x:c r="E25" s="12" t="n">
        <x:v>-84</x:v>
      </x:c>
      <x:c r="F25" s="12" t="str">
        <x:v>Broadcom</x:v>
      </x:c>
      <x:c r="G25" s="12" t="str">
        <x:v>Broadcom Limited Announces First Quarter Fiscal Year 2018 Financial Results and Interim Dividend</x:v>
      </x:c>
      <x:c r="H25" s="12" t="str">
        <x:v>https://investors.broadcom.com/news-releases/news-release-details/broadcom-limited-announces-first-quarter-fiscal-year-2018-0</x:v>
      </x:c>
      <x:c r="I25" s="12" t="str">
        <x:v>VERIFIED</x:v>
      </x:c>
      <x:c r="J25" s="12" t="str">
        <x:v>PASS</x:v>
      </x:c>
      <x:c r="K25" s="12" t="str">
        <x:v>PASS</x:v>
      </x:c>
      <x:c r="L25" s="12" t="str">
        <x:v>PASS</x:v>
      </x:c>
      <x:c r="M25" s="12" t="str">
        <x:v>NO</x:v>
      </x:c>
      <x:c r="N25" s="12" t="str">
        <x:v>PASS</x:v>
      </x:c>
      <x:c r="O25" s="12" t="str">
        <x:v>FACTUAL</x:v>
      </x:c>
      <x:c r="P25" s="12" t="str">
        <x:v>PASS</x:v>
      </x:c>
      <x:c r="Q25" s="12" t="str">
        <x:v>Checked against Broadcom/AVGO, the exact event, publication date, timing window and prohibited-source rule.</x:v>
      </x:c>
    </x:row>
    <x:row r="26">
      <x:c r="A26" s="12" t="str">
        <x:v>2018-06-07</x:v>
      </x:c>
      <x:c r="B26" s="12" t="str">
        <x:v>AVGO</x:v>
      </x:c>
      <x:c r="C26" s="12" t="str">
        <x:v>release</x:v>
      </x:c>
      <x:c r="D26" s="12" t="str">
        <x:v>2018-06-07</x:v>
      </x:c>
      <x:c r="E26" s="12" t="n">
        <x:v>0</x:v>
      </x:c>
      <x:c r="F26" s="12" t="str">
        <x:v>Broadcom</x:v>
      </x:c>
      <x:c r="G26" s="12" t="str">
        <x:v>Broadcom Inc. Announces Second Quarter Fiscal Year 2018 Financial Results and Quarterly Dividend</x:v>
      </x:c>
      <x:c r="H26" s="12" t="str">
        <x:v>https://investors.broadcom.com/news-releases/news-release-details/broadcom-inc-announces-second-quarter-fiscal-year-2018-0</x:v>
      </x:c>
      <x:c r="I26" s="12" t="str">
        <x:v>VERIFIED</x:v>
      </x:c>
      <x:c r="J26" s="12" t="str">
        <x:v>PASS</x:v>
      </x:c>
      <x:c r="K26" s="12" t="str">
        <x:v>PASS</x:v>
      </x:c>
      <x:c r="L26" s="12" t="str">
        <x:v>PASS</x:v>
      </x:c>
      <x:c r="M26" s="12" t="str">
        <x:v>NO</x:v>
      </x:c>
      <x:c r="N26" s="12" t="str">
        <x:v>PASS</x:v>
      </x:c>
      <x:c r="O26" s="12" t="str">
        <x:v>FACTUAL</x:v>
      </x:c>
      <x:c r="P26" s="12" t="str">
        <x:v>PASS</x:v>
      </x:c>
      <x:c r="Q26" s="12" t="str">
        <x:v>Checked against Broadcom/AVGO, the exact event, publication date, timing window and prohibited-source rule.</x:v>
      </x:c>
    </x:row>
    <x:row r="27">
      <x:c r="A27" s="12" t="str">
        <x:v>2018-06-07</x:v>
      </x:c>
      <x:c r="B27" s="12" t="str">
        <x:v>AVGO</x:v>
      </x:c>
      <x:c r="C27" s="12" t="str">
        <x:v>reaction</x:v>
      </x:c>
      <x:c r="D27" s="12" t="str">
        <x:v>2018-06-08</x:v>
      </x:c>
      <x:c r="E27" s="12" t="n">
        <x:v>1</x:v>
      </x:c>
      <x:c r="F27" s="12" t="str">
        <x:v>Benzinga</x:v>
      </x:c>
      <x:c r="G27" s="12" t="str">
        <x:v>7 Stocks To Watch For June 8, 2018</x:v>
      </x:c>
      <x:c r="H27" s="12" t="str">
        <x:v>https://www.benzinga.com/news/earnings/18/06/11851263/7-stocks-to-watch-for-june-8-2018</x:v>
      </x:c>
      <x:c r="I27" s="12" t="str">
        <x:v>VERIFIED</x:v>
      </x:c>
      <x:c r="J27" s="12" t="str">
        <x:v>PASS</x:v>
      </x:c>
      <x:c r="K27" s="12" t="str">
        <x:v>PASS</x:v>
      </x:c>
      <x:c r="L27" s="12" t="str">
        <x:v>PASS</x:v>
      </x:c>
      <x:c r="M27" s="12" t="str">
        <x:v>NO</x:v>
      </x:c>
      <x:c r="N27" s="12" t="str">
        <x:v>PASS</x:v>
      </x:c>
      <x:c r="O27" s="12" t="str">
        <x:v>CONTEMPORANEOUS_ATTRIBUTION</x:v>
      </x:c>
      <x:c r="P27" s="12" t="str">
        <x:v>PASS</x:v>
      </x:c>
      <x:c r="Q27" s="12" t="str">
        <x:v>Checked against Broadcom/AVGO, the exact event, publication date, timing window and prohibited-source rule.</x:v>
      </x:c>
    </x:row>
    <x:row r="28">
      <x:c r="A28" s="12" t="str">
        <x:v>2018-09-06</x:v>
      </x:c>
      <x:c r="B28" s="12" t="str">
        <x:v>AVGO</x:v>
      </x:c>
      <x:c r="C28" s="12" t="str">
        <x:v>prior</x:v>
      </x:c>
      <x:c r="D28" s="12" t="str">
        <x:v>2018-06-07</x:v>
      </x:c>
      <x:c r="E28" s="12" t="n">
        <x:v>-91</x:v>
      </x:c>
      <x:c r="F28" s="12" t="str">
        <x:v>Broadcom</x:v>
      </x:c>
      <x:c r="G28" s="12" t="str">
        <x:v>Broadcom Inc. Announces Second Quarter Fiscal Year 2018 Financial Results and Quarterly Dividend</x:v>
      </x:c>
      <x:c r="H28" s="12" t="str">
        <x:v>https://investors.broadcom.com/news-releases/news-release-details/broadcom-inc-announces-second-quarter-fiscal-year-2018-0</x:v>
      </x:c>
      <x:c r="I28" s="12" t="str">
        <x:v>VERIFIED</x:v>
      </x:c>
      <x:c r="J28" s="12" t="str">
        <x:v>PASS</x:v>
      </x:c>
      <x:c r="K28" s="12" t="str">
        <x:v>PASS</x:v>
      </x:c>
      <x:c r="L28" s="12" t="str">
        <x:v>PASS</x:v>
      </x:c>
      <x:c r="M28" s="12" t="str">
        <x:v>NO</x:v>
      </x:c>
      <x:c r="N28" s="12" t="str">
        <x:v>PASS</x:v>
      </x:c>
      <x:c r="O28" s="12" t="str">
        <x:v>FACTUAL</x:v>
      </x:c>
      <x:c r="P28" s="12" t="str">
        <x:v>PASS</x:v>
      </x:c>
      <x:c r="Q28" s="12" t="str">
        <x:v>Checked against Broadcom/AVGO, the exact event, publication date, timing window and prohibited-source rule.</x:v>
      </x:c>
    </x:row>
    <x:row r="29">
      <x:c r="A29" s="12" t="str">
        <x:v>2018-09-06</x:v>
      </x:c>
      <x:c r="B29" s="12" t="str">
        <x:v>AVGO</x:v>
      </x:c>
      <x:c r="C29" s="12" t="str">
        <x:v>release</x:v>
      </x:c>
      <x:c r="D29" s="12" t="str">
        <x:v>2018-09-06</x:v>
      </x:c>
      <x:c r="E29" s="12" t="n">
        <x:v>0</x:v>
      </x:c>
      <x:c r="F29" s="12" t="str">
        <x:v>Broadcom</x:v>
      </x:c>
      <x:c r="G29" s="12" t="str">
        <x:v>Broadcom Inc. Announces Third Quarter Fiscal Year 2018 Financial Results and Quarterly Dividend</x:v>
      </x:c>
      <x:c r="H29" s="12" t="str">
        <x:v>https://investors.broadcom.com/news-releases/news-release-details/broadcom-inc-announces-third-quarter-fiscal-year-2018-financial</x:v>
      </x:c>
      <x:c r="I29" s="12" t="str">
        <x:v>VERIFIED</x:v>
      </x:c>
      <x:c r="J29" s="12" t="str">
        <x:v>PASS</x:v>
      </x:c>
      <x:c r="K29" s="12" t="str">
        <x:v>PASS</x:v>
      </x:c>
      <x:c r="L29" s="12" t="str">
        <x:v>PASS</x:v>
      </x:c>
      <x:c r="M29" s="12" t="str">
        <x:v>NO</x:v>
      </x:c>
      <x:c r="N29" s="12" t="str">
        <x:v>PASS</x:v>
      </x:c>
      <x:c r="O29" s="12" t="str">
        <x:v>FACTUAL</x:v>
      </x:c>
      <x:c r="P29" s="12" t="str">
        <x:v>PASS</x:v>
      </x:c>
      <x:c r="Q29" s="12" t="str">
        <x:v>Checked against Broadcom/AVGO, the exact event, publication date, timing window and prohibited-source rule.</x:v>
      </x:c>
    </x:row>
    <x:row r="30">
      <x:c r="A30" s="12" t="str">
        <x:v>2018-09-06</x:v>
      </x:c>
      <x:c r="B30" s="12" t="str">
        <x:v>AVGO</x:v>
      </x:c>
      <x:c r="C30" s="12" t="str">
        <x:v>reaction</x:v>
      </x:c>
      <x:c r="D30" s="12" t="str">
        <x:v>2018-09-07</x:v>
      </x:c>
      <x:c r="E30" s="12" t="n">
        <x:v>1</x:v>
      </x:c>
      <x:c r="F30" s="12" t="str">
        <x:v>The Motley Fool</x:v>
      </x:c>
      <x:c r="G30" s="12" t="str">
        <x:v>Why Barnes &amp; Noble, Five Below, and Broadcom Jumped Today</x:v>
      </x:c>
      <x:c r="H30" s="12" t="str">
        <x:v>https://www.fool.com/investing/2018/09/07/why-barnes-noble-five-below-and-broadcom-jumped-to.aspx</x:v>
      </x:c>
      <x:c r="I30" s="12" t="str">
        <x:v>VERIFIED</x:v>
      </x:c>
      <x:c r="J30" s="12" t="str">
        <x:v>PASS</x:v>
      </x:c>
      <x:c r="K30" s="12" t="str">
        <x:v>PASS</x:v>
      </x:c>
      <x:c r="L30" s="12" t="str">
        <x:v>PASS</x:v>
      </x:c>
      <x:c r="M30" s="12" t="str">
        <x:v>NO</x:v>
      </x:c>
      <x:c r="N30" s="12" t="str">
        <x:v>PASS</x:v>
      </x:c>
      <x:c r="O30" s="12" t="str">
        <x:v>CONTEMPORANEOUS_ATTRIBUTION</x:v>
      </x:c>
      <x:c r="P30" s="12" t="str">
        <x:v>PASS</x:v>
      </x:c>
      <x:c r="Q30" s="12" t="str">
        <x:v>Checked against Broadcom/AVGO, the exact event, publication date, timing window and prohibited-source rule.</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6" hidden="0" customWidth="1"/>
    <x:col min="5" max="5" width="20" hidden="0" customWidth="1"/>
    <x:col min="6" max="6" width="20" hidden="0" customWidth="1"/>
    <x:col min="7" max="7" width="20" hidden="0" customWidth="1"/>
    <x:col min="8" max="8" width="18" hidden="0" customWidth="1"/>
    <x:col min="9" max="9" width="14" hidden="0" customWidth="1"/>
    <x:col min="10" max="10" width="23" hidden="0" customWidth="1"/>
    <x:col min="11" max="11" width="14" hidden="0" customWidth="1"/>
  </x:cols>
  <x:sheetData>
    <x:row r="1">
      <x:c r="A1" s="5" t="str">
        <x:v>earnings_date</x:v>
      </x:c>
      <x:c r="B1" s="5" t="str">
        <x:v>ticker</x:v>
      </x:c>
      <x:c r="C1" s="5" t="str">
        <x:v>ret_1day_pct</x:v>
      </x:c>
      <x:c r="D1" s="5" t="str">
        <x:v>ret_1daypost_pct</x:v>
      </x:c>
      <x:c r="E1" s="5" t="str">
        <x:v>reaction_basis</x:v>
      </x:c>
      <x:c r="F1" s="5" t="str">
        <x:v>computed_direction</x:v>
      </x:c>
      <x:c r="G1" s="5" t="str">
        <x:v>narrative_direction</x:v>
      </x:c>
      <x:c r="H1" s="5" t="str">
        <x:v>direction_match</x:v>
      </x:c>
      <x:c r="I1" s="5" t="str">
        <x:v>source_count</x:v>
      </x:c>
      <x:c r="J1" s="5" t="str">
        <x:v>source_audit_pass_count</x:v>
      </x:c>
      <x:c r="K1" s="5" t="str">
        <x:v>qa_status</x:v>
      </x:c>
    </x:row>
    <x:row r="2">
      <x:c r="A2" t="str">
        <x:v>2016-06-02</x:v>
      </x:c>
      <x:c r="B2" t="str">
        <x:v>AVGO</x:v>
      </x:c>
      <x:c r="C2" s="20" t="n">
        <x:v>-0.27</x:v>
      </x:c>
      <x:c r="D2" s="20" t="n">
        <x:v>5.13</x:v>
      </x:c>
      <x:c r="E2" t="str">
        <x:v>ret_1daypost_pct</x:v>
      </x:c>
      <x:c r="F2" t="str">
        <x:f>IF(D2&gt;0.1,"UP",IF(D2&lt;-0.1,"DOWN","FLAT"))</x:f>
        <x:v>UP</x:v>
      </x:c>
      <x:c r="G2" t="str">
        <x:v>UP</x:v>
      </x:c>
      <x:c r="H2" t="str">
        <x:f>IF(F2=G2,"PASS","FAIL")</x:f>
        <x:v>PASS</x:v>
      </x:c>
      <x:c r="I2" t="n">
        <x:v>2</x:v>
      </x:c>
      <x:c r="J2" t="n">
        <x:f>COUNTIFS('Source Audit'!$A:$A,A2,'Source Audit'!$P:$P,"PASS")</x:f>
        <x:v>2</x:v>
      </x:c>
      <x:c r="K2" t="str">
        <x:f>IF(AND(H2="PASS",J2=I2),"PASS","FAIL")</x:f>
        <x:v>PASS</x:v>
      </x:c>
    </x:row>
    <x:row r="3">
      <x:c r="A3" t="str">
        <x:v>2016-09-01</x:v>
      </x:c>
      <x:c r="B3" t="str">
        <x:v>AVGO</x:v>
      </x:c>
      <x:c r="C3" s="20" t="n">
        <x:v>0.3</x:v>
      </x:c>
      <x:c r="D3" s="20" t="n">
        <x:v>-2.84</x:v>
      </x:c>
      <x:c r="E3" t="str">
        <x:v>ret_1daypost_pct</x:v>
      </x:c>
      <x:c r="F3" t="str">
        <x:f>IF(D3&gt;0.1,"UP",IF(D3&lt;-0.1,"DOWN","FLAT"))</x:f>
        <x:v>DOWN</x:v>
      </x:c>
      <x:c r="G3" t="str">
        <x:v>DOWN</x:v>
      </x:c>
      <x:c r="H3" t="str">
        <x:f>IF(F3=G3,"PASS","FAIL")</x:f>
        <x:v>PASS</x:v>
      </x:c>
      <x:c r="I3" t="n">
        <x:v>3</x:v>
      </x:c>
      <x:c r="J3" t="n">
        <x:f>COUNTIFS('Source Audit'!$A:$A,A3,'Source Audit'!$P:$P,"PASS")</x:f>
        <x:v>3</x:v>
      </x:c>
      <x:c r="K3" t="str">
        <x:f>IF(AND(H3="PASS",J3=I3),"PASS","FAIL")</x:f>
        <x:v>PASS</x:v>
      </x:c>
    </x:row>
    <x:row r="4">
      <x:c r="A4" t="str">
        <x:v>2016-12-08</x:v>
      </x:c>
      <x:c r="B4" t="str">
        <x:v>AVGO</x:v>
      </x:c>
      <x:c r="C4" s="20" t="n">
        <x:v>0.91</x:v>
      </x:c>
      <x:c r="D4" s="20" t="n">
        <x:v>4.52</x:v>
      </x:c>
      <x:c r="E4" t="str">
        <x:v>ret_1daypost_pct</x:v>
      </x:c>
      <x:c r="F4" t="str">
        <x:f>IF(D4&gt;0.1,"UP",IF(D4&lt;-0.1,"DOWN","FLAT"))</x:f>
        <x:v>UP</x:v>
      </x:c>
      <x:c r="G4" t="str">
        <x:v>UP</x:v>
      </x:c>
      <x:c r="H4" t="str">
        <x:f>IF(F4=G4,"PASS","FAIL")</x:f>
        <x:v>PASS</x:v>
      </x:c>
      <x:c r="I4" t="n">
        <x:v>3</x:v>
      </x:c>
      <x:c r="J4" t="n">
        <x:f>COUNTIFS('Source Audit'!$A:$A,A4,'Source Audit'!$P:$P,"PASS")</x:f>
        <x:v>3</x:v>
      </x:c>
      <x:c r="K4" t="str">
        <x:f>IF(AND(H4="PASS",J4=I4),"PASS","FAIL")</x:f>
        <x:v>PASS</x:v>
      </x:c>
    </x:row>
    <x:row r="5">
      <x:c r="A5" t="str">
        <x:v>2017-03-01</x:v>
      </x:c>
      <x:c r="B5" t="str">
        <x:v>AVGO</x:v>
      </x:c>
      <x:c r="C5" s="20" t="n">
        <x:v>0.66</x:v>
      </x:c>
      <x:c r="D5" s="20" t="n">
        <x:v>1.69</x:v>
      </x:c>
      <x:c r="E5" t="str">
        <x:v>ret_1daypost_pct</x:v>
      </x:c>
      <x:c r="F5" t="str">
        <x:f>IF(D5&gt;0.1,"UP",IF(D5&lt;-0.1,"DOWN","FLAT"))</x:f>
        <x:v>UP</x:v>
      </x:c>
      <x:c r="G5" t="str">
        <x:v>UP</x:v>
      </x:c>
      <x:c r="H5" t="str">
        <x:f>IF(F5=G5,"PASS","FAIL")</x:f>
        <x:v>PASS</x:v>
      </x:c>
      <x:c r="I5" t="n">
        <x:v>3</x:v>
      </x:c>
      <x:c r="J5" t="n">
        <x:f>COUNTIFS('Source Audit'!$A:$A,A5,'Source Audit'!$P:$P,"PASS")</x:f>
        <x:v>3</x:v>
      </x:c>
      <x:c r="K5" t="str">
        <x:f>IF(AND(H5="PASS",J5=I5),"PASS","FAIL")</x:f>
        <x:v>PASS</x:v>
      </x:c>
    </x:row>
    <x:row r="6">
      <x:c r="A6" t="str">
        <x:v>2017-06-01</x:v>
      </x:c>
      <x:c r="B6" t="str">
        <x:v>AVGO</x:v>
      </x:c>
      <x:c r="C6" s="20" t="n">
        <x:v>-2.95</x:v>
      </x:c>
      <x:c r="D6" s="20" t="n">
        <x:v>8.15</x:v>
      </x:c>
      <x:c r="E6" t="str">
        <x:v>ret_1daypost_pct</x:v>
      </x:c>
      <x:c r="F6" t="str">
        <x:f>IF(D6&gt;0.1,"UP",IF(D6&lt;-0.1,"DOWN","FLAT"))</x:f>
        <x:v>UP</x:v>
      </x:c>
      <x:c r="G6" t="str">
        <x:v>UP</x:v>
      </x:c>
      <x:c r="H6" t="str">
        <x:f>IF(F6=G6,"PASS","FAIL")</x:f>
        <x:v>PASS</x:v>
      </x:c>
      <x:c r="I6" t="n">
        <x:v>3</x:v>
      </x:c>
      <x:c r="J6" t="n">
        <x:f>COUNTIFS('Source Audit'!$A:$A,A6,'Source Audit'!$P:$P,"PASS")</x:f>
        <x:v>3</x:v>
      </x:c>
      <x:c r="K6" t="str">
        <x:f>IF(AND(H6="PASS",J6=I6),"PASS","FAIL")</x:f>
        <x:v>PASS</x:v>
      </x:c>
    </x:row>
    <x:row r="7">
      <x:c r="A7" t="str">
        <x:v>2017-08-24</x:v>
      </x:c>
      <x:c r="B7" t="str">
        <x:v>AVGO</x:v>
      </x:c>
      <x:c r="C7" s="20" t="n">
        <x:v>-0.61</x:v>
      </x:c>
      <x:c r="D7" s="20" t="n">
        <x:v>-3.91</x:v>
      </x:c>
      <x:c r="E7" t="str">
        <x:v>ret_1daypost_pct</x:v>
      </x:c>
      <x:c r="F7" t="str">
        <x:f>IF(D7&gt;0.1,"UP",IF(D7&lt;-0.1,"DOWN","FLAT"))</x:f>
        <x:v>DOWN</x:v>
      </x:c>
      <x:c r="G7" t="str">
        <x:v>DOWN</x:v>
      </x:c>
      <x:c r="H7" t="str">
        <x:f>IF(F7=G7,"PASS","FAIL")</x:f>
        <x:v>PASS</x:v>
      </x:c>
      <x:c r="I7" t="n">
        <x:v>3</x:v>
      </x:c>
      <x:c r="J7" t="n">
        <x:f>COUNTIFS('Source Audit'!$A:$A,A7,'Source Audit'!$P:$P,"PASS")</x:f>
        <x:v>3</x:v>
      </x:c>
      <x:c r="K7" t="str">
        <x:f>IF(AND(H7="PASS",J7=I7),"PASS","FAIL")</x:f>
        <x:v>PASS</x:v>
      </x:c>
    </x:row>
    <x:row r="8">
      <x:c r="A8" t="str">
        <x:v>2017-12-06</x:v>
      </x:c>
      <x:c r="B8" t="str">
        <x:v>AVGO</x:v>
      </x:c>
      <x:c r="C8" s="20" t="n">
        <x:v>0.99</x:v>
      </x:c>
      <x:c r="D8" s="20" t="n">
        <x:v>-0.4</x:v>
      </x:c>
      <x:c r="E8" t="str">
        <x:v>ret_1daypost_pct</x:v>
      </x:c>
      <x:c r="F8" t="str">
        <x:f>IF(D8&gt;0.1,"UP",IF(D8&lt;-0.1,"DOWN","FLAT"))</x:f>
        <x:v>DOWN</x:v>
      </x:c>
      <x:c r="G8" t="str">
        <x:v>DOWN</x:v>
      </x:c>
      <x:c r="H8" t="str">
        <x:f>IF(F8=G8,"PASS","FAIL")</x:f>
        <x:v>PASS</x:v>
      </x:c>
      <x:c r="I8" t="n">
        <x:v>3</x:v>
      </x:c>
      <x:c r="J8" t="n">
        <x:f>COUNTIFS('Source Audit'!$A:$A,A8,'Source Audit'!$P:$P,"PASS")</x:f>
        <x:v>3</x:v>
      </x:c>
      <x:c r="K8" t="str">
        <x:f>IF(AND(H8="PASS",J8=I8),"PASS","FAIL")</x:f>
        <x:v>PASS</x:v>
      </x:c>
    </x:row>
    <x:row r="9">
      <x:c r="A9" t="str">
        <x:v>2018-03-15</x:v>
      </x:c>
      <x:c r="B9" t="str">
        <x:v>AVGO</x:v>
      </x:c>
      <x:c r="C9" s="20" t="n">
        <x:v>2.97</x:v>
      </x:c>
      <x:c r="D9" s="20" t="n">
        <x:v>-5.06</x:v>
      </x:c>
      <x:c r="E9" t="str">
        <x:v>ret_1daypost_pct</x:v>
      </x:c>
      <x:c r="F9" t="str">
        <x:f>IF(D9&gt;0.1,"UP",IF(D9&lt;-0.1,"DOWN","FLAT"))</x:f>
        <x:v>DOWN</x:v>
      </x:c>
      <x:c r="G9" t="str">
        <x:v>DOWN</x:v>
      </x:c>
      <x:c r="H9" t="str">
        <x:f>IF(F9=G9,"PASS","FAIL")</x:f>
        <x:v>PASS</x:v>
      </x:c>
      <x:c r="I9" t="n">
        <x:v>3</x:v>
      </x:c>
      <x:c r="J9" t="n">
        <x:f>COUNTIFS('Source Audit'!$A:$A,A9,'Source Audit'!$P:$P,"PASS")</x:f>
        <x:v>3</x:v>
      </x:c>
      <x:c r="K9" t="str">
        <x:f>IF(AND(H9="PASS",J9=I9),"PASS","FAIL")</x:f>
        <x:v>PASS</x:v>
      </x:c>
    </x:row>
    <x:row r="10">
      <x:c r="A10" t="str">
        <x:v>2018-06-07</x:v>
      </x:c>
      <x:c r="B10" t="str">
        <x:v>AVGO</x:v>
      </x:c>
      <x:c r="C10" s="20" t="n">
        <x:v>0.55</x:v>
      </x:c>
      <x:c r="D10" s="20" t="n">
        <x:v>-2.83</x:v>
      </x:c>
      <x:c r="E10" t="str">
        <x:v>ret_1daypost_pct</x:v>
      </x:c>
      <x:c r="F10" t="str">
        <x:f>IF(D10&gt;0.1,"UP",IF(D10&lt;-0.1,"DOWN","FLAT"))</x:f>
        <x:v>DOWN</x:v>
      </x:c>
      <x:c r="G10" t="str">
        <x:v>DOWN</x:v>
      </x:c>
      <x:c r="H10" t="str">
        <x:f>IF(F10=G10,"PASS","FAIL")</x:f>
        <x:v>PASS</x:v>
      </x:c>
      <x:c r="I10" t="n">
        <x:v>3</x:v>
      </x:c>
      <x:c r="J10" t="n">
        <x:f>COUNTIFS('Source Audit'!$A:$A,A10,'Source Audit'!$P:$P,"PASS")</x:f>
        <x:v>3</x:v>
      </x:c>
      <x:c r="K10" t="str">
        <x:f>IF(AND(H10="PASS",J10=I10),"PASS","FAIL")</x:f>
        <x:v>PASS</x:v>
      </x:c>
    </x:row>
    <x:row r="11">
      <x:c r="A11" t="str">
        <x:v>2018-09-06</x:v>
      </x:c>
      <x:c r="B11" t="str">
        <x:v>AVGO</x:v>
      </x:c>
      <x:c r="C11" s="20" t="n">
        <x:v>-2.06</x:v>
      </x:c>
      <x:c r="D11" s="20" t="n">
        <x:v>7.93</x:v>
      </x:c>
      <x:c r="E11" t="str">
        <x:v>ret_1daypost_pct</x:v>
      </x:c>
      <x:c r="F11" t="str">
        <x:f>IF(D11&gt;0.1,"UP",IF(D11&lt;-0.1,"DOWN","FLAT"))</x:f>
        <x:v>UP</x:v>
      </x:c>
      <x:c r="G11" t="str">
        <x:v>UP</x:v>
      </x:c>
      <x:c r="H11" t="str">
        <x:f>IF(F11=G11,"PASS","FAIL")</x:f>
        <x:v>PASS</x:v>
      </x:c>
      <x:c r="I11" t="n">
        <x:v>3</x:v>
      </x:c>
      <x:c r="J11" t="n">
        <x:f>COUNTIFS('Source Audit'!$A:$A,A11,'Source Audit'!$P:$P,"PASS")</x:f>
        <x:v>3</x:v>
      </x:c>
      <x:c r="K11" t="str">
        <x:f>IF(AND(H11="PASS",J11=I11),"PASS","FAIL")</x:f>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10" hidden="0" customWidth="1"/>
  </x:cols>
  <x:sheetData>
    <x:row r="1">
      <x:c r="A1" s="5" t="str">
        <x:v>Item</x:v>
      </x:c>
      <x:c r="B1" s="5" t="str">
        <x:v>Rule</x:v>
      </x:c>
    </x:row>
    <x:row r="2">
      <x:c r="A2" s="12" t="str">
        <x:v>Rebuild status</x:v>
      </x:c>
      <x:c r="B2" s="12" t="str">
        <x:v>AVGO rebuilt from scratch.</x:v>
      </x:c>
    </x:row>
    <x:row r="3">
      <x:c r="A3" s="12" t="str">
        <x:v>Identity source</x:v>
      </x:c>
      <x:c r="B3" s="12" t="str">
        <x:v>Ticker/company, exact earnings dates and return fields come from group_observations.csv.</x:v>
      </x:c>
    </x:row>
    <x:row r="4">
      <x:c r="A4" s="12" t="str">
        <x:v>Reaction basis</x:v>
      </x:c>
      <x:c r="B4" s="12" t="str">
        <x:v>Broadcom reported after market close; ret_1daypost_pct is used for mechanical direction QA.</x:v>
      </x:c>
    </x:row>
    <x:row r="5">
      <x:c r="A5" s="12" t="str">
        <x:v>Narrative</x:v>
      </x:c>
      <x:c r="B5" s="12" t="str">
        <x:v>Short Prior Context, detailed Current Earnings Release, three concise Possible Drivers.</x:v>
      </x:c>
    </x:row>
    <x:row r="6">
      <x:c r="A6" s="12" t="str">
        <x:v>Sources</x:v>
      </x:c>
      <x:c r="B6" s="12" t="str">
        <x:v>Broadcom IR is the factual anchor; each event has a verified contemporaneous reaction source. A prior source is included only when a valid page exists inside the -100 to -1 day window.</x:v>
      </x:c>
    </x:row>
    <x:row r="7">
      <x:c r="A7" s="12" t="str">
        <x:v>Timing</x:v>
      </x:c>
      <x:c r="B7" s="12" t="str">
        <x:v>Prior = -100..-1; release = 0; reaction = 0..+3.</x:v>
      </x:c>
    </x:row>
    <x:row r="8">
      <x:c r="A8" s="12" t="str">
        <x:v>Restrictions</x:v>
      </x:c>
      <x:c r="B8" s="12" t="str">
        <x:v>No WSJ, Reuters, Dow Jones or MarketWatch-syndicated article is included.</x:v>
      </x:c>
    </x:row>
    <x:row r="9">
      <x:c r="A9" s="12" t="str">
        <x:v>QA</x:v>
      </x:c>
      <x:c r="B9" s="12" t="str">
        <x:v>Direction and exact expected source count are checked independently on Event QA.</x:v>
      </x:c>
    </x:row>
  </x:sheetData>
  <x:pageMargins left="0.7" right="0.7" top="0.75" bottom="0.75" header="0.3" footer="0.3"/>
</x:worksheet>
</file>