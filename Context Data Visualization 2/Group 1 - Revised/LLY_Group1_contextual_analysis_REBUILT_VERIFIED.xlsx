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a58fcfd9e44e09" /></Relationships>
</file>

<file path=xl/workbook.xml><?xml version="1.0" encoding="utf-8"?>
<x:workbook xmlns:x="http://schemas.openxmlformats.org/spreadsheetml/2006/main">
  <x:sheets>
    <x:sheet xmlns:r="http://schemas.openxmlformats.org/officeDocument/2006/relationships" name="LLY" sheetId="1" r:id="Rf751a2fe6bf14c54"/>
    <x:sheet xmlns:r="http://schemas.openxmlformats.org/officeDocument/2006/relationships" name="Source Audit" sheetId="2" r:id="R0a3334c7bceb4150"/>
    <x:sheet xmlns:r="http://schemas.openxmlformats.org/officeDocument/2006/relationships" name="Event QA" sheetId="3" r:id="Rd3c4126421ba4936"/>
    <x:sheet xmlns:r="http://schemas.openxmlformats.org/officeDocument/2006/relationships" name="Methodology" sheetId="4" r:id="R90dc571cd32f422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8afbe2427c4e81" /><Relationship Type="http://schemas.openxmlformats.org/officeDocument/2006/relationships/theme" Target="/xl/theme/theme1.xml" Id="R3f217130edef423d" /><Relationship Type="http://schemas.openxmlformats.org/officeDocument/2006/relationships/sharedStrings" Target="/xl/sharedStrings.xml" Id="R9ca50014a2bd49f0" /><Relationship Type="http://schemas.openxmlformats.org/officeDocument/2006/relationships/worksheet" Target="/xl/worksheets/sheet1.xml" Id="Rf751a2fe6bf14c54" /><Relationship Type="http://schemas.openxmlformats.org/officeDocument/2006/relationships/worksheet" Target="/xl/worksheets/sheet2.xml" Id="R0a3334c7bceb4150" /><Relationship Type="http://schemas.openxmlformats.org/officeDocument/2006/relationships/worksheet" Target="/xl/worksheets/sheet3.xml" Id="Rd3c4126421ba4936" /><Relationship Type="http://schemas.openxmlformats.org/officeDocument/2006/relationships/worksheet" Target="/xl/worksheets/sheet4.xml" Id="R90dc571cd32f42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LLY</x:v>
      </x:c>
      <x:c r="C2" s="15" t="str">
        <x:v>Eli Lilly</x:v>
      </x:c>
      <x:c r="D2" s="15" t="str">
        <x:v>2016q2</x:v>
      </x:c>
      <x:c r="E2" s="15" t="str">
        <x:v>2016-04-26</x:v>
      </x:c>
      <x:c r="F2" s="18" t="n">
        <x:v>-2.48</x:v>
      </x:c>
      <x:c r="G2" s="18" t="n">
        <x:v>0.05</x:v>
      </x:c>
      <x:c r="H2" s="18" t="n">
        <x:v>-2.43</x:v>
      </x:c>
      <x:c r="I2" s="18" t="n">
        <x:v>-2.02</x:v>
      </x:c>
      <x:c r="J2" s="18" t="n">
        <x:v>-2</x:v>
      </x:c>
      <x:c r="K2" s="15" t="str">
        <x:v>ret_1day_pct</x:v>
      </x:c>
      <x:c r="L2" s="15" t="str">
        <x:v>DOWN</x:v>
      </x:c>
      <x:c r="M2" s="15" t="str">
        <x:v>## Prior Context
The 2015 year-end report had shown the new-product portfolio beginning to offset older patent losses. Q1 was a test of whether Trulicity, Cyramza and other launches could produce enough volume growth to overcome higher R&amp;D and launch spending.
### Verified prior source
2016-01-28 | Eli Lilly | Lilly Reports Fourth-Quarter and Full-Year 2015 Results | https://investor.lilly.com/news-releases/news-release-details/lilly-reports-fourth-quarter-and-full-year-2015-results
## Current Earnings Release
Lilly reported **$4.87 billion of revenue**, up 5% year over year, and non-GAAP EPS of **$0.83**. Revenue was roughly in line to slightly above consensus, but EPS missed the approximately **$0.85** expectation. New products generated about **$325 million** of revenue and were the main source of volume growth, led by diabetes products such as Trulicity and Jardiance.
The weakness was profitability. Operating expenses increased as Lilly funded launches and late-stage R&amp;D, while management also revised reported guidance for Venezuela-related foreign-exchange effects. The quarter therefore showed that the product transition was working on the top line but was not yet producing the earnings leverage investors wanted.
### Verified release source
2016-04-26 | Eli Lilly | Lilly Reports First-Quarter 2016 Results, Revises 2016 Financial Guidance | https://investor.lilly.com/news-releases/news-release-details/lilly-reports-first-quarter-2016-results-revises-2016-financial
## Possible Drivers
**First-order driver.** The stock fell because EPS missed expectations despite revenue holding up.
**Second-order driver.** Higher R&amp;D and launch spending absorbed much of the benefit from new-product growth.
**Third-order driver.** Trulicity and other newer drugs improved the long-term mix, limiting the severity of the disappointment.
### Verified reaction source
2016-04-26 | Fierce Pharma | Lilly falls short on Q1 EPS, but diabetes newcomers keep revenue in line | https://www.fiercepharma.com/pharma/lilly-falls-short-q1-eps-but-diabetes-newcomers-keep-revenue-line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2" s="15" t="str">
        <x:v>2016-01-28 | Eli Lilly | Lilly Reports Fourth-Quarter and Full-Year 2015 Results | https://investor.lilly.com/news-releases/news-release-details/lilly-reports-fourth-quarter-and-full-year-2015-results</x:v>
      </x:c>
      <x:c r="O2" s="15" t="str">
        <x:v>2016-04-26 | Eli Lilly | Lilly Reports First-Quarter 2016 Results, Revises 2016 Financial Guidance | https://investor.lilly.com/news-releases/news-release-details/lilly-reports-first-quarter-2016-results-revises-2016-financial</x:v>
      </x:c>
      <x:c r="P2" s="15" t="str">
        <x:v>2016-04-26 | Fierce Pharma | Lilly falls short on Q1 EPS, but diabetes newcomers keep revenue in line | https://www.fiercepharma.com/pharma/lilly-falls-short-q1-eps-but-diabetes-newcomers-keep-revenue-line</x:v>
      </x:c>
      <x:c r="Q2" s="15" t="str">
        <x:v>2016-01-28 | Eli Lilly | Lilly Reports Fourth-Quarter and Full-Year 2015 Results | https://investor.lilly.com/news-releases/news-release-details/lilly-reports-fourth-quarter-and-full-year-2015-results
2016-04-26 | Eli Lilly | Lilly Reports First-Quarter 2016 Results, Revises 2016 Financial Guidance | https://investor.lilly.com/news-releases/news-release-details/lilly-reports-first-quarter-2016-results-revises-2016-financial
2016-04-26 | Fierce Pharma | Lilly falls short on Q1 EPS, but diabetes newcomers keep revenue in line | https://www.fiercepharma.com/pharma/lilly-falls-short-q1-eps-but-diabetes-newcomers-keep-revenue-line</x:v>
      </x:c>
      <x:c r="R2" s="15" t="n">
        <x:v>3</x:v>
      </x:c>
      <x:c r="S2" s="15" t="str">
        <x:v>PASS</x:v>
      </x:c>
    </x:row>
    <x:row r="3" ht="340" customHeight="1">
      <x:c r="A3" s="15" t="n">
        <x:v>1</x:v>
      </x:c>
      <x:c r="B3" s="15" t="str">
        <x:v>LLY</x:v>
      </x:c>
      <x:c r="C3" s="15" t="str">
        <x:v>Eli Lilly</x:v>
      </x:c>
      <x:c r="D3" s="15" t="str">
        <x:v>2016q3</x:v>
      </x:c>
      <x:c r="E3" s="15" t="str">
        <x:v>2016-07-26</x:v>
      </x:c>
      <x:c r="F3" s="18" t="n">
        <x:v>-0.03</x:v>
      </x:c>
      <x:c r="G3" s="18" t="n">
        <x:v>1.72</x:v>
      </x:c>
      <x:c r="H3" s="18" t="n">
        <x:v>1.69</x:v>
      </x:c>
      <x:c r="I3" s="18" t="n">
        <x:v>2.5</x:v>
      </x:c>
      <x:c r="J3" s="18" t="n">
        <x:v>1.43</x:v>
      </x:c>
      <x:c r="K3" s="15" t="str">
        <x:v>ret_1day_pct</x:v>
      </x:c>
      <x:c r="L3" s="15" t="str">
        <x:v>FLAT</x:v>
      </x:c>
      <x:c r="M3" s="15" t="str">
        <x:v>## Prior Context
After the Q1 EPS miss, Lilly needed proof that new-product volume growth was becoming large enough to support a durable post-patent-cliff recovery.
### Verified prior source
2016-04-26 | Eli Lilly | Lilly Reports First-Quarter 2016 Results, Revises 2016 Financial Guidance | https://investor.lilly.com/news-releases/news-release-details/lilly-reports-first-quarter-2016-results-revises-2016-financial
## Current Earnings Release
Q2 revenue increased **9% to $5.40 billion**, driven primarily by an **8% increase in volume**. Non-GAAP EPS was **$0.86**, essentially in line with consensus, while revenue was comfortably above expectations near $5.15 billion.
More important than the quarter itself, Lilly laid out expectations through the remainder of the decade: at least **5% average annual revenue growth** on a constant-currency basis, driven by volume, together with improving gross margin. Trulicity, Cyramza and Humalog were central to that outlook. The release therefore improved confidence in the long-term growth algorithm even though current EPS was only in line.
### Verified release source
2016-07-26 | Eli Lilly | Lilly Reports Second-Quarter 2016 Results, Provides Financial Expectations Through the Remainder of the Decade | https://investor.lilly.com/news-releases/news-release-details/lilly-reports-second-quarter-2016-results-provides-financial
## Possible Drivers
**First-order driver.** The full-day stock reaction was essentially flat because a revenue beat and strong long-term outlook were balanced by merely in-line EPS.
**Second-order driver.** New-product volume growth validated the post-patent-cliff recovery strategy.
**Third-order driver.** Management’s 5% long-term revenue-growth framework was strategically positive but not a near-term earnings surprise.
### Verified reaction source
2016-07-26 | TheStreet | Eli Lilly (LLY) Stock Rising After Mixed Q2 Results | https://www.thestreet.com/markets/eli-lilly-lly-stock-rising-after-mixed-q2-results-13651890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3" s="15" t="str">
        <x:v>2016-04-26 | Eli Lilly | Lilly Reports First-Quarter 2016 Results, Revises 2016 Financial Guidance | https://investor.lilly.com/news-releases/news-release-details/lilly-reports-first-quarter-2016-results-revises-2016-financial</x:v>
      </x:c>
      <x:c r="O3" s="15" t="str">
        <x:v>2016-07-26 | Eli Lilly | Lilly Reports Second-Quarter 2016 Results, Provides Financial Expectations Through the Remainder of the Decade | https://investor.lilly.com/news-releases/news-release-details/lilly-reports-second-quarter-2016-results-provides-financial</x:v>
      </x:c>
      <x:c r="P3" s="15" t="str">
        <x:v>2016-07-26 | TheStreet | Eli Lilly (LLY) Stock Rising After Mixed Q2 Results | https://www.thestreet.com/markets/eli-lilly-lly-stock-rising-after-mixed-q2-results-13651890</x:v>
      </x:c>
      <x:c r="Q3" s="15" t="str">
        <x:v>2016-04-26 | Eli Lilly | Lilly Reports First-Quarter 2016 Results, Revises 2016 Financial Guidance | https://investor.lilly.com/news-releases/news-release-details/lilly-reports-first-quarter-2016-results-revises-2016-financial
2016-07-26 | Eli Lilly | Lilly Reports Second-Quarter 2016 Results, Provides Financial Expectations Through the Remainder of the Decade | https://investor.lilly.com/news-releases/news-release-details/lilly-reports-second-quarter-2016-results-provides-financial
2016-07-26 | TheStreet | Eli Lilly (LLY) Stock Rising After Mixed Q2 Results | https://www.thestreet.com/markets/eli-lilly-lly-stock-rising-after-mixed-q2-results-13651890</x:v>
      </x:c>
      <x:c r="R3" s="15" t="n">
        <x:v>3</x:v>
      </x:c>
      <x:c r="S3" s="15" t="str">
        <x:v>PASS</x:v>
      </x:c>
    </x:row>
    <x:row r="4" ht="340" customHeight="1">
      <x:c r="A4" s="15" t="n">
        <x:v>2</x:v>
      </x:c>
      <x:c r="B4" s="15" t="str">
        <x:v>LLY</x:v>
      </x:c>
      <x:c r="C4" s="15" t="str">
        <x:v>Eli Lilly</x:v>
      </x:c>
      <x:c r="D4" s="15" t="str">
        <x:v>2016q4</x:v>
      </x:c>
      <x:c r="E4" s="15" t="str">
        <x:v>2016-10-25</x:v>
      </x:c>
      <x:c r="F4" s="18" t="n">
        <x:v>0.67</x:v>
      </x:c>
      <x:c r="G4" s="18" t="n">
        <x:v>-1</x:v>
      </x:c>
      <x:c r="H4" s="18" t="n">
        <x:v>-0.33</x:v>
      </x:c>
      <x:c r="I4" s="18" t="n">
        <x:v>-1.64</x:v>
      </x:c>
      <x:c r="J4" s="18" t="n">
        <x:v>-3.86</x:v>
      </x:c>
      <x:c r="K4" s="15" t="str">
        <x:v>ret_1day_pct</x:v>
      </x:c>
      <x:c r="L4" s="15" t="str">
        <x:v>UP</x:v>
      </x:c>
      <x:c r="M4" s="15" t="str">
        <x:v>## Prior Context
Lilly entered Q3 with a credible long-term growth plan, but the near-term hurdle remained execution on newer drugs and margins while older products continued losing exclusivity.
### Verified prior source
2016-07-26 | Eli Lilly | Lilly Reports Second-Quarter 2016 Results, Provides Financial Expectations Through the Remainder of the Decade | https://investor.lilly.com/news-releases/news-release-details/lilly-reports-second-quarter-2016-results-provides-financial
## Current Earnings Release
Q3 revenue increased **5% to $5.19 billion** and non-GAAP EPS was **$0.88**. Both missed consensus—roughly $5.3 billion of revenue and $0.96 EPS. International sales were pressured by patent losses and pricing, while costs remained elevated.
The release still contained positive strategic signals. Pharmaceutical volume increased **7%**, primarily from newer products; Lilly reaffirmed its non-GAAP full-year EPS range of **$3.50–$3.60**; and pipeline progress included FDA approval of Lartruvo. Shares initially traded lower in premarket trading, but TheStreet reported that they **closed in the green**, matching the positive earnings-date return in the supplied data.
### Verified release source
2016-10-25 | Eli Lilly | Lilly Reports Third-Quarter 2016 Results | https://investor.lilly.com/news-releases/news-release-details/lilly-reports-third-quarter-2016-results
## Possible Drivers
**First-order driver.** The stock recovered to close higher because investors looked past the quarterly miss toward reaffirmed guidance and new-product/pipeline growth.
**Second-order driver.** The miss reflected near-term pricing, patent-loss and cost pressure rather than a collapse in new-product demand.
**Third-order driver.** Reaffirmed annual guidance reduced the signal investors took from the weak quarter.
### Verified reaction source
2016-10-25 | TheStreet | Eli Lilly (LLY) CEO Lechleiter Discusses Earnings | https://www.thestreet.com/markets/eli-lilly-lly-ceo-lechleiter-discusses-earnings-13866562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4" s="15" t="str">
        <x:v>2016-07-26 | Eli Lilly | Lilly Reports Second-Quarter 2016 Results, Provides Financial Expectations Through the Remainder of the Decade | https://investor.lilly.com/news-releases/news-release-details/lilly-reports-second-quarter-2016-results-provides-financial</x:v>
      </x:c>
      <x:c r="O4" s="15" t="str">
        <x:v>2016-10-25 | Eli Lilly | Lilly Reports Third-Quarter 2016 Results | https://investor.lilly.com/news-releases/news-release-details/lilly-reports-third-quarter-2016-results</x:v>
      </x:c>
      <x:c r="P4" s="15" t="str">
        <x:v>2016-10-25 | TheStreet | Eli Lilly (LLY) CEO Lechleiter Discusses Earnings | https://www.thestreet.com/markets/eli-lilly-lly-ceo-lechleiter-discusses-earnings-13866562</x:v>
      </x:c>
      <x:c r="Q4" s="15" t="str">
        <x:v>2016-07-26 | Eli Lilly | Lilly Reports Second-Quarter 2016 Results, Provides Financial Expectations Through the Remainder of the Decade | https://investor.lilly.com/news-releases/news-release-details/lilly-reports-second-quarter-2016-results-provides-financial
2016-10-25 | Eli Lilly | Lilly Reports Third-Quarter 2016 Results | https://investor.lilly.com/news-releases/news-release-details/lilly-reports-third-quarter-2016-results
2016-10-25 | TheStreet | Eli Lilly (LLY) CEO Lechleiter Discusses Earnings | https://www.thestreet.com/markets/eli-lilly-lly-ceo-lechleiter-discusses-earnings-13866562</x:v>
      </x:c>
      <x:c r="R4" s="15" t="n">
        <x:v>3</x:v>
      </x:c>
      <x:c r="S4" s="15" t="str">
        <x:v>PASS</x:v>
      </x:c>
    </x:row>
    <x:row r="5" ht="340" customHeight="1">
      <x:c r="A5" s="15" t="n">
        <x:v>3</x:v>
      </x:c>
      <x:c r="B5" s="15" t="str">
        <x:v>LLY</x:v>
      </x:c>
      <x:c r="C5" s="15" t="str">
        <x:v>Eli Lilly</x:v>
      </x:c>
      <x:c r="D5" s="15" t="str">
        <x:v>2017q1</x:v>
      </x:c>
      <x:c r="E5" s="15" t="str">
        <x:v>2017-01-31</x:v>
      </x:c>
      <x:c r="F5" s="18" t="n">
        <x:v>3.04</x:v>
      </x:c>
      <x:c r="G5" s="18" t="n">
        <x:v>0.71</x:v>
      </x:c>
      <x:c r="H5" s="18" t="n">
        <x:v>3.77</x:v>
      </x:c>
      <x:c r="I5" s="18" t="n">
        <x:v>3.56</x:v>
      </x:c>
      <x:c r="J5" s="18" t="n">
        <x:v>2.2</x:v>
      </x:c>
      <x:c r="K5" s="15" t="str">
        <x:v>ret_1day_pct</x:v>
      </x:c>
      <x:c r="L5" s="15" t="str">
        <x:v>UP</x:v>
      </x:c>
      <x:c r="M5" s="15" t="str">
        <x:v>## Prior Context
Late 2016 had brought major pipeline volatility, including the failure of Alzheimer’s drug solanezumab. The new CEO, David Ricks, therefore entered 2017 needing the commercial new-product portfolio to carry more of the growth burden.
### Verified prior source
2016-10-25 | Eli Lilly | Lilly Reports Third-Quarter 2016 Results | https://investor.lilly.com/news-releases/news-release-details/lilly-reports-third-quarter-2016-results
## Current Earnings Release
Fourth-quarter revenue increased **7% to $5.76 billion**, driven heavily by Trulicity and other newer products. Non-GAAP EPS was **$0.95**, a few cents below consensus, but the quarter demonstrated strong pharmaceutical volume growth with operating expenses broadly flat.
The market focused on the forward product mix and pipeline rather than the modest EPS miss. Jardiance had gained a cardiovascular indication, Lartruvo was launching, and Lilly agreed to acquire CoLucid to add a late-stage migraine asset. The result suggested that the company could continue its transition toward a younger portfolio despite the Alzheimer’s setback.
### Verified release source
2017-01-31 | Eli Lilly | Lilly Reports Fourth-Quarter and Full-Year 2016 Results | https://investor.lilly.com/news-releases/news-release-details/lilly-reports-fourth-quarter-and-full-year-2016-results
## Possible Drivers
**First-order driver.** Shares rose because strong new-product revenue and pipeline breadth outweighed a small EPS miss.
**Second-order driver.** Trulicity and Cyramza were becoming meaningful enough to offset older-product erosion.
**Third-order driver.** Investors rewarded a clearer growth pipeline under the new CEO despite recent clinical setbacks.
### Verified reaction source
2017-01-31 | Medill Reports Chicago | Eli Lilly stock jumps after fourth quarter earnings release | https://news.medill.northwestern.edu/chicago/eli-lilly-stock-jumps-after-fourth-quarter-earnings-release/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5" s="15" t="str">
        <x:v>2016-10-25 | Eli Lilly | Lilly Reports Third-Quarter 2016 Results | https://investor.lilly.com/news-releases/news-release-details/lilly-reports-third-quarter-2016-results</x:v>
      </x:c>
      <x:c r="O5" s="15" t="str">
        <x:v>2017-01-31 | Eli Lilly | Lilly Reports Fourth-Quarter and Full-Year 2016 Results | https://investor.lilly.com/news-releases/news-release-details/lilly-reports-fourth-quarter-and-full-year-2016-results</x:v>
      </x:c>
      <x:c r="P5" s="15" t="str">
        <x:v>2017-01-31 | Medill Reports Chicago | Eli Lilly stock jumps after fourth quarter earnings release | https://news.medill.northwestern.edu/chicago/eli-lilly-stock-jumps-after-fourth-quarter-earnings-release/</x:v>
      </x:c>
      <x:c r="Q5" s="15" t="str">
        <x:v>2016-10-25 | Eli Lilly | Lilly Reports Third-Quarter 2016 Results | https://investor.lilly.com/news-releases/news-release-details/lilly-reports-third-quarter-2016-results
2017-01-31 | Eli Lilly | Lilly Reports Fourth-Quarter and Full-Year 2016 Results | https://investor.lilly.com/news-releases/news-release-details/lilly-reports-fourth-quarter-and-full-year-2016-results
2017-01-31 | Medill Reports Chicago | Eli Lilly stock jumps after fourth quarter earnings release | https://news.medill.northwestern.edu/chicago/eli-lilly-stock-jumps-after-fourth-quarter-earnings-release/</x:v>
      </x:c>
      <x:c r="R5" s="15" t="n">
        <x:v>3</x:v>
      </x:c>
      <x:c r="S5" s="15" t="str">
        <x:v>PASS</x:v>
      </x:c>
    </x:row>
    <x:row r="6" ht="340" customHeight="1">
      <x:c r="A6" s="15" t="n">
        <x:v>4</x:v>
      </x:c>
      <x:c r="B6" s="15" t="str">
        <x:v>LLY</x:v>
      </x:c>
      <x:c r="C6" s="15" t="str">
        <x:v>Eli Lilly</x:v>
      </x:c>
      <x:c r="D6" s="15" t="str">
        <x:v>2017q2</x:v>
      </x:c>
      <x:c r="E6" s="15" t="str">
        <x:v>2017-04-25</x:v>
      </x:c>
      <x:c r="F6" s="18" t="n">
        <x:v>-3.26</x:v>
      </x:c>
      <x:c r="G6" s="18" t="n">
        <x:v>-0.29</x:v>
      </x:c>
      <x:c r="H6" s="18" t="n">
        <x:v>-3.53</x:v>
      </x:c>
      <x:c r="I6" s="18" t="n">
        <x:v>-2.77</x:v>
      </x:c>
      <x:c r="J6" s="18" t="n">
        <x:v>-1.19</x:v>
      </x:c>
      <x:c r="K6" s="15" t="str">
        <x:v>ret_1day_pct</x:v>
      </x:c>
      <x:c r="L6" s="15" t="str">
        <x:v>DOWN</x:v>
      </x:c>
      <x:c r="M6" s="15" t="str">
        <x:v>## Prior Context
The quarter followed a major setback: the FDA had issued a complete response letter for baricitinib, Lilly’s rheumatoid-arthritis drug partnered with Incyte. That made commercial performance from existing launches even more important.
### Verified prior source
2017-01-31 | Eli Lilly | Lilly Reports Fourth-Quarter and Full-Year 2016 Results | https://investor.lilly.com/news-releases/news-release-details/lilly-reports-fourth-quarter-and-full-year-2016-results
## Current Earnings Release
Q1 revenue increased **7% to $5.23 billion**, and non-GAAP EPS rose **18% to $0.98**, slightly above consensus. The reported GAAP loss reflected an acquired-in-process R&amp;D charge from the CoLucid acquisition rather than weak operations.
However, the product-level details were mixed. **Jardiance sales of about $74 million** were well below analyst expectations near $94 million, an important concern because Lilly was increasingly dependent on newer diabetes drugs to drive growth. The baricitinib FDA rejection also remained a significant pipeline overhang. Lilly reaffirmed non-GAAP full-year EPS guidance rather than raising it.
### Verified release source
2017-04-25 | Eli Lilly | Lilly Reports First-Quarter 2017 Results | https://investor.lilly.com/node/25536
## Possible Drivers
**First-order driver.** The stock fell because disappointing Jardiance sales and the recent baricitinib setback outweighed the modest EPS beat.
**Second-order driver.** Pricing pressure in diabetes raised questions about how quickly new launches could replace mature products.
**Third-order driver.** The CoLucid-related GAAP loss was accounting noise and was not the main reason for the selloff.
### Verified reaction source
2017-04-25 | Indianapolis Business Journal | Lilly diabetes drug Jardiance falls short of quarterly sales predictions | https://www.ibj.com/articles/63545-lilly-diabetes-drug-jardiance-falls-short-of-quarterly-sales-predictions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6" s="15" t="str">
        <x:v>2017-01-31 | Eli Lilly | Lilly Reports Fourth-Quarter and Full-Year 2016 Results | https://investor.lilly.com/news-releases/news-release-details/lilly-reports-fourth-quarter-and-full-year-2016-results</x:v>
      </x:c>
      <x:c r="O6" s="15" t="str">
        <x:v>2017-04-25 | Eli Lilly | Lilly Reports First-Quarter 2017 Results | https://investor.lilly.com/node/25536</x:v>
      </x:c>
      <x:c r="P6" s="15" t="str">
        <x:v>2017-04-25 | Indianapolis Business Journal | Lilly diabetes drug Jardiance falls short of quarterly sales predictions | https://www.ibj.com/articles/63545-lilly-diabetes-drug-jardiance-falls-short-of-quarterly-sales-predictions</x:v>
      </x:c>
      <x:c r="Q6" s="15" t="str">
        <x:v>2017-01-31 | Eli Lilly | Lilly Reports Fourth-Quarter and Full-Year 2016 Results | https://investor.lilly.com/news-releases/news-release-details/lilly-reports-fourth-quarter-and-full-year-2016-results
2017-04-25 | Eli Lilly | Lilly Reports First-Quarter 2017 Results | https://investor.lilly.com/node/25536
2017-04-25 | Indianapolis Business Journal | Lilly diabetes drug Jardiance falls short of quarterly sales predictions | https://www.ibj.com/articles/63545-lilly-diabetes-drug-jardiance-falls-short-of-quarterly-sales-predictions</x:v>
      </x:c>
      <x:c r="R6" s="15" t="n">
        <x:v>3</x:v>
      </x:c>
      <x:c r="S6" s="15" t="str">
        <x:v>PASS</x:v>
      </x:c>
    </x:row>
    <x:row r="7" ht="340" customHeight="1">
      <x:c r="A7" s="15" t="n">
        <x:v>5</x:v>
      </x:c>
      <x:c r="B7" s="15" t="str">
        <x:v>LLY</x:v>
      </x:c>
      <x:c r="C7" s="15" t="str">
        <x:v>Eli Lilly</x:v>
      </x:c>
      <x:c r="D7" s="15" t="str">
        <x:v>2017q3</x:v>
      </x:c>
      <x:c r="E7" s="15" t="str">
        <x:v>2017-07-25</x:v>
      </x:c>
      <x:c r="F7" s="18" t="n">
        <x:v>-3.35</x:v>
      </x:c>
      <x:c r="G7" s="18" t="n">
        <x:v>-0.42</x:v>
      </x:c>
      <x:c r="H7" s="18" t="n">
        <x:v>-3.76</x:v>
      </x:c>
      <x:c r="I7" s="18" t="n">
        <x:v>-3.65</x:v>
      </x:c>
      <x:c r="J7" s="18" t="n">
        <x:v>-1.86</x:v>
      </x:c>
      <x:c r="K7" s="15" t="str">
        <x:v>ret_1day_pct</x:v>
      </x:c>
      <x:c r="L7" s="15" t="str">
        <x:v>DOWN</x:v>
      </x:c>
      <x:c r="M7" s="15" t="str">
        <x:v>## Prior Context
After the April baricitinib rejection, investors wanted clarity on whether the drug could return to the U.S. regulatory path without a major delay. Commercially, Trulicity and Taltz continued to carry the growth story.
### Verified prior source
2017-04-25 | Eli Lilly | Lilly Reports First-Quarter 2017 Results | https://investor.lilly.com/node/25536
## Current Earnings Release
Q2 revenue increased **8% to $5.82 billion** and non-GAAP EPS rose **29% to $1.11**, both above consensus. New products—especially Trulicity and Taltz—drove the volume increase, and Lilly raised its non-GAAP 2017 EPS range to **$4.10–$4.20**.
But the same-day regulatory update dominated the stock. Lilly said resubmission of baricitinib’s U.S. application would be delayed **at least 18 months**, with the possibility of an additional clinical study. That materially reduced the near-term value of an important pipeline asset even though the operating quarter was strong.
### Verified release source
2017-07-25 | Eli Lilly | Lilly Reports Second-Quarter Results | https://investor.lilly.com/news-releases/news-release-details/lilly-reports-second-quarter-results
## Possible Drivers
**First-order driver.** The stock fell because the baricitinib resubmission delay outweighed a clear earnings/revenue beat.
**Second-order driver.** Trulicity and Taltz showed that the existing commercial portfolio remained healthy.
**Third-order driver.** Higher EPS guidance could not fully offset the loss of near-term pipeline value.
### Verified reaction source
2017-07-25 | TheStreet | Eli Lilly Shares Lower After Update on Rheumatoid Arthritis Drug | https://www.thestreet.com/health/eli-lilly-shares-lower-after-update-on-rheumatoid-arthritis-drug-14242061/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7" s="15" t="str">
        <x:v>2017-04-25 | Eli Lilly | Lilly Reports First-Quarter 2017 Results | https://investor.lilly.com/node/25536</x:v>
      </x:c>
      <x:c r="O7" s="15" t="str">
        <x:v>2017-07-25 | Eli Lilly | Lilly Reports Second-Quarter Results | https://investor.lilly.com/news-releases/news-release-details/lilly-reports-second-quarter-results</x:v>
      </x:c>
      <x:c r="P7" s="15" t="str">
        <x:v>2017-07-25 | TheStreet | Eli Lilly Shares Lower After Update on Rheumatoid Arthritis Drug | https://www.thestreet.com/health/eli-lilly-shares-lower-after-update-on-rheumatoid-arthritis-drug-14242061/</x:v>
      </x:c>
      <x:c r="Q7" s="15" t="str">
        <x:v>2017-04-25 | Eli Lilly | Lilly Reports First-Quarter 2017 Results | https://investor.lilly.com/node/25536
2017-07-25 | Eli Lilly | Lilly Reports Second-Quarter Results | https://investor.lilly.com/news-releases/news-release-details/lilly-reports-second-quarter-results
2017-07-25 | TheStreet | Eli Lilly Shares Lower After Update on Rheumatoid Arthritis Drug | https://www.thestreet.com/health/eli-lilly-shares-lower-after-update-on-rheumatoid-arthritis-drug-14242061/</x:v>
      </x:c>
      <x:c r="R7" s="15" t="n">
        <x:v>3</x:v>
      </x:c>
      <x:c r="S7" s="15" t="str">
        <x:v>PASS</x:v>
      </x:c>
    </x:row>
    <x:row r="8" ht="340" customHeight="1">
      <x:c r="A8" s="15" t="n">
        <x:v>6</x:v>
      </x:c>
      <x:c r="B8" s="15" t="str">
        <x:v>LLY</x:v>
      </x:c>
      <x:c r="C8" s="15" t="str">
        <x:v>Eli Lilly</x:v>
      </x:c>
      <x:c r="D8" s="15" t="str">
        <x:v>2017q4</x:v>
      </x:c>
      <x:c r="E8" s="15" t="str">
        <x:v>2017-10-24</x:v>
      </x:c>
      <x:c r="F8" s="18" t="n">
        <x:v>-2.47</x:v>
      </x:c>
      <x:c r="G8" s="18" t="n">
        <x:v>0.16</x:v>
      </x:c>
      <x:c r="H8" s="18" t="n">
        <x:v>-2.31</x:v>
      </x:c>
      <x:c r="I8" s="18" t="n">
        <x:v>-1.95</x:v>
      </x:c>
      <x:c r="J8" s="18" t="n">
        <x:v>-3.98</x:v>
      </x:c>
      <x:c r="K8" s="15" t="str">
        <x:v>ret_1day_pct</x:v>
      </x:c>
      <x:c r="L8" s="15" t="str">
        <x:v>DOWN</x:v>
      </x:c>
      <x:c r="M8" s="15" t="str">
        <x:v>## Prior Context
Lilly’s human-pharma portfolio was improving, but Elanco Animal Health was struggling with competitive and pricing pressure. Investors increasingly questioned whether the animal-health business still belonged inside Lilly.
### Verified prior source
2017-07-25 | Eli Lilly | Lilly Reports Second-Quarter Results | https://investor.lilly.com/news-releases/news-release-details/lilly-reports-second-quarter-results
## Current Earnings Release
Q3 revenue increased **9% to $5.66 billion** and non-GAAP EPS rose **19% to $1.05**, both slightly above expectations. New pharmaceutical products drove **14% volume growth** and represented nearly 22% of total revenue. Lilly also raised its non-GAAP full-year EPS range to **$4.15–$4.25**.
The surprising strategic announcement was a formal review of **Elanco Animal Health**, including a possible IPO, merger, sale or retention. Elanco had been losing share in several markets, and management also acknowledged continued diabetes-pricing pressure. Despite the good pharmaceutical quarter, shares fell sharply.
### Verified release source
2017-10-24 | Eli Lilly | Lilly Reports Third-Quarter Results, Announces Strategic Review of Elanco Animal Health | https://investor.lilly.com/node/37406
## Possible Drivers
**First-order driver.** The stock fell as investors reacted negatively to Elanco uncertainty and ongoing diabetes-pricing pressure.
**Second-order driver.** The core pharmaceutical business was strong, so this was not primarily an earnings-miss event.
**Third-order driver.** The strategic review signaled that management saw portfolio restructuring as necessary to improve long-run focus.
### Verified reaction source
2017-10-24 | Indianapolis Business Journal | Lilly shares slide on news of possible sale, spinoff of Elanco | https://www.ibj.com/articles/65949-lilly-shares-slide-on-news-of-possible-sale-spinoff-of-elanco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8" s="15" t="str">
        <x:v>2017-07-25 | Eli Lilly | Lilly Reports Second-Quarter Results | https://investor.lilly.com/news-releases/news-release-details/lilly-reports-second-quarter-results</x:v>
      </x:c>
      <x:c r="O8" s="15" t="str">
        <x:v>2017-10-24 | Eli Lilly | Lilly Reports Third-Quarter Results, Announces Strategic Review of Elanco Animal Health | https://investor.lilly.com/node/37406</x:v>
      </x:c>
      <x:c r="P8" s="15" t="str">
        <x:v>2017-10-24 | Indianapolis Business Journal | Lilly shares slide on news of possible sale, spinoff of Elanco | https://www.ibj.com/articles/65949-lilly-shares-slide-on-news-of-possible-sale-spinoff-of-elanco</x:v>
      </x:c>
      <x:c r="Q8" s="15" t="str">
        <x:v>2017-07-25 | Eli Lilly | Lilly Reports Second-Quarter Results | https://investor.lilly.com/news-releases/news-release-details/lilly-reports-second-quarter-results
2017-10-24 | Eli Lilly | Lilly Reports Third-Quarter Results, Announces Strategic Review of Elanco Animal Health | https://investor.lilly.com/node/37406
2017-10-24 | Indianapolis Business Journal | Lilly shares slide on news of possible sale, spinoff of Elanco | https://www.ibj.com/articles/65949-lilly-shares-slide-on-news-of-possible-sale-spinoff-of-elanco</x:v>
      </x:c>
      <x:c r="R8" s="15" t="n">
        <x:v>3</x:v>
      </x:c>
      <x:c r="S8" s="15" t="str">
        <x:v>PASS</x:v>
      </x:c>
    </x:row>
    <x:row r="9" ht="340" customHeight="1">
      <x:c r="A9" s="15" t="n">
        <x:v>7</x:v>
      </x:c>
      <x:c r="B9" s="15" t="str">
        <x:v>LLY</x:v>
      </x:c>
      <x:c r="C9" s="15" t="str">
        <x:v>Eli Lilly</x:v>
      </x:c>
      <x:c r="D9" s="15" t="str">
        <x:v>2018q1</x:v>
      </x:c>
      <x:c r="E9" s="15" t="str">
        <x:v>2018-01-31</x:v>
      </x:c>
      <x:c r="F9" s="18" t="n">
        <x:v>-5.4</x:v>
      </x:c>
      <x:c r="G9" s="18" t="n">
        <x:v>1.21</x:v>
      </x:c>
      <x:c r="H9" s="18" t="n">
        <x:v>-4.26</x:v>
      </x:c>
      <x:c r="I9" s="18" t="n">
        <x:v>-4.94</x:v>
      </x:c>
      <x:c r="J9" s="18" t="n">
        <x:v>-5.09</x:v>
      </x:c>
      <x:c r="K9" s="15" t="str">
        <x:v>ret_1day_pct</x:v>
      </x:c>
      <x:c r="L9" s="15" t="str">
        <x:v>DOWN</x:v>
      </x:c>
      <x:c r="M9" s="15" t="str">
        <x:v>## Prior Context
By early 2018, Lilly’s new-product portfolio was performing well, but U.S. drug-pricing scrutiny had intensified. President Trump’s State of the Union the night before the earnings report explicitly targeted high prescription-drug prices.
### Verified prior source
2017-10-24 | Eli Lilly | Lilly Reports Third-Quarter Results, Announces Strategic Review of Elanco Animal Health | https://investor.lilly.com/node/37406
## Current Earnings Release
Q4 revenue increased **7% to $6.16 billion** and non-GAAP EPS was **$1.14**, both above consensus. New products drove **12% volume growth** and represented 23% of total revenue, with Trulicity, Taltz, Jardiance, Basaglar and newer oncology products contributing.
Lilly also increased 2018 non-GAAP EPS guidance to **$4.81–$4.91**, partly reflecting U.S. tax reform. Yet the stock fell **5.4%** during the session. Contemporaneous market coverage tied the broader biopharma weakness to President Trump’s renewed push against high drug prices, while Lilly’s own management continued to face pricing pressure in diabetes and weakness in Elanco.
### Verified release source
2018-01-31 | Eli Lilly | Lilly Reports Strong Fourth-Quarter and Full-Year 2017 Revenue Growth, Increases 2018 EPS Guidance | https://investor.lilly.com/node/38271
## Possible Drivers
**First-order driver.** The selloff was driven by drug-pricing/policy concerns despite a revenue and earnings beat.
**Second-order driver.** Strong new-product volume showed that underlying pharmaceutical demand remained healthy.
**Third-order driver.** Higher 2018 EPS guidance and tax benefits were not enough to offset the sector-wide pricing overhang.
### Verified reaction source
2018-01-31 | Drug Delivery Business | Eli Lilly beats the Street with Q4 earnings | https://www.drugdeliverybusiness.com/eli-lilly-beats-street-q4-earnings/
2018-01-31 | CNN via GantNews | Trump wants to fix ‘injustice’ of high drug prices. But can he? | https://gantnews.com/2018/01/31/trump-wants-to-fix-injustice-of-high-drug-prices-but-can-he/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9" s="15" t="str">
        <x:v>2017-10-24 | Eli Lilly | Lilly Reports Third-Quarter Results, Announces Strategic Review of Elanco Animal Health | https://investor.lilly.com/node/37406</x:v>
      </x:c>
      <x:c r="O9" s="15" t="str">
        <x:v>2018-01-31 | Eli Lilly | Lilly Reports Strong Fourth-Quarter and Full-Year 2017 Revenue Growth, Increases 2018 EPS Guidance | https://investor.lilly.com/node/38271</x:v>
      </x:c>
      <x:c r="P9" s="15" t="str">
        <x:v>2018-01-31 | Drug Delivery Business | Eli Lilly beats the Street with Q4 earnings | https://www.drugdeliverybusiness.com/eli-lilly-beats-street-q4-earnings/
2018-01-31 | CNN via GantNews | Trump wants to fix ‘injustice’ of high drug prices. But can he? | https://gantnews.com/2018/01/31/trump-wants-to-fix-injustice-of-high-drug-prices-but-can-he/</x:v>
      </x:c>
      <x:c r="Q9" s="15" t="str">
        <x:v>2017-10-24 | Eli Lilly | Lilly Reports Third-Quarter Results, Announces Strategic Review of Elanco Animal Health | https://investor.lilly.com/node/37406
2018-01-31 | Eli Lilly | Lilly Reports Strong Fourth-Quarter and Full-Year 2017 Revenue Growth, Increases 2018 EPS Guidance | https://investor.lilly.com/node/38271
2018-01-31 | Drug Delivery Business | Eli Lilly beats the Street with Q4 earnings | https://www.drugdeliverybusiness.com/eli-lilly-beats-street-q4-earnings/
2018-01-31 | CNN via GantNews | Trump wants to fix ‘injustice’ of high drug prices. But can he? | https://gantnews.com/2018/01/31/trump-wants-to-fix-injustice-of-high-drug-prices-but-can-he/</x:v>
      </x:c>
      <x:c r="R9" s="15" t="n">
        <x:v>4</x:v>
      </x:c>
      <x:c r="S9" s="15" t="str">
        <x:v>PASS</x:v>
      </x:c>
    </x:row>
    <x:row r="10" ht="340" customHeight="1">
      <x:c r="A10" s="15" t="n">
        <x:v>8</x:v>
      </x:c>
      <x:c r="B10" s="15" t="str">
        <x:v>LLY</x:v>
      </x:c>
      <x:c r="C10" s="15" t="str">
        <x:v>Eli Lilly</x:v>
      </x:c>
      <x:c r="D10" s="15" t="str">
        <x:v>2018q2</x:v>
      </x:c>
      <x:c r="E10" s="15" t="str">
        <x:v>2018-04-24</x:v>
      </x:c>
      <x:c r="F10" s="18" t="n">
        <x:v>1</x:v>
      </x:c>
      <x:c r="G10" s="18" t="n">
        <x:v>1.23</x:v>
      </x:c>
      <x:c r="H10" s="18" t="n">
        <x:v>2.25</x:v>
      </x:c>
      <x:c r="I10" s="18" t="n">
        <x:v>3.77</x:v>
      </x:c>
      <x:c r="J10" s="18" t="n">
        <x:v>4.79</x:v>
      </x:c>
      <x:c r="K10" s="15" t="str">
        <x:v>ret_1day_pct</x:v>
      </x:c>
      <x:c r="L10" s="15" t="str">
        <x:v>UP</x:v>
      </x:c>
      <x:c r="M10" s="15" t="str">
        <x:v>## Prior Context
The day before earnings, an FDA advisory committee recommended approval of only the **2-mg** dose of baricitinib and rejected the 4-mg dose on benefit-risk grounds. That created a negative pipeline setup before Lilly reported Q1 results.
### Verified prior source
2018-01-31 | Eli Lilly | Lilly Reports Strong Fourth-Quarter and Full-Year 2017 Revenue Growth, Increases 2018 EPS Guidance | https://investor.lilly.com/node/38271
2018-04-23 | Eli Lilly / Incyte | FDA Advisory Committee Recommends Approval of Baricitinib 2mg, but not 4mg | https://investor.lilly.com/news-releases/news-release-details/fda-advisory-committee-recommends-approval-baricitinib-2mg-not
## Current Earnings Release
Q1 revenue increased **9% to $5.70 billion**, while non-GAAP EPS rose **37% to $1.34**, well above consensus around $1.13. Pharmaceutical revenue increased 11%, and newer products accounted for roughly **25% of total revenue** while driving 11% volume growth. Operating expenses actually declined 5%.
Lilly raised 2018 non-GAAP EPS guidance to **$5.10–$5.20**. The stronger earnings outlook and broad-based growth in Trulicity, Taltz, Jardiance, Basaglar and other launches helped the stock finish higher even though the baricitinib dose decision had initially weighed on sentiment.
### Verified release source
2018-04-24 | SEC / Eli Lilly | Lilly Reports Strong First-Quarter 2018 Results, Raises EPS Guidance | https://www.sec.gov/Archives/edgar/data/59478/000005947818000133/q118lillysalesandearning.htm
## Possible Drivers
**First-order driver.** The stock rose because a large EPS beat and higher full-year guidance outweighed the baricitinib setback.
**Second-order driver.** New products were now large enough to drive double-digit pharmaceutical volume growth.
**Third-order driver.** Lower operating expenses improved the quality of the earnings beat.
### Verified reaction source
2018-04-24 | Daily Herald / Associated Press | Drugmaker Lilly hikes 2018 forecast, beats 1Q expectations | https://www.dailyherald.com/archive/20180424/business/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10" s="15" t="str">
        <x:v>2018-01-31 | Eli Lilly | Lilly Reports Strong Fourth-Quarter and Full-Year 2017 Revenue Growth, Increases 2018 EPS Guidance | https://investor.lilly.com/node/38271
2018-04-23 | Eli Lilly / Incyte | FDA Advisory Committee Recommends Approval of Baricitinib 2mg, but not 4mg | https://investor.lilly.com/news-releases/news-release-details/fda-advisory-committee-recommends-approval-baricitinib-2mg-not</x:v>
      </x:c>
      <x:c r="O10" s="15" t="str">
        <x:v>2018-04-24 | SEC / Eli Lilly | Lilly Reports Strong First-Quarter 2018 Results, Raises EPS Guidance | https://www.sec.gov/Archives/edgar/data/59478/000005947818000133/q118lillysalesandearning.htm</x:v>
      </x:c>
      <x:c r="P10" s="15" t="str">
        <x:v>2018-04-24 | Daily Herald / Associated Press | Drugmaker Lilly hikes 2018 forecast, beats 1Q expectations | https://www.dailyherald.com/archive/20180424/business/</x:v>
      </x:c>
      <x:c r="Q10" s="15" t="str">
        <x:v>2018-01-31 | Eli Lilly | Lilly Reports Strong Fourth-Quarter and Full-Year 2017 Revenue Growth, Increases 2018 EPS Guidance | https://investor.lilly.com/node/38271
2018-04-23 | Eli Lilly / Incyte | FDA Advisory Committee Recommends Approval of Baricitinib 2mg, but not 4mg | https://investor.lilly.com/news-releases/news-release-details/fda-advisory-committee-recommends-approval-baricitinib-2mg-not
2018-04-24 | SEC / Eli Lilly | Lilly Reports Strong First-Quarter 2018 Results, Raises EPS Guidance | https://www.sec.gov/Archives/edgar/data/59478/000005947818000133/q118lillysalesandearning.htm
2018-04-24 | Daily Herald / Associated Press | Drugmaker Lilly hikes 2018 forecast, beats 1Q expectations | https://www.dailyherald.com/archive/20180424/business/</x:v>
      </x:c>
      <x:c r="R10" s="15" t="n">
        <x:v>4</x:v>
      </x:c>
      <x:c r="S10" s="15" t="str">
        <x:v>PASS</x:v>
      </x:c>
    </x:row>
    <x:row r="11" ht="340" customHeight="1">
      <x:c r="A11" s="15" t="n">
        <x:v>9</x:v>
      </x:c>
      <x:c r="B11" s="15" t="str">
        <x:v>LLY</x:v>
      </x:c>
      <x:c r="C11" s="15" t="str">
        <x:v>Eli Lilly</x:v>
      </x:c>
      <x:c r="D11" s="15" t="str">
        <x:v>2018q3</x:v>
      </x:c>
      <x:c r="E11" s="15" t="str">
        <x:v>2018-07-24</x:v>
      </x:c>
      <x:c r="F11" s="18" t="n">
        <x:v>4.83</x:v>
      </x:c>
      <x:c r="G11" s="18" t="n">
        <x:v>2.47</x:v>
      </x:c>
      <x:c r="H11" s="18" t="n">
        <x:v>7.42</x:v>
      </x:c>
      <x:c r="I11" s="18" t="n">
        <x:v>7.81</x:v>
      </x:c>
      <x:c r="J11" s="18" t="n">
        <x:v>8.99</x:v>
      </x:c>
      <x:c r="K11" s="15" t="str">
        <x:v>ret_1day_pct</x:v>
      </x:c>
      <x:c r="L11" s="15" t="str">
        <x:v>UP</x:v>
      </x:c>
      <x:c r="M11" s="15" t="str">
        <x:v>## Prior Context
By mid-2018, Lilly’s commercial portfolio had become much stronger and the outstanding portfolio question was how management would resolve the Elanco strategic review.
### Verified prior source
2018-04-24 | SEC / Eli Lilly | Lilly Reports Strong First-Quarter 2018 Results, Raises EPS Guidance | https://www.sec.gov/Archives/edgar/data/59478/000005947818000133/q118lillysalesandearning.htm
## Current Earnings Release
Q2 revenue increased **9% to $6.36 billion**, while non-GAAP EPS jumped **35% to $1.50**. New pharmaceutical products represented **28% of total revenue** and drove 12% volume growth; operating expenses also declined. Lilly raised non-GAAP 2018 EPS guidance to **$5.40–$5.50**.
At the same time, management announced that it would **separate Elanco through an IPO**, initially selling less than 20% and later divesting the remaining stake in a tax-efficient transaction. That resolved a major strategic uncertainty and concentrated Lilly more clearly around human pharmaceuticals.
### Verified release source
2018-07-24 | Eli Lilly | Lilly Delivers Strong Second-Quarter 2018 Results, Revises EPS Guidance | https://investor.lilly.com/news-releases/news-release-details/lilly-delivers-strong-second-quarter-2018-results-revises-eps
## Possible Drivers
**First-order driver.** Shares surged on a strong earnings beat, higher guidance and the decision to separate Elanco.
**Second-order driver.** Trulicity and the broader new-product portfolio were delivering accelerating volume-led growth.
**Third-order driver.** The Elanco IPO improved strategic focus and gave investors a clearer path to value realization.
### Verified reaction source
2018-07-24 | Forbes | Eli Lilly Beats Earnings, Plans Animal Health IPO | https://www.forbes.com/sites/michelatindera/2018/07/24/eli-lilly-beats-earnings-plans-animal-health-ipo/
2018-07-24 | Eli Lilly | Lilly to Separate Elanco Animal Health with Initial Public Offering | https://investor.lilly.com/news-releases/news-release-details/lilly-separate-elanco-animal-health-initial-public-offering
## Verification Status
Included sources were checked for Eli Lilly/LLY identity, the correct earnings event or directly relevant same-window catalyst, publication date, timing window and source origin. Lilly Investor Relations / SEC is the factual anchor. No WSJ, Reuters, Dow Jones or MarketWatch-syndicated article is included.
</x:v>
      </x:c>
      <x:c r="N11" s="15" t="str">
        <x:v>2018-04-24 | SEC / Eli Lilly | Lilly Reports Strong First-Quarter 2018 Results, Raises EPS Guidance | https://www.sec.gov/Archives/edgar/data/59478/000005947818000133/q118lillysalesandearning.htm</x:v>
      </x:c>
      <x:c r="O11" s="15" t="str">
        <x:v>2018-07-24 | Eli Lilly | Lilly Delivers Strong Second-Quarter 2018 Results, Revises EPS Guidance | https://investor.lilly.com/news-releases/news-release-details/lilly-delivers-strong-second-quarter-2018-results-revises-eps</x:v>
      </x:c>
      <x:c r="P11" s="15" t="str">
        <x:v>2018-07-24 | Forbes | Eli Lilly Beats Earnings, Plans Animal Health IPO | https://www.forbes.com/sites/michelatindera/2018/07/24/eli-lilly-beats-earnings-plans-animal-health-ipo/
2018-07-24 | Eli Lilly | Lilly to Separate Elanco Animal Health with Initial Public Offering | https://investor.lilly.com/news-releases/news-release-details/lilly-separate-elanco-animal-health-initial-public-offering</x:v>
      </x:c>
      <x:c r="Q11" s="15" t="str">
        <x:v>2018-04-24 | SEC / Eli Lilly | Lilly Reports Strong First-Quarter 2018 Results, Raises EPS Guidance | https://www.sec.gov/Archives/edgar/data/59478/000005947818000133/q118lillysalesandearning.htm
2018-07-24 | Eli Lilly | Lilly Delivers Strong Second-Quarter 2018 Results, Revises EPS Guidance | https://investor.lilly.com/news-releases/news-release-details/lilly-delivers-strong-second-quarter-2018-results-revises-eps
2018-07-24 | Forbes | Eli Lilly Beats Earnings, Plans Animal Health IPO | https://www.forbes.com/sites/michelatindera/2018/07/24/eli-lilly-beats-earnings-plans-animal-health-ipo/
2018-07-24 | Eli Lilly | Lilly to Separate Elanco Animal Health with Initial Public Offering | https://investor.lilly.com/news-releases/news-release-details/lilly-separate-elanco-animal-health-initial-public-offering</x:v>
      </x:c>
      <x:c r="R11" s="15" t="n">
        <x:v>4</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2016-04-26</x:v>
      </x:c>
      <x:c r="B2" s="12" t="str">
        <x:v>LLY</x:v>
      </x:c>
      <x:c r="C2" s="12" t="str">
        <x:v>prior</x:v>
      </x:c>
      <x:c r="D2" s="12" t="str">
        <x:v>2016-01-28</x:v>
      </x:c>
      <x:c r="E2" s="12" t="n">
        <x:v>-89</x:v>
      </x:c>
      <x:c r="F2" s="12" t="str">
        <x:v>Eli Lilly</x:v>
      </x:c>
      <x:c r="G2" s="12" t="str">
        <x:v>Lilly Reports Fourth-Quarter and Full-Year 2015 Results</x:v>
      </x:c>
      <x:c r="H2" s="12" t="str">
        <x:v>https://investor.lilly.com/news-releases/news-release-details/lilly-reports-fourth-quarter-and-full-year-2015-results</x:v>
      </x:c>
      <x:c r="I2" s="12" t="str">
        <x:v>OPENED/VERIFIED</x:v>
      </x:c>
      <x:c r="J2" s="12" t="str">
        <x:v>PASS</x:v>
      </x:c>
      <x:c r="K2" s="12" t="str">
        <x:v>PASS</x:v>
      </x:c>
      <x:c r="L2" s="12" t="str">
        <x:v>PASS</x:v>
      </x:c>
      <x:c r="M2" s="12" t="str">
        <x:v>NO</x:v>
      </x:c>
      <x:c r="N2" s="12" t="str">
        <x:v>PASS</x:v>
      </x:c>
      <x:c r="O2" s="12" t="str">
        <x:v>FACTUAL</x:v>
      </x:c>
      <x:c r="P2" s="12" t="str">
        <x:v>PASS</x:v>
      </x:c>
      <x:c r="Q2" s="12" t="str">
        <x:v>Checked for LLY/Eli Lilly identity, exact earnings event or directly relevant catalyst, displayed date, timing window, and source-origin restriction.</x:v>
      </x:c>
    </x:row>
    <x:row r="3">
      <x:c r="A3" s="12" t="str">
        <x:v>2016-04-26</x:v>
      </x:c>
      <x:c r="B3" s="12" t="str">
        <x:v>LLY</x:v>
      </x:c>
      <x:c r="C3" s="12" t="str">
        <x:v>release</x:v>
      </x:c>
      <x:c r="D3" s="12" t="str">
        <x:v>2016-04-26</x:v>
      </x:c>
      <x:c r="E3" s="12" t="n">
        <x:v>0</x:v>
      </x:c>
      <x:c r="F3" s="12" t="str">
        <x:v>Eli Lilly</x:v>
      </x:c>
      <x:c r="G3" s="12" t="str">
        <x:v>Lilly Reports First-Quarter 2016 Results, Revises 2016 Financial Guidance</x:v>
      </x:c>
      <x:c r="H3" s="12" t="str">
        <x:v>https://investor.lilly.com/news-releases/news-release-details/lilly-reports-first-quarter-2016-results-revises-2016-financial</x:v>
      </x:c>
      <x:c r="I3" s="12" t="str">
        <x:v>OPENED/VERIFIED</x:v>
      </x:c>
      <x:c r="J3" s="12" t="str">
        <x:v>PASS</x:v>
      </x:c>
      <x:c r="K3" s="12" t="str">
        <x:v>PASS</x:v>
      </x:c>
      <x:c r="L3" s="12" t="str">
        <x:v>PASS</x:v>
      </x:c>
      <x:c r="M3" s="12" t="str">
        <x:v>NO</x:v>
      </x:c>
      <x:c r="N3" s="12" t="str">
        <x:v>PASS</x:v>
      </x:c>
      <x:c r="O3" s="12" t="str">
        <x:v>FACTUAL</x:v>
      </x:c>
      <x:c r="P3" s="12" t="str">
        <x:v>PASS</x:v>
      </x:c>
      <x:c r="Q3" s="12" t="str">
        <x:v>Checked for LLY/Eli Lilly identity, exact earnings event or directly relevant catalyst, displayed date, timing window, and source-origin restriction.</x:v>
      </x:c>
    </x:row>
    <x:row r="4">
      <x:c r="A4" s="12" t="str">
        <x:v>2016-04-26</x:v>
      </x:c>
      <x:c r="B4" s="12" t="str">
        <x:v>LLY</x:v>
      </x:c>
      <x:c r="C4" s="12" t="str">
        <x:v>reaction</x:v>
      </x:c>
      <x:c r="D4" s="12" t="str">
        <x:v>2016-04-26</x:v>
      </x:c>
      <x:c r="E4" s="12" t="n">
        <x:v>0</x:v>
      </x:c>
      <x:c r="F4" s="12" t="str">
        <x:v>Fierce Pharma</x:v>
      </x:c>
      <x:c r="G4" s="12" t="str">
        <x:v>Lilly falls short on Q1 EPS, but diabetes newcomers keep revenue in line</x:v>
      </x:c>
      <x:c r="H4" s="12" t="str">
        <x:v>https://www.fiercepharma.com/pharma/lilly-falls-short-q1-eps-but-diabetes-newcomers-keep-revenue-line</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for LLY/Eli Lilly identity, exact earnings event or directly relevant catalyst, displayed date, timing window, and source-origin restriction.</x:v>
      </x:c>
    </x:row>
    <x:row r="5">
      <x:c r="A5" s="12" t="str">
        <x:v>2016-07-26</x:v>
      </x:c>
      <x:c r="B5" s="12" t="str">
        <x:v>LLY</x:v>
      </x:c>
      <x:c r="C5" s="12" t="str">
        <x:v>prior</x:v>
      </x:c>
      <x:c r="D5" s="12" t="str">
        <x:v>2016-04-26</x:v>
      </x:c>
      <x:c r="E5" s="12" t="n">
        <x:v>-91</x:v>
      </x:c>
      <x:c r="F5" s="12" t="str">
        <x:v>Eli Lilly</x:v>
      </x:c>
      <x:c r="G5" s="12" t="str">
        <x:v>Lilly Reports First-Quarter 2016 Results, Revises 2016 Financial Guidance</x:v>
      </x:c>
      <x:c r="H5" s="12" t="str">
        <x:v>https://investor.lilly.com/news-releases/news-release-details/lilly-reports-first-quarter-2016-results-revises-2016-financial</x:v>
      </x:c>
      <x:c r="I5" s="12" t="str">
        <x:v>OPENED/VERIFIED</x:v>
      </x:c>
      <x:c r="J5" s="12" t="str">
        <x:v>PASS</x:v>
      </x:c>
      <x:c r="K5" s="12" t="str">
        <x:v>PASS</x:v>
      </x:c>
      <x:c r="L5" s="12" t="str">
        <x:v>PASS</x:v>
      </x:c>
      <x:c r="M5" s="12" t="str">
        <x:v>NO</x:v>
      </x:c>
      <x:c r="N5" s="12" t="str">
        <x:v>PASS</x:v>
      </x:c>
      <x:c r="O5" s="12" t="str">
        <x:v>FACTUAL</x:v>
      </x:c>
      <x:c r="P5" s="12" t="str">
        <x:v>PASS</x:v>
      </x:c>
      <x:c r="Q5" s="12" t="str">
        <x:v>Checked for LLY/Eli Lilly identity, exact earnings event or directly relevant catalyst, displayed date, timing window, and source-origin restriction.</x:v>
      </x:c>
    </x:row>
    <x:row r="6">
      <x:c r="A6" s="12" t="str">
        <x:v>2016-07-26</x:v>
      </x:c>
      <x:c r="B6" s="12" t="str">
        <x:v>LLY</x:v>
      </x:c>
      <x:c r="C6" s="12" t="str">
        <x:v>release</x:v>
      </x:c>
      <x:c r="D6" s="12" t="str">
        <x:v>2016-07-26</x:v>
      </x:c>
      <x:c r="E6" s="12" t="n">
        <x:v>0</x:v>
      </x:c>
      <x:c r="F6" s="12" t="str">
        <x:v>Eli Lilly</x:v>
      </x:c>
      <x:c r="G6" s="12" t="str">
        <x:v>Lilly Reports Second-Quarter 2016 Results, Provides Financial Expectations Through the Remainder of the Decade</x:v>
      </x:c>
      <x:c r="H6" s="12" t="str">
        <x:v>https://investor.lilly.com/news-releases/news-release-details/lilly-reports-second-quarter-2016-results-provides-financial</x:v>
      </x:c>
      <x:c r="I6" s="12" t="str">
        <x:v>OPENED/VERIFIED</x:v>
      </x:c>
      <x:c r="J6" s="12" t="str">
        <x:v>PASS</x:v>
      </x:c>
      <x:c r="K6" s="12" t="str">
        <x:v>PASS</x:v>
      </x:c>
      <x:c r="L6" s="12" t="str">
        <x:v>PASS</x:v>
      </x:c>
      <x:c r="M6" s="12" t="str">
        <x:v>NO</x:v>
      </x:c>
      <x:c r="N6" s="12" t="str">
        <x:v>PASS</x:v>
      </x:c>
      <x:c r="O6" s="12" t="str">
        <x:v>FACTUAL</x:v>
      </x:c>
      <x:c r="P6" s="12" t="str">
        <x:v>PASS</x:v>
      </x:c>
      <x:c r="Q6" s="12" t="str">
        <x:v>Checked for LLY/Eli Lilly identity, exact earnings event or directly relevant catalyst, displayed date, timing window, and source-origin restriction.</x:v>
      </x:c>
    </x:row>
    <x:row r="7">
      <x:c r="A7" s="12" t="str">
        <x:v>2016-07-26</x:v>
      </x:c>
      <x:c r="B7" s="12" t="str">
        <x:v>LLY</x:v>
      </x:c>
      <x:c r="C7" s="12" t="str">
        <x:v>reaction</x:v>
      </x:c>
      <x:c r="D7" s="12" t="str">
        <x:v>2016-07-26</x:v>
      </x:c>
      <x:c r="E7" s="12" t="n">
        <x:v>0</x:v>
      </x:c>
      <x:c r="F7" s="12" t="str">
        <x:v>TheStreet</x:v>
      </x:c>
      <x:c r="G7" s="12" t="str">
        <x:v>Eli Lilly (LLY) Stock Rising After Mixed Q2 Results</x:v>
      </x:c>
      <x:c r="H7" s="12" t="str">
        <x:v>https://www.thestreet.com/markets/eli-lilly-lly-stock-rising-after-mixed-q2-results-13651890</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for LLY/Eli Lilly identity, exact earnings event or directly relevant catalyst, displayed date, timing window, and source-origin restriction.</x:v>
      </x:c>
    </x:row>
    <x:row r="8">
      <x:c r="A8" s="12" t="str">
        <x:v>2016-10-25</x:v>
      </x:c>
      <x:c r="B8" s="12" t="str">
        <x:v>LLY</x:v>
      </x:c>
      <x:c r="C8" s="12" t="str">
        <x:v>prior</x:v>
      </x:c>
      <x:c r="D8" s="12" t="str">
        <x:v>2016-07-26</x:v>
      </x:c>
      <x:c r="E8" s="12" t="n">
        <x:v>-91</x:v>
      </x:c>
      <x:c r="F8" s="12" t="str">
        <x:v>Eli Lilly</x:v>
      </x:c>
      <x:c r="G8" s="12" t="str">
        <x:v>Lilly Reports Second-Quarter 2016 Results, Provides Financial Expectations Through the Remainder of the Decade</x:v>
      </x:c>
      <x:c r="H8" s="12" t="str">
        <x:v>https://investor.lilly.com/news-releases/news-release-details/lilly-reports-second-quarter-2016-results-provides-financial</x:v>
      </x:c>
      <x:c r="I8" s="12" t="str">
        <x:v>OPENED/VERIFIED</x:v>
      </x:c>
      <x:c r="J8" s="12" t="str">
        <x:v>PASS</x:v>
      </x:c>
      <x:c r="K8" s="12" t="str">
        <x:v>PASS</x:v>
      </x:c>
      <x:c r="L8" s="12" t="str">
        <x:v>PASS</x:v>
      </x:c>
      <x:c r="M8" s="12" t="str">
        <x:v>NO</x:v>
      </x:c>
      <x:c r="N8" s="12" t="str">
        <x:v>PASS</x:v>
      </x:c>
      <x:c r="O8" s="12" t="str">
        <x:v>FACTUAL</x:v>
      </x:c>
      <x:c r="P8" s="12" t="str">
        <x:v>PASS</x:v>
      </x:c>
      <x:c r="Q8" s="12" t="str">
        <x:v>Checked for LLY/Eli Lilly identity, exact earnings event or directly relevant catalyst, displayed date, timing window, and source-origin restriction.</x:v>
      </x:c>
    </x:row>
    <x:row r="9">
      <x:c r="A9" s="12" t="str">
        <x:v>2016-10-25</x:v>
      </x:c>
      <x:c r="B9" s="12" t="str">
        <x:v>LLY</x:v>
      </x:c>
      <x:c r="C9" s="12" t="str">
        <x:v>release</x:v>
      </x:c>
      <x:c r="D9" s="12" t="str">
        <x:v>2016-10-25</x:v>
      </x:c>
      <x:c r="E9" s="12" t="n">
        <x:v>0</x:v>
      </x:c>
      <x:c r="F9" s="12" t="str">
        <x:v>Eli Lilly</x:v>
      </x:c>
      <x:c r="G9" s="12" t="str">
        <x:v>Lilly Reports Third-Quarter 2016 Results</x:v>
      </x:c>
      <x:c r="H9" s="12" t="str">
        <x:v>https://investor.lilly.com/news-releases/news-release-details/lilly-reports-third-quarter-2016-results</x:v>
      </x:c>
      <x:c r="I9" s="12" t="str">
        <x:v>OPENED/VERIFIED</x:v>
      </x:c>
      <x:c r="J9" s="12" t="str">
        <x:v>PASS</x:v>
      </x:c>
      <x:c r="K9" s="12" t="str">
        <x:v>PASS</x:v>
      </x:c>
      <x:c r="L9" s="12" t="str">
        <x:v>PASS</x:v>
      </x:c>
      <x:c r="M9" s="12" t="str">
        <x:v>NO</x:v>
      </x:c>
      <x:c r="N9" s="12" t="str">
        <x:v>PASS</x:v>
      </x:c>
      <x:c r="O9" s="12" t="str">
        <x:v>FACTUAL</x:v>
      </x:c>
      <x:c r="P9" s="12" t="str">
        <x:v>PASS</x:v>
      </x:c>
      <x:c r="Q9" s="12" t="str">
        <x:v>Checked for LLY/Eli Lilly identity, exact earnings event or directly relevant catalyst, displayed date, timing window, and source-origin restriction.</x:v>
      </x:c>
    </x:row>
    <x:row r="10">
      <x:c r="A10" s="12" t="str">
        <x:v>2016-10-25</x:v>
      </x:c>
      <x:c r="B10" s="12" t="str">
        <x:v>LLY</x:v>
      </x:c>
      <x:c r="C10" s="12" t="str">
        <x:v>reaction</x:v>
      </x:c>
      <x:c r="D10" s="12" t="str">
        <x:v>2016-10-25</x:v>
      </x:c>
      <x:c r="E10" s="12" t="n">
        <x:v>0</x:v>
      </x:c>
      <x:c r="F10" s="12" t="str">
        <x:v>TheStreet</x:v>
      </x:c>
      <x:c r="G10" s="12" t="str">
        <x:v>Eli Lilly (LLY) CEO Lechleiter Discusses Earnings</x:v>
      </x:c>
      <x:c r="H10" s="12" t="str">
        <x:v>https://www.thestreet.com/markets/eli-lilly-lly-ceo-lechleiter-discusses-earnings-13866562</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for LLY/Eli Lilly identity, exact earnings event or directly relevant catalyst, displayed date, timing window, and source-origin restriction.</x:v>
      </x:c>
    </x:row>
    <x:row r="11">
      <x:c r="A11" s="12" t="str">
        <x:v>2017-01-31</x:v>
      </x:c>
      <x:c r="B11" s="12" t="str">
        <x:v>LLY</x:v>
      </x:c>
      <x:c r="C11" s="12" t="str">
        <x:v>prior</x:v>
      </x:c>
      <x:c r="D11" s="12" t="str">
        <x:v>2016-10-25</x:v>
      </x:c>
      <x:c r="E11" s="12" t="n">
        <x:v>-98</x:v>
      </x:c>
      <x:c r="F11" s="12" t="str">
        <x:v>Eli Lilly</x:v>
      </x:c>
      <x:c r="G11" s="12" t="str">
        <x:v>Lilly Reports Third-Quarter 2016 Results</x:v>
      </x:c>
      <x:c r="H11" s="12" t="str">
        <x:v>https://investor.lilly.com/news-releases/news-release-details/lilly-reports-third-quarter-2016-results</x:v>
      </x:c>
      <x:c r="I11" s="12" t="str">
        <x:v>OPENED/VERIFIED</x:v>
      </x:c>
      <x:c r="J11" s="12" t="str">
        <x:v>PASS</x:v>
      </x:c>
      <x:c r="K11" s="12" t="str">
        <x:v>PASS</x:v>
      </x:c>
      <x:c r="L11" s="12" t="str">
        <x:v>PASS</x:v>
      </x:c>
      <x:c r="M11" s="12" t="str">
        <x:v>NO</x:v>
      </x:c>
      <x:c r="N11" s="12" t="str">
        <x:v>PASS</x:v>
      </x:c>
      <x:c r="O11" s="12" t="str">
        <x:v>FACTUAL</x:v>
      </x:c>
      <x:c r="P11" s="12" t="str">
        <x:v>PASS</x:v>
      </x:c>
      <x:c r="Q11" s="12" t="str">
        <x:v>Checked for LLY/Eli Lilly identity, exact earnings event or directly relevant catalyst, displayed date, timing window, and source-origin restriction.</x:v>
      </x:c>
    </x:row>
    <x:row r="12">
      <x:c r="A12" s="12" t="str">
        <x:v>2017-01-31</x:v>
      </x:c>
      <x:c r="B12" s="12" t="str">
        <x:v>LLY</x:v>
      </x:c>
      <x:c r="C12" s="12" t="str">
        <x:v>release</x:v>
      </x:c>
      <x:c r="D12" s="12" t="str">
        <x:v>2017-01-31</x:v>
      </x:c>
      <x:c r="E12" s="12" t="n">
        <x:v>0</x:v>
      </x:c>
      <x:c r="F12" s="12" t="str">
        <x:v>Eli Lilly</x:v>
      </x:c>
      <x:c r="G12" s="12" t="str">
        <x:v>Lilly Reports Fourth-Quarter and Full-Year 2016 Results</x:v>
      </x:c>
      <x:c r="H12" s="12" t="str">
        <x:v>https://investor.lilly.com/news-releases/news-release-details/lilly-reports-fourth-quarter-and-full-year-2016-results</x:v>
      </x:c>
      <x:c r="I12" s="12" t="str">
        <x:v>OPENED/VERIFIED</x:v>
      </x:c>
      <x:c r="J12" s="12" t="str">
        <x:v>PASS</x:v>
      </x:c>
      <x:c r="K12" s="12" t="str">
        <x:v>PASS</x:v>
      </x:c>
      <x:c r="L12" s="12" t="str">
        <x:v>PASS</x:v>
      </x:c>
      <x:c r="M12" s="12" t="str">
        <x:v>NO</x:v>
      </x:c>
      <x:c r="N12" s="12" t="str">
        <x:v>PASS</x:v>
      </x:c>
      <x:c r="O12" s="12" t="str">
        <x:v>FACTUAL</x:v>
      </x:c>
      <x:c r="P12" s="12" t="str">
        <x:v>PASS</x:v>
      </x:c>
      <x:c r="Q12" s="12" t="str">
        <x:v>Checked for LLY/Eli Lilly identity, exact earnings event or directly relevant catalyst, displayed date, timing window, and source-origin restriction.</x:v>
      </x:c>
    </x:row>
    <x:row r="13">
      <x:c r="A13" s="12" t="str">
        <x:v>2017-01-31</x:v>
      </x:c>
      <x:c r="B13" s="12" t="str">
        <x:v>LLY</x:v>
      </x:c>
      <x:c r="C13" s="12" t="str">
        <x:v>reaction</x:v>
      </x:c>
      <x:c r="D13" s="12" t="str">
        <x:v>2017-01-31</x:v>
      </x:c>
      <x:c r="E13" s="12" t="n">
        <x:v>0</x:v>
      </x:c>
      <x:c r="F13" s="12" t="str">
        <x:v>Medill Reports Chicago</x:v>
      </x:c>
      <x:c r="G13" s="12" t="str">
        <x:v>Eli Lilly stock jumps after fourth quarter earnings release</x:v>
      </x:c>
      <x:c r="H13" s="12" t="str">
        <x:v>https://news.medill.northwestern.edu/chicago/eli-lilly-stock-jumps-after-fourth-quarter-earnings-release/</x:v>
      </x:c>
      <x:c r="I13" s="12" t="str">
        <x:v>OPENED/VERIFIED</x:v>
      </x:c>
      <x:c r="J13" s="12" t="str">
        <x:v>PASS</x:v>
      </x:c>
      <x:c r="K13" s="12" t="str">
        <x:v>PASS</x:v>
      </x:c>
      <x:c r="L13" s="12" t="str">
        <x:v>PASS</x:v>
      </x:c>
      <x:c r="M13" s="12" t="str">
        <x:v>NO</x:v>
      </x:c>
      <x:c r="N13" s="12" t="str">
        <x:v>PASS</x:v>
      </x:c>
      <x:c r="O13" s="12" t="str">
        <x:v>CONTEMPORANEOUS_ATTRIBUTION</x:v>
      </x:c>
      <x:c r="P13" s="12" t="str">
        <x:v>PASS</x:v>
      </x:c>
      <x:c r="Q13" s="12" t="str">
        <x:v>Checked for LLY/Eli Lilly identity, exact earnings event or directly relevant catalyst, displayed date, timing window, and source-origin restriction.</x:v>
      </x:c>
    </x:row>
    <x:row r="14">
      <x:c r="A14" s="12" t="str">
        <x:v>2017-04-25</x:v>
      </x:c>
      <x:c r="B14" s="12" t="str">
        <x:v>LLY</x:v>
      </x:c>
      <x:c r="C14" s="12" t="str">
        <x:v>prior</x:v>
      </x:c>
      <x:c r="D14" s="12" t="str">
        <x:v>2017-01-31</x:v>
      </x:c>
      <x:c r="E14" s="12" t="n">
        <x:v>-84</x:v>
      </x:c>
      <x:c r="F14" s="12" t="str">
        <x:v>Eli Lilly</x:v>
      </x:c>
      <x:c r="G14" s="12" t="str">
        <x:v>Lilly Reports Fourth-Quarter and Full-Year 2016 Results</x:v>
      </x:c>
      <x:c r="H14" s="12" t="str">
        <x:v>https://investor.lilly.com/news-releases/news-release-details/lilly-reports-fourth-quarter-and-full-year-2016-results</x:v>
      </x:c>
      <x:c r="I14" s="12" t="str">
        <x:v>OPENED/VERIFIED</x:v>
      </x:c>
      <x:c r="J14" s="12" t="str">
        <x:v>PASS</x:v>
      </x:c>
      <x:c r="K14" s="12" t="str">
        <x:v>PASS</x:v>
      </x:c>
      <x:c r="L14" s="12" t="str">
        <x:v>PASS</x:v>
      </x:c>
      <x:c r="M14" s="12" t="str">
        <x:v>NO</x:v>
      </x:c>
      <x:c r="N14" s="12" t="str">
        <x:v>PASS</x:v>
      </x:c>
      <x:c r="O14" s="12" t="str">
        <x:v>FACTUAL</x:v>
      </x:c>
      <x:c r="P14" s="12" t="str">
        <x:v>PASS</x:v>
      </x:c>
      <x:c r="Q14" s="12" t="str">
        <x:v>Checked for LLY/Eli Lilly identity, exact earnings event or directly relevant catalyst, displayed date, timing window, and source-origin restriction.</x:v>
      </x:c>
    </x:row>
    <x:row r="15">
      <x:c r="A15" s="12" t="str">
        <x:v>2017-04-25</x:v>
      </x:c>
      <x:c r="B15" s="12" t="str">
        <x:v>LLY</x:v>
      </x:c>
      <x:c r="C15" s="12" t="str">
        <x:v>release</x:v>
      </x:c>
      <x:c r="D15" s="12" t="str">
        <x:v>2017-04-25</x:v>
      </x:c>
      <x:c r="E15" s="12" t="n">
        <x:v>0</x:v>
      </x:c>
      <x:c r="F15" s="12" t="str">
        <x:v>Eli Lilly</x:v>
      </x:c>
      <x:c r="G15" s="12" t="str">
        <x:v>Lilly Reports First-Quarter 2017 Results</x:v>
      </x:c>
      <x:c r="H15" s="12" t="str">
        <x:v>https://investor.lilly.com/node/25536</x:v>
      </x:c>
      <x:c r="I15" s="12" t="str">
        <x:v>OPENED/VERIFIED</x:v>
      </x:c>
      <x:c r="J15" s="12" t="str">
        <x:v>PASS</x:v>
      </x:c>
      <x:c r="K15" s="12" t="str">
        <x:v>PASS</x:v>
      </x:c>
      <x:c r="L15" s="12" t="str">
        <x:v>PASS</x:v>
      </x:c>
      <x:c r="M15" s="12" t="str">
        <x:v>NO</x:v>
      </x:c>
      <x:c r="N15" s="12" t="str">
        <x:v>PASS</x:v>
      </x:c>
      <x:c r="O15" s="12" t="str">
        <x:v>FACTUAL</x:v>
      </x:c>
      <x:c r="P15" s="12" t="str">
        <x:v>PASS</x:v>
      </x:c>
      <x:c r="Q15" s="12" t="str">
        <x:v>Checked for LLY/Eli Lilly identity, exact earnings event or directly relevant catalyst, displayed date, timing window, and source-origin restriction.</x:v>
      </x:c>
    </x:row>
    <x:row r="16">
      <x:c r="A16" s="12" t="str">
        <x:v>2017-04-25</x:v>
      </x:c>
      <x:c r="B16" s="12" t="str">
        <x:v>LLY</x:v>
      </x:c>
      <x:c r="C16" s="12" t="str">
        <x:v>reaction</x:v>
      </x:c>
      <x:c r="D16" s="12" t="str">
        <x:v>2017-04-25</x:v>
      </x:c>
      <x:c r="E16" s="12" t="n">
        <x:v>0</x:v>
      </x:c>
      <x:c r="F16" s="12" t="str">
        <x:v>Indianapolis Business Journal</x:v>
      </x:c>
      <x:c r="G16" s="12" t="str">
        <x:v>Lilly diabetes drug Jardiance falls short of quarterly sales predictions</x:v>
      </x:c>
      <x:c r="H16" s="12" t="str">
        <x:v>https://www.ibj.com/articles/63545-lilly-diabetes-drug-jardiance-falls-short-of-quarterly-sales-predictions</x:v>
      </x:c>
      <x:c r="I16" s="12" t="str">
        <x:v>OPENED/VERIFIED</x:v>
      </x:c>
      <x:c r="J16" s="12" t="str">
        <x:v>PASS</x:v>
      </x:c>
      <x:c r="K16" s="12" t="str">
        <x:v>PASS</x:v>
      </x:c>
      <x:c r="L16" s="12" t="str">
        <x:v>PASS</x:v>
      </x:c>
      <x:c r="M16" s="12" t="str">
        <x:v>NO</x:v>
      </x:c>
      <x:c r="N16" s="12" t="str">
        <x:v>PASS</x:v>
      </x:c>
      <x:c r="O16" s="12" t="str">
        <x:v>CONTEMPORANEOUS_ATTRIBUTION</x:v>
      </x:c>
      <x:c r="P16" s="12" t="str">
        <x:v>PASS</x:v>
      </x:c>
      <x:c r="Q16" s="12" t="str">
        <x:v>Checked for LLY/Eli Lilly identity, exact earnings event or directly relevant catalyst, displayed date, timing window, and source-origin restriction.</x:v>
      </x:c>
    </x:row>
    <x:row r="17">
      <x:c r="A17" s="12" t="str">
        <x:v>2017-07-25</x:v>
      </x:c>
      <x:c r="B17" s="12" t="str">
        <x:v>LLY</x:v>
      </x:c>
      <x:c r="C17" s="12" t="str">
        <x:v>prior</x:v>
      </x:c>
      <x:c r="D17" s="12" t="str">
        <x:v>2017-04-25</x:v>
      </x:c>
      <x:c r="E17" s="12" t="n">
        <x:v>-91</x:v>
      </x:c>
      <x:c r="F17" s="12" t="str">
        <x:v>Eli Lilly</x:v>
      </x:c>
      <x:c r="G17" s="12" t="str">
        <x:v>Lilly Reports First-Quarter 2017 Results</x:v>
      </x:c>
      <x:c r="H17" s="12" t="str">
        <x:v>https://investor.lilly.com/node/25536</x:v>
      </x:c>
      <x:c r="I17" s="12" t="str">
        <x:v>OPENED/VERIFIED</x:v>
      </x:c>
      <x:c r="J17" s="12" t="str">
        <x:v>PASS</x:v>
      </x:c>
      <x:c r="K17" s="12" t="str">
        <x:v>PASS</x:v>
      </x:c>
      <x:c r="L17" s="12" t="str">
        <x:v>PASS</x:v>
      </x:c>
      <x:c r="M17" s="12" t="str">
        <x:v>NO</x:v>
      </x:c>
      <x:c r="N17" s="12" t="str">
        <x:v>PASS</x:v>
      </x:c>
      <x:c r="O17" s="12" t="str">
        <x:v>FACTUAL</x:v>
      </x:c>
      <x:c r="P17" s="12" t="str">
        <x:v>PASS</x:v>
      </x:c>
      <x:c r="Q17" s="12" t="str">
        <x:v>Checked for LLY/Eli Lilly identity, exact earnings event or directly relevant catalyst, displayed date, timing window, and source-origin restriction.</x:v>
      </x:c>
    </x:row>
    <x:row r="18">
      <x:c r="A18" s="12" t="str">
        <x:v>2017-07-25</x:v>
      </x:c>
      <x:c r="B18" s="12" t="str">
        <x:v>LLY</x:v>
      </x:c>
      <x:c r="C18" s="12" t="str">
        <x:v>release</x:v>
      </x:c>
      <x:c r="D18" s="12" t="str">
        <x:v>2017-07-25</x:v>
      </x:c>
      <x:c r="E18" s="12" t="n">
        <x:v>0</x:v>
      </x:c>
      <x:c r="F18" s="12" t="str">
        <x:v>Eli Lilly</x:v>
      </x:c>
      <x:c r="G18" s="12" t="str">
        <x:v>Lilly Reports Second-Quarter Results</x:v>
      </x:c>
      <x:c r="H18" s="12" t="str">
        <x:v>https://investor.lilly.com/news-releases/news-release-details/lilly-reports-second-quarter-results</x:v>
      </x:c>
      <x:c r="I18" s="12" t="str">
        <x:v>OPENED/VERIFIED</x:v>
      </x:c>
      <x:c r="J18" s="12" t="str">
        <x:v>PASS</x:v>
      </x:c>
      <x:c r="K18" s="12" t="str">
        <x:v>PASS</x:v>
      </x:c>
      <x:c r="L18" s="12" t="str">
        <x:v>PASS</x:v>
      </x:c>
      <x:c r="M18" s="12" t="str">
        <x:v>NO</x:v>
      </x:c>
      <x:c r="N18" s="12" t="str">
        <x:v>PASS</x:v>
      </x:c>
      <x:c r="O18" s="12" t="str">
        <x:v>FACTUAL</x:v>
      </x:c>
      <x:c r="P18" s="12" t="str">
        <x:v>PASS</x:v>
      </x:c>
      <x:c r="Q18" s="12" t="str">
        <x:v>Checked for LLY/Eli Lilly identity, exact earnings event or directly relevant catalyst, displayed date, timing window, and source-origin restriction.</x:v>
      </x:c>
    </x:row>
    <x:row r="19">
      <x:c r="A19" s="12" t="str">
        <x:v>2017-07-25</x:v>
      </x:c>
      <x:c r="B19" s="12" t="str">
        <x:v>LLY</x:v>
      </x:c>
      <x:c r="C19" s="12" t="str">
        <x:v>reaction</x:v>
      </x:c>
      <x:c r="D19" s="12" t="str">
        <x:v>2017-07-25</x:v>
      </x:c>
      <x:c r="E19" s="12" t="n">
        <x:v>0</x:v>
      </x:c>
      <x:c r="F19" s="12" t="str">
        <x:v>TheStreet</x:v>
      </x:c>
      <x:c r="G19" s="12" t="str">
        <x:v>Eli Lilly Shares Lower After Update on Rheumatoid Arthritis Drug</x:v>
      </x:c>
      <x:c r="H19" s="12" t="str">
        <x:v>https://www.thestreet.com/health/eli-lilly-shares-lower-after-update-on-rheumatoid-arthritis-drug-14242061/</x:v>
      </x:c>
      <x:c r="I19" s="12" t="str">
        <x:v>OPENED/VERIFIED</x:v>
      </x:c>
      <x:c r="J19" s="12" t="str">
        <x:v>PASS</x:v>
      </x:c>
      <x:c r="K19" s="12" t="str">
        <x:v>PASS</x:v>
      </x:c>
      <x:c r="L19" s="12" t="str">
        <x:v>PASS</x:v>
      </x:c>
      <x:c r="M19" s="12" t="str">
        <x:v>NO</x:v>
      </x:c>
      <x:c r="N19" s="12" t="str">
        <x:v>PASS</x:v>
      </x:c>
      <x:c r="O19" s="12" t="str">
        <x:v>CONTEMPORANEOUS_ATTRIBUTION</x:v>
      </x:c>
      <x:c r="P19" s="12" t="str">
        <x:v>PASS</x:v>
      </x:c>
      <x:c r="Q19" s="12" t="str">
        <x:v>Checked for LLY/Eli Lilly identity, exact earnings event or directly relevant catalyst, displayed date, timing window, and source-origin restriction.</x:v>
      </x:c>
    </x:row>
    <x:row r="20">
      <x:c r="A20" s="12" t="str">
        <x:v>2017-10-24</x:v>
      </x:c>
      <x:c r="B20" s="12" t="str">
        <x:v>LLY</x:v>
      </x:c>
      <x:c r="C20" s="12" t="str">
        <x:v>prior</x:v>
      </x:c>
      <x:c r="D20" s="12" t="str">
        <x:v>2017-07-25</x:v>
      </x:c>
      <x:c r="E20" s="12" t="n">
        <x:v>-91</x:v>
      </x:c>
      <x:c r="F20" s="12" t="str">
        <x:v>Eli Lilly</x:v>
      </x:c>
      <x:c r="G20" s="12" t="str">
        <x:v>Lilly Reports Second-Quarter Results</x:v>
      </x:c>
      <x:c r="H20" s="12" t="str">
        <x:v>https://investor.lilly.com/news-releases/news-release-details/lilly-reports-second-quarter-results</x:v>
      </x:c>
      <x:c r="I20" s="12" t="str">
        <x:v>OPENED/VERIFIED</x:v>
      </x:c>
      <x:c r="J20" s="12" t="str">
        <x:v>PASS</x:v>
      </x:c>
      <x:c r="K20" s="12" t="str">
        <x:v>PASS</x:v>
      </x:c>
      <x:c r="L20" s="12" t="str">
        <x:v>PASS</x:v>
      </x:c>
      <x:c r="M20" s="12" t="str">
        <x:v>NO</x:v>
      </x:c>
      <x:c r="N20" s="12" t="str">
        <x:v>PASS</x:v>
      </x:c>
      <x:c r="O20" s="12" t="str">
        <x:v>FACTUAL</x:v>
      </x:c>
      <x:c r="P20" s="12" t="str">
        <x:v>PASS</x:v>
      </x:c>
      <x:c r="Q20" s="12" t="str">
        <x:v>Checked for LLY/Eli Lilly identity, exact earnings event or directly relevant catalyst, displayed date, timing window, and source-origin restriction.</x:v>
      </x:c>
    </x:row>
    <x:row r="21">
      <x:c r="A21" s="12" t="str">
        <x:v>2017-10-24</x:v>
      </x:c>
      <x:c r="B21" s="12" t="str">
        <x:v>LLY</x:v>
      </x:c>
      <x:c r="C21" s="12" t="str">
        <x:v>release</x:v>
      </x:c>
      <x:c r="D21" s="12" t="str">
        <x:v>2017-10-24</x:v>
      </x:c>
      <x:c r="E21" s="12" t="n">
        <x:v>0</x:v>
      </x:c>
      <x:c r="F21" s="12" t="str">
        <x:v>Eli Lilly</x:v>
      </x:c>
      <x:c r="G21" s="12" t="str">
        <x:v>Lilly Reports Third-Quarter Results, Announces Strategic Review of Elanco Animal Health</x:v>
      </x:c>
      <x:c r="H21" s="12" t="str">
        <x:v>https://investor.lilly.com/node/37406</x:v>
      </x:c>
      <x:c r="I21" s="12" t="str">
        <x:v>OPENED/VERIFIED</x:v>
      </x:c>
      <x:c r="J21" s="12" t="str">
        <x:v>PASS</x:v>
      </x:c>
      <x:c r="K21" s="12" t="str">
        <x:v>PASS</x:v>
      </x:c>
      <x:c r="L21" s="12" t="str">
        <x:v>PASS</x:v>
      </x:c>
      <x:c r="M21" s="12" t="str">
        <x:v>NO</x:v>
      </x:c>
      <x:c r="N21" s="12" t="str">
        <x:v>PASS</x:v>
      </x:c>
      <x:c r="O21" s="12" t="str">
        <x:v>FACTUAL</x:v>
      </x:c>
      <x:c r="P21" s="12" t="str">
        <x:v>PASS</x:v>
      </x:c>
      <x:c r="Q21" s="12" t="str">
        <x:v>Checked for LLY/Eli Lilly identity, exact earnings event or directly relevant catalyst, displayed date, timing window, and source-origin restriction.</x:v>
      </x:c>
    </x:row>
    <x:row r="22">
      <x:c r="A22" s="12" t="str">
        <x:v>2017-10-24</x:v>
      </x:c>
      <x:c r="B22" s="12" t="str">
        <x:v>LLY</x:v>
      </x:c>
      <x:c r="C22" s="12" t="str">
        <x:v>reaction</x:v>
      </x:c>
      <x:c r="D22" s="12" t="str">
        <x:v>2017-10-24</x:v>
      </x:c>
      <x:c r="E22" s="12" t="n">
        <x:v>0</x:v>
      </x:c>
      <x:c r="F22" s="12" t="str">
        <x:v>Indianapolis Business Journal</x:v>
      </x:c>
      <x:c r="G22" s="12" t="str">
        <x:v>Lilly shares slide on news of possible sale, spinoff of Elanco</x:v>
      </x:c>
      <x:c r="H22" s="12" t="str">
        <x:v>https://www.ibj.com/articles/65949-lilly-shares-slide-on-news-of-possible-sale-spinoff-of-elanco</x:v>
      </x:c>
      <x:c r="I22" s="12" t="str">
        <x:v>OPENED/VERIFIED</x:v>
      </x:c>
      <x:c r="J22" s="12" t="str">
        <x:v>PASS</x:v>
      </x:c>
      <x:c r="K22" s="12" t="str">
        <x:v>PASS</x:v>
      </x:c>
      <x:c r="L22" s="12" t="str">
        <x:v>PASS</x:v>
      </x:c>
      <x:c r="M22" s="12" t="str">
        <x:v>NO</x:v>
      </x:c>
      <x:c r="N22" s="12" t="str">
        <x:v>PASS</x:v>
      </x:c>
      <x:c r="O22" s="12" t="str">
        <x:v>CONTEMPORANEOUS_ATTRIBUTION</x:v>
      </x:c>
      <x:c r="P22" s="12" t="str">
        <x:v>PASS</x:v>
      </x:c>
      <x:c r="Q22" s="12" t="str">
        <x:v>Checked for LLY/Eli Lilly identity, exact earnings event or directly relevant catalyst, displayed date, timing window, and source-origin restriction.</x:v>
      </x:c>
    </x:row>
    <x:row r="23">
      <x:c r="A23" s="12" t="str">
        <x:v>2018-01-31</x:v>
      </x:c>
      <x:c r="B23" s="12" t="str">
        <x:v>LLY</x:v>
      </x:c>
      <x:c r="C23" s="12" t="str">
        <x:v>prior</x:v>
      </x:c>
      <x:c r="D23" s="12" t="str">
        <x:v>2017-10-24</x:v>
      </x:c>
      <x:c r="E23" s="12" t="n">
        <x:v>-99</x:v>
      </x:c>
      <x:c r="F23" s="12" t="str">
        <x:v>Eli Lilly</x:v>
      </x:c>
      <x:c r="G23" s="12" t="str">
        <x:v>Lilly Reports Third-Quarter Results, Announces Strategic Review of Elanco Animal Health</x:v>
      </x:c>
      <x:c r="H23" s="12" t="str">
        <x:v>https://investor.lilly.com/node/37406</x:v>
      </x:c>
      <x:c r="I23" s="12" t="str">
        <x:v>OPENED/VERIFIED</x:v>
      </x:c>
      <x:c r="J23" s="12" t="str">
        <x:v>PASS</x:v>
      </x:c>
      <x:c r="K23" s="12" t="str">
        <x:v>PASS</x:v>
      </x:c>
      <x:c r="L23" s="12" t="str">
        <x:v>PASS</x:v>
      </x:c>
      <x:c r="M23" s="12" t="str">
        <x:v>NO</x:v>
      </x:c>
      <x:c r="N23" s="12" t="str">
        <x:v>PASS</x:v>
      </x:c>
      <x:c r="O23" s="12" t="str">
        <x:v>FACTUAL</x:v>
      </x:c>
      <x:c r="P23" s="12" t="str">
        <x:v>PASS</x:v>
      </x:c>
      <x:c r="Q23" s="12" t="str">
        <x:v>Checked for LLY/Eli Lilly identity, exact earnings event or directly relevant catalyst, displayed date, timing window, and source-origin restriction.</x:v>
      </x:c>
    </x:row>
    <x:row r="24">
      <x:c r="A24" s="12" t="str">
        <x:v>2018-01-31</x:v>
      </x:c>
      <x:c r="B24" s="12" t="str">
        <x:v>LLY</x:v>
      </x:c>
      <x:c r="C24" s="12" t="str">
        <x:v>release</x:v>
      </x:c>
      <x:c r="D24" s="12" t="str">
        <x:v>2018-01-31</x:v>
      </x:c>
      <x:c r="E24" s="12" t="n">
        <x:v>0</x:v>
      </x:c>
      <x:c r="F24" s="12" t="str">
        <x:v>Eli Lilly</x:v>
      </x:c>
      <x:c r="G24" s="12" t="str">
        <x:v>Lilly Reports Strong Fourth-Quarter and Full-Year 2017 Revenue Growth, Increases 2018 EPS Guidance</x:v>
      </x:c>
      <x:c r="H24" s="12" t="str">
        <x:v>https://investor.lilly.com/node/38271</x:v>
      </x:c>
      <x:c r="I24" s="12" t="str">
        <x:v>OPENED/VERIFIED</x:v>
      </x:c>
      <x:c r="J24" s="12" t="str">
        <x:v>PASS</x:v>
      </x:c>
      <x:c r="K24" s="12" t="str">
        <x:v>PASS</x:v>
      </x:c>
      <x:c r="L24" s="12" t="str">
        <x:v>PASS</x:v>
      </x:c>
      <x:c r="M24" s="12" t="str">
        <x:v>NO</x:v>
      </x:c>
      <x:c r="N24" s="12" t="str">
        <x:v>PASS</x:v>
      </x:c>
      <x:c r="O24" s="12" t="str">
        <x:v>FACTUAL</x:v>
      </x:c>
      <x:c r="P24" s="12" t="str">
        <x:v>PASS</x:v>
      </x:c>
      <x:c r="Q24" s="12" t="str">
        <x:v>Checked for LLY/Eli Lilly identity, exact earnings event or directly relevant catalyst, displayed date, timing window, and source-origin restriction.</x:v>
      </x:c>
    </x:row>
    <x:row r="25">
      <x:c r="A25" s="12" t="str">
        <x:v>2018-01-31</x:v>
      </x:c>
      <x:c r="B25" s="12" t="str">
        <x:v>LLY</x:v>
      </x:c>
      <x:c r="C25" s="12" t="str">
        <x:v>reaction</x:v>
      </x:c>
      <x:c r="D25" s="12" t="str">
        <x:v>2018-01-31</x:v>
      </x:c>
      <x:c r="E25" s="12" t="n">
        <x:v>0</x:v>
      </x:c>
      <x:c r="F25" s="12" t="str">
        <x:v>Drug Delivery Business</x:v>
      </x:c>
      <x:c r="G25" s="12" t="str">
        <x:v>Eli Lilly beats the Street with Q4 earnings</x:v>
      </x:c>
      <x:c r="H25" s="12" t="str">
        <x:v>https://www.drugdeliverybusiness.com/eli-lilly-beats-street-q4-earnings/</x:v>
      </x:c>
      <x:c r="I25" s="12" t="str">
        <x:v>OPENED/VERIFIED</x:v>
      </x:c>
      <x:c r="J25" s="12" t="str">
        <x:v>PASS</x:v>
      </x:c>
      <x:c r="K25" s="12" t="str">
        <x:v>PASS</x:v>
      </x:c>
      <x:c r="L25" s="12" t="str">
        <x:v>PASS</x:v>
      </x:c>
      <x:c r="M25" s="12" t="str">
        <x:v>NO</x:v>
      </x:c>
      <x:c r="N25" s="12" t="str">
        <x:v>PASS</x:v>
      </x:c>
      <x:c r="O25" s="12" t="str">
        <x:v>CONTEMPORANEOUS_ATTRIBUTION</x:v>
      </x:c>
      <x:c r="P25" s="12" t="str">
        <x:v>PASS</x:v>
      </x:c>
      <x:c r="Q25" s="12" t="str">
        <x:v>Checked for LLY/Eli Lilly identity, exact earnings event or directly relevant catalyst, displayed date, timing window, and source-origin restriction.</x:v>
      </x:c>
    </x:row>
    <x:row r="26">
      <x:c r="A26" s="12" t="str">
        <x:v>2018-01-31</x:v>
      </x:c>
      <x:c r="B26" s="12" t="str">
        <x:v>LLY</x:v>
      </x:c>
      <x:c r="C26" s="12" t="str">
        <x:v>reaction</x:v>
      </x:c>
      <x:c r="D26" s="12" t="str">
        <x:v>2018-01-31</x:v>
      </x:c>
      <x:c r="E26" s="12" t="n">
        <x:v>0</x:v>
      </x:c>
      <x:c r="F26" s="12" t="str">
        <x:v>CNN via GantNews</x:v>
      </x:c>
      <x:c r="G26" s="12" t="str">
        <x:v>Trump wants to fix ‘injustice’ of high drug prices. But can he?</x:v>
      </x:c>
      <x:c r="H26" s="12" t="str">
        <x:v>https://gantnews.com/2018/01/31/trump-wants-to-fix-injustice-of-high-drug-prices-but-can-he/</x:v>
      </x:c>
      <x:c r="I26" s="12" t="str">
        <x:v>OPENED/VERIFIED</x:v>
      </x:c>
      <x:c r="J26" s="12" t="str">
        <x:v>PASS</x:v>
      </x:c>
      <x:c r="K26" s="12" t="str">
        <x:v>PASS</x:v>
      </x:c>
      <x:c r="L26" s="12" t="str">
        <x:v>PASS</x:v>
      </x:c>
      <x:c r="M26" s="12" t="str">
        <x:v>NO</x:v>
      </x:c>
      <x:c r="N26" s="12" t="str">
        <x:v>PASS</x:v>
      </x:c>
      <x:c r="O26" s="12" t="str">
        <x:v>CONTEMPORANEOUS_ATTRIBUTION</x:v>
      </x:c>
      <x:c r="P26" s="12" t="str">
        <x:v>PASS</x:v>
      </x:c>
      <x:c r="Q26" s="12" t="str">
        <x:v>Checked for LLY/Eli Lilly identity, exact earnings event or directly relevant catalyst, displayed date, timing window, and source-origin restriction.</x:v>
      </x:c>
    </x:row>
    <x:row r="27">
      <x:c r="A27" s="12" t="str">
        <x:v>2018-04-24</x:v>
      </x:c>
      <x:c r="B27" s="12" t="str">
        <x:v>LLY</x:v>
      </x:c>
      <x:c r="C27" s="12" t="str">
        <x:v>prior</x:v>
      </x:c>
      <x:c r="D27" s="12" t="str">
        <x:v>2018-01-31</x:v>
      </x:c>
      <x:c r="E27" s="12" t="n">
        <x:v>-83</x:v>
      </x:c>
      <x:c r="F27" s="12" t="str">
        <x:v>Eli Lilly</x:v>
      </x:c>
      <x:c r="G27" s="12" t="str">
        <x:v>Lilly Reports Strong Fourth-Quarter and Full-Year 2017 Revenue Growth, Increases 2018 EPS Guidance</x:v>
      </x:c>
      <x:c r="H27" s="12" t="str">
        <x:v>https://investor.lilly.com/node/38271</x:v>
      </x:c>
      <x:c r="I27" s="12" t="str">
        <x:v>OPENED/VERIFIED</x:v>
      </x:c>
      <x:c r="J27" s="12" t="str">
        <x:v>PASS</x:v>
      </x:c>
      <x:c r="K27" s="12" t="str">
        <x:v>PASS</x:v>
      </x:c>
      <x:c r="L27" s="12" t="str">
        <x:v>PASS</x:v>
      </x:c>
      <x:c r="M27" s="12" t="str">
        <x:v>NO</x:v>
      </x:c>
      <x:c r="N27" s="12" t="str">
        <x:v>PASS</x:v>
      </x:c>
      <x:c r="O27" s="12" t="str">
        <x:v>FACTUAL</x:v>
      </x:c>
      <x:c r="P27" s="12" t="str">
        <x:v>PASS</x:v>
      </x:c>
      <x:c r="Q27" s="12" t="str">
        <x:v>Checked for LLY/Eli Lilly identity, exact earnings event or directly relevant catalyst, displayed date, timing window, and source-origin restriction.</x:v>
      </x:c>
    </x:row>
    <x:row r="28">
      <x:c r="A28" s="12" t="str">
        <x:v>2018-04-24</x:v>
      </x:c>
      <x:c r="B28" s="12" t="str">
        <x:v>LLY</x:v>
      </x:c>
      <x:c r="C28" s="12" t="str">
        <x:v>release</x:v>
      </x:c>
      <x:c r="D28" s="12" t="str">
        <x:v>2018-04-24</x:v>
      </x:c>
      <x:c r="E28" s="12" t="n">
        <x:v>0</x:v>
      </x:c>
      <x:c r="F28" s="12" t="str">
        <x:v>SEC / Eli Lilly</x:v>
      </x:c>
      <x:c r="G28" s="12" t="str">
        <x:v>Lilly Reports Strong First-Quarter 2018 Results, Raises EPS Guidance</x:v>
      </x:c>
      <x:c r="H28" s="12" t="str">
        <x:v>https://www.sec.gov/Archives/edgar/data/59478/000005947818000133/q118lillysalesandearning.htm</x:v>
      </x:c>
      <x:c r="I28" s="12" t="str">
        <x:v>OPENED/VERIFIED</x:v>
      </x:c>
      <x:c r="J28" s="12" t="str">
        <x:v>PASS</x:v>
      </x:c>
      <x:c r="K28" s="12" t="str">
        <x:v>PASS</x:v>
      </x:c>
      <x:c r="L28" s="12" t="str">
        <x:v>PASS</x:v>
      </x:c>
      <x:c r="M28" s="12" t="str">
        <x:v>NO</x:v>
      </x:c>
      <x:c r="N28" s="12" t="str">
        <x:v>PASS</x:v>
      </x:c>
      <x:c r="O28" s="12" t="str">
        <x:v>FACTUAL</x:v>
      </x:c>
      <x:c r="P28" s="12" t="str">
        <x:v>PASS</x:v>
      </x:c>
      <x:c r="Q28" s="12" t="str">
        <x:v>Checked for LLY/Eli Lilly identity, exact earnings event or directly relevant catalyst, displayed date, timing window, and source-origin restriction.</x:v>
      </x:c>
    </x:row>
    <x:row r="29">
      <x:c r="A29" s="12" t="str">
        <x:v>2018-04-24</x:v>
      </x:c>
      <x:c r="B29" s="12" t="str">
        <x:v>LLY</x:v>
      </x:c>
      <x:c r="C29" s="12" t="str">
        <x:v>reaction</x:v>
      </x:c>
      <x:c r="D29" s="12" t="str">
        <x:v>2018-04-24</x:v>
      </x:c>
      <x:c r="E29" s="12" t="n">
        <x:v>0</x:v>
      </x:c>
      <x:c r="F29" s="12" t="str">
        <x:v>Daily Herald / Associated Press</x:v>
      </x:c>
      <x:c r="G29" s="12" t="str">
        <x:v>Drugmaker Lilly hikes 2018 forecast, beats 1Q expectations</x:v>
      </x:c>
      <x:c r="H29" s="12" t="str">
        <x:v>https://www.dailyherald.com/archive/20180424/business/</x:v>
      </x:c>
      <x:c r="I29" s="12" t="str">
        <x:v>OPENED/VERIFIED</x:v>
      </x:c>
      <x:c r="J29" s="12" t="str">
        <x:v>PASS</x:v>
      </x:c>
      <x:c r="K29" s="12" t="str">
        <x:v>PASS</x:v>
      </x:c>
      <x:c r="L29" s="12" t="str">
        <x:v>PASS</x:v>
      </x:c>
      <x:c r="M29" s="12" t="str">
        <x:v>NO</x:v>
      </x:c>
      <x:c r="N29" s="12" t="str">
        <x:v>PASS</x:v>
      </x:c>
      <x:c r="O29" s="12" t="str">
        <x:v>CONTEMPORANEOUS_ATTRIBUTION</x:v>
      </x:c>
      <x:c r="P29" s="12" t="str">
        <x:v>PASS</x:v>
      </x:c>
      <x:c r="Q29" s="12" t="str">
        <x:v>Checked for LLY/Eli Lilly identity, exact earnings event or directly relevant catalyst, displayed date, timing window, and source-origin restriction.</x:v>
      </x:c>
    </x:row>
    <x:row r="30">
      <x:c r="A30" s="12" t="str">
        <x:v>2018-04-24</x:v>
      </x:c>
      <x:c r="B30" s="12" t="str">
        <x:v>LLY</x:v>
      </x:c>
      <x:c r="C30" s="12" t="str">
        <x:v>prior</x:v>
      </x:c>
      <x:c r="D30" s="12" t="str">
        <x:v>2018-04-23</x:v>
      </x:c>
      <x:c r="E30" s="12" t="n">
        <x:v>-1</x:v>
      </x:c>
      <x:c r="F30" s="12" t="str">
        <x:v>Eli Lilly / Incyte</x:v>
      </x:c>
      <x:c r="G30" s="12" t="str">
        <x:v>FDA Advisory Committee Recommends Approval of Baricitinib 2mg, but not 4mg</x:v>
      </x:c>
      <x:c r="H30" s="12" t="str">
        <x:v>https://investor.lilly.com/news-releases/news-release-details/fda-advisory-committee-recommends-approval-baricitinib-2mg-not</x:v>
      </x:c>
      <x:c r="I30" s="12" t="str">
        <x:v>OPENED/VERIFIED</x:v>
      </x:c>
      <x:c r="J30" s="12" t="str">
        <x:v>PASS</x:v>
      </x:c>
      <x:c r="K30" s="12" t="str">
        <x:v>PASS</x:v>
      </x:c>
      <x:c r="L30" s="12" t="str">
        <x:v>PASS</x:v>
      </x:c>
      <x:c r="M30" s="12" t="str">
        <x:v>NO</x:v>
      </x:c>
      <x:c r="N30" s="12" t="str">
        <x:v>PASS</x:v>
      </x:c>
      <x:c r="O30" s="12" t="str">
        <x:v>FACTUAL</x:v>
      </x:c>
      <x:c r="P30" s="12" t="str">
        <x:v>PASS</x:v>
      </x:c>
      <x:c r="Q30" s="12" t="str">
        <x:v>Checked for LLY/Eli Lilly identity, exact earnings event or directly relevant catalyst, displayed date, timing window, and source-origin restriction.</x:v>
      </x:c>
    </x:row>
    <x:row r="31">
      <x:c r="A31" s="12" t="str">
        <x:v>2018-07-24</x:v>
      </x:c>
      <x:c r="B31" s="12" t="str">
        <x:v>LLY</x:v>
      </x:c>
      <x:c r="C31" s="12" t="str">
        <x:v>prior</x:v>
      </x:c>
      <x:c r="D31" s="12" t="str">
        <x:v>2018-04-24</x:v>
      </x:c>
      <x:c r="E31" s="12" t="n">
        <x:v>-91</x:v>
      </x:c>
      <x:c r="F31" s="12" t="str">
        <x:v>SEC / Eli Lilly</x:v>
      </x:c>
      <x:c r="G31" s="12" t="str">
        <x:v>Lilly Reports Strong First-Quarter 2018 Results, Raises EPS Guidance</x:v>
      </x:c>
      <x:c r="H31" s="12" t="str">
        <x:v>https://www.sec.gov/Archives/edgar/data/59478/000005947818000133/q118lillysalesandearning.htm</x:v>
      </x:c>
      <x:c r="I31" s="12" t="str">
        <x:v>OPENED/VERIFIED</x:v>
      </x:c>
      <x:c r="J31" s="12" t="str">
        <x:v>PASS</x:v>
      </x:c>
      <x:c r="K31" s="12" t="str">
        <x:v>PASS</x:v>
      </x:c>
      <x:c r="L31" s="12" t="str">
        <x:v>PASS</x:v>
      </x:c>
      <x:c r="M31" s="12" t="str">
        <x:v>NO</x:v>
      </x:c>
      <x:c r="N31" s="12" t="str">
        <x:v>PASS</x:v>
      </x:c>
      <x:c r="O31" s="12" t="str">
        <x:v>FACTUAL</x:v>
      </x:c>
      <x:c r="P31" s="12" t="str">
        <x:v>PASS</x:v>
      </x:c>
      <x:c r="Q31" s="12" t="str">
        <x:v>Checked for LLY/Eli Lilly identity, exact earnings event or directly relevant catalyst, displayed date, timing window, and source-origin restriction.</x:v>
      </x:c>
    </x:row>
    <x:row r="32">
      <x:c r="A32" s="12" t="str">
        <x:v>2018-07-24</x:v>
      </x:c>
      <x:c r="B32" s="12" t="str">
        <x:v>LLY</x:v>
      </x:c>
      <x:c r="C32" s="12" t="str">
        <x:v>release</x:v>
      </x:c>
      <x:c r="D32" s="12" t="str">
        <x:v>2018-07-24</x:v>
      </x:c>
      <x:c r="E32" s="12" t="n">
        <x:v>0</x:v>
      </x:c>
      <x:c r="F32" s="12" t="str">
        <x:v>Eli Lilly</x:v>
      </x:c>
      <x:c r="G32" s="12" t="str">
        <x:v>Lilly Delivers Strong Second-Quarter 2018 Results, Revises EPS Guidance</x:v>
      </x:c>
      <x:c r="H32" s="12" t="str">
        <x:v>https://investor.lilly.com/news-releases/news-release-details/lilly-delivers-strong-second-quarter-2018-results-revises-eps</x:v>
      </x:c>
      <x:c r="I32" s="12" t="str">
        <x:v>OPENED/VERIFIED</x:v>
      </x:c>
      <x:c r="J32" s="12" t="str">
        <x:v>PASS</x:v>
      </x:c>
      <x:c r="K32" s="12" t="str">
        <x:v>PASS</x:v>
      </x:c>
      <x:c r="L32" s="12" t="str">
        <x:v>PASS</x:v>
      </x:c>
      <x:c r="M32" s="12" t="str">
        <x:v>NO</x:v>
      </x:c>
      <x:c r="N32" s="12" t="str">
        <x:v>PASS</x:v>
      </x:c>
      <x:c r="O32" s="12" t="str">
        <x:v>FACTUAL</x:v>
      </x:c>
      <x:c r="P32" s="12" t="str">
        <x:v>PASS</x:v>
      </x:c>
      <x:c r="Q32" s="12" t="str">
        <x:v>Checked for LLY/Eli Lilly identity, exact earnings event or directly relevant catalyst, displayed date, timing window, and source-origin restriction.</x:v>
      </x:c>
    </x:row>
    <x:row r="33">
      <x:c r="A33" s="12" t="str">
        <x:v>2018-07-24</x:v>
      </x:c>
      <x:c r="B33" s="12" t="str">
        <x:v>LLY</x:v>
      </x:c>
      <x:c r="C33" s="12" t="str">
        <x:v>reaction</x:v>
      </x:c>
      <x:c r="D33" s="12" t="str">
        <x:v>2018-07-24</x:v>
      </x:c>
      <x:c r="E33" s="12" t="n">
        <x:v>0</x:v>
      </x:c>
      <x:c r="F33" s="12" t="str">
        <x:v>Forbes</x:v>
      </x:c>
      <x:c r="G33" s="12" t="str">
        <x:v>Eli Lilly Beats Earnings, Plans Animal Health IPO</x:v>
      </x:c>
      <x:c r="H33" s="12" t="str">
        <x:v>https://www.forbes.com/sites/michelatindera/2018/07/24/eli-lilly-beats-earnings-plans-animal-health-ipo/</x:v>
      </x:c>
      <x:c r="I33" s="12" t="str">
        <x:v>OPENED/VERIFIED</x:v>
      </x:c>
      <x:c r="J33" s="12" t="str">
        <x:v>PASS</x:v>
      </x:c>
      <x:c r="K33" s="12" t="str">
        <x:v>PASS</x:v>
      </x:c>
      <x:c r="L33" s="12" t="str">
        <x:v>PASS</x:v>
      </x:c>
      <x:c r="M33" s="12" t="str">
        <x:v>NO</x:v>
      </x:c>
      <x:c r="N33" s="12" t="str">
        <x:v>PASS</x:v>
      </x:c>
      <x:c r="O33" s="12" t="str">
        <x:v>CONTEMPORANEOUS_ATTRIBUTION</x:v>
      </x:c>
      <x:c r="P33" s="12" t="str">
        <x:v>PASS</x:v>
      </x:c>
      <x:c r="Q33" s="12" t="str">
        <x:v>Checked for LLY/Eli Lilly identity, exact earnings event or directly relevant catalyst, displayed date, timing window, and source-origin restriction.</x:v>
      </x:c>
    </x:row>
    <x:row r="34">
      <x:c r="A34" s="12" t="str">
        <x:v>2018-07-24</x:v>
      </x:c>
      <x:c r="B34" s="12" t="str">
        <x:v>LLY</x:v>
      </x:c>
      <x:c r="C34" s="12" t="str">
        <x:v>reaction</x:v>
      </x:c>
      <x:c r="D34" s="12" t="str">
        <x:v>2018-07-24</x:v>
      </x:c>
      <x:c r="E34" s="12" t="n">
        <x:v>0</x:v>
      </x:c>
      <x:c r="F34" s="12" t="str">
        <x:v>Eli Lilly</x:v>
      </x:c>
      <x:c r="G34" s="12" t="str">
        <x:v>Lilly to Separate Elanco Animal Health with Initial Public Offering</x:v>
      </x:c>
      <x:c r="H34" s="12" t="str">
        <x:v>https://investor.lilly.com/news-releases/news-release-details/lilly-separate-elanco-animal-health-initial-public-offering</x:v>
      </x:c>
      <x:c r="I34" s="12" t="str">
        <x:v>OPENED/VERIFIED</x:v>
      </x:c>
      <x:c r="J34" s="12" t="str">
        <x:v>PASS</x:v>
      </x:c>
      <x:c r="K34" s="12" t="str">
        <x:v>PASS</x:v>
      </x:c>
      <x:c r="L34" s="12" t="str">
        <x:v>PASS</x:v>
      </x:c>
      <x:c r="M34" s="12" t="str">
        <x:v>NO</x:v>
      </x:c>
      <x:c r="N34" s="12" t="str">
        <x:v>PASS</x:v>
      </x:c>
      <x:c r="O34" s="12" t="str">
        <x:v>CONTEMPORANEOUS_ATTRIBUTION</x:v>
      </x:c>
      <x:c r="P34" s="12" t="str">
        <x:v>PASS</x:v>
      </x:c>
      <x:c r="Q34" s="12" t="str">
        <x:v>Checked for LLY/Eli Lilly identity, exact earnings event or directly relevant catalyst, displayed date, timing window, and source-origin restriction.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2016-04-26</x:v>
      </x:c>
      <x:c r="B2" t="str">
        <x:v>LLY</x:v>
      </x:c>
      <x:c r="C2" s="20" t="n">
        <x:v>-2.48</x:v>
      </x:c>
      <x:c r="D2" s="20" t="n">
        <x:v>0.05</x:v>
      </x:c>
      <x:c r="E2" t="str">
        <x:v>ret_1day_pct</x:v>
      </x:c>
      <x:c r="F2" t="str">
        <x:f>IF(C2&gt;0.1,"UP",IF(C2&lt;-0.1,"DOWN","FLAT"))</x:f>
        <x:v>DOWN</x:v>
      </x:c>
      <x:c r="G2" t="str">
        <x:v>DOWN</x:v>
      </x:c>
      <x:c r="H2" t="str">
        <x:f>IF(F2=G2,"PASS","FAIL")</x:f>
        <x:v>PASS</x:v>
      </x:c>
      <x:c r="I2" t="n">
        <x:v>3</x:v>
      </x:c>
      <x:c r="J2" t="n">
        <x:f>COUNTIFS('Source Audit'!$A:$A,A2,'Source Audit'!$P:$P,"PASS")</x:f>
        <x:v>3</x:v>
      </x:c>
      <x:c r="K2" t="str">
        <x:f>IF(AND(H2="PASS",J2=I2),"PASS","FAIL")</x:f>
        <x:v>PASS</x:v>
      </x:c>
    </x:row>
    <x:row r="3">
      <x:c r="A3" t="str">
        <x:v>2016-07-26</x:v>
      </x:c>
      <x:c r="B3" t="str">
        <x:v>LLY</x:v>
      </x:c>
      <x:c r="C3" s="20" t="n">
        <x:v>-0.03</x:v>
      </x:c>
      <x:c r="D3" s="20" t="n">
        <x:v>1.72</x:v>
      </x:c>
      <x:c r="E3" t="str">
        <x:v>ret_1day_pct</x:v>
      </x:c>
      <x:c r="F3" t="str">
        <x:f>IF(C3&gt;0.1,"UP",IF(C3&lt;-0.1,"DOWN","FLAT"))</x:f>
        <x:v>FLAT</x:v>
      </x:c>
      <x:c r="G3" t="str">
        <x:v>FLAT</x:v>
      </x:c>
      <x:c r="H3" t="str">
        <x:f>IF(F3=G3,"PASS","FAIL")</x:f>
        <x:v>PASS</x:v>
      </x:c>
      <x:c r="I3" t="n">
        <x:v>3</x:v>
      </x:c>
      <x:c r="J3" t="n">
        <x:f>COUNTIFS('Source Audit'!$A:$A,A3,'Source Audit'!$P:$P,"PASS")</x:f>
        <x:v>3</x:v>
      </x:c>
      <x:c r="K3" t="str">
        <x:f>IF(AND(H3="PASS",J3=I3),"PASS","FAIL")</x:f>
        <x:v>PASS</x:v>
      </x:c>
    </x:row>
    <x:row r="4">
      <x:c r="A4" t="str">
        <x:v>2016-10-25</x:v>
      </x:c>
      <x:c r="B4" t="str">
        <x:v>LLY</x:v>
      </x:c>
      <x:c r="C4" s="20" t="n">
        <x:v>0.67</x:v>
      </x:c>
      <x:c r="D4" s="20" t="n">
        <x:v>-1</x:v>
      </x:c>
      <x:c r="E4" t="str">
        <x:v>ret_1day_pct</x:v>
      </x:c>
      <x:c r="F4" t="str">
        <x:f>IF(C4&gt;0.1,"UP",IF(C4&lt;-0.1,"DOWN","FLAT"))</x:f>
        <x:v>UP</x:v>
      </x:c>
      <x:c r="G4" t="str">
        <x:v>UP</x:v>
      </x:c>
      <x:c r="H4" t="str">
        <x:f>IF(F4=G4,"PASS","FAIL")</x:f>
        <x:v>PASS</x:v>
      </x:c>
      <x:c r="I4" t="n">
        <x:v>3</x:v>
      </x:c>
      <x:c r="J4" t="n">
        <x:f>COUNTIFS('Source Audit'!$A:$A,A4,'Source Audit'!$P:$P,"PASS")</x:f>
        <x:v>3</x:v>
      </x:c>
      <x:c r="K4" t="str">
        <x:f>IF(AND(H4="PASS",J4=I4),"PASS","FAIL")</x:f>
        <x:v>PASS</x:v>
      </x:c>
    </x:row>
    <x:row r="5">
      <x:c r="A5" t="str">
        <x:v>2017-01-31</x:v>
      </x:c>
      <x:c r="B5" t="str">
        <x:v>LLY</x:v>
      </x:c>
      <x:c r="C5" s="20" t="n">
        <x:v>3.04</x:v>
      </x:c>
      <x:c r="D5" s="20" t="n">
        <x:v>0.71</x:v>
      </x:c>
      <x:c r="E5" t="str">
        <x:v>ret_1day_pct</x:v>
      </x:c>
      <x:c r="F5" t="str">
        <x:f>IF(C5&gt;0.1,"UP",IF(C5&lt;-0.1,"DOWN","FLAT"))</x:f>
        <x:v>UP</x:v>
      </x:c>
      <x:c r="G5" t="str">
        <x:v>UP</x:v>
      </x:c>
      <x:c r="H5" t="str">
        <x:f>IF(F5=G5,"PASS","FAIL")</x:f>
        <x:v>PASS</x:v>
      </x:c>
      <x:c r="I5" t="n">
        <x:v>3</x:v>
      </x:c>
      <x:c r="J5" t="n">
        <x:f>COUNTIFS('Source Audit'!$A:$A,A5,'Source Audit'!$P:$P,"PASS")</x:f>
        <x:v>3</x:v>
      </x:c>
      <x:c r="K5" t="str">
        <x:f>IF(AND(H5="PASS",J5=I5),"PASS","FAIL")</x:f>
        <x:v>PASS</x:v>
      </x:c>
    </x:row>
    <x:row r="6">
      <x:c r="A6" t="str">
        <x:v>2017-04-25</x:v>
      </x:c>
      <x:c r="B6" t="str">
        <x:v>LLY</x:v>
      </x:c>
      <x:c r="C6" s="20" t="n">
        <x:v>-3.26</x:v>
      </x:c>
      <x:c r="D6" s="20" t="n">
        <x:v>-0.29</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2017-07-25</x:v>
      </x:c>
      <x:c r="B7" t="str">
        <x:v>LLY</x:v>
      </x:c>
      <x:c r="C7" s="20" t="n">
        <x:v>-3.35</x:v>
      </x:c>
      <x:c r="D7" s="20" t="n">
        <x:v>-0.42</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2017-10-24</x:v>
      </x:c>
      <x:c r="B8" t="str">
        <x:v>LLY</x:v>
      </x:c>
      <x:c r="C8" s="20" t="n">
        <x:v>-2.47</x:v>
      </x:c>
      <x:c r="D8" s="20" t="n">
        <x:v>0.16</x:v>
      </x:c>
      <x:c r="E8" t="str">
        <x:v>ret_1day_pct</x:v>
      </x:c>
      <x:c r="F8" t="str">
        <x:f>IF(C8&gt;0.1,"UP",IF(C8&lt;-0.1,"DOWN","FLAT"))</x:f>
        <x:v>DOWN</x:v>
      </x:c>
      <x:c r="G8" t="str">
        <x:v>DOWN</x:v>
      </x:c>
      <x:c r="H8" t="str">
        <x:f>IF(F8=G8,"PASS","FAIL")</x:f>
        <x:v>PASS</x:v>
      </x:c>
      <x:c r="I8" t="n">
        <x:v>3</x:v>
      </x:c>
      <x:c r="J8" t="n">
        <x:f>COUNTIFS('Source Audit'!$A:$A,A8,'Source Audit'!$P:$P,"PASS")</x:f>
        <x:v>3</x:v>
      </x:c>
      <x:c r="K8" t="str">
        <x:f>IF(AND(H8="PASS",J8=I8),"PASS","FAIL")</x:f>
        <x:v>PASS</x:v>
      </x:c>
    </x:row>
    <x:row r="9">
      <x:c r="A9" t="str">
        <x:v>2018-01-31</x:v>
      </x:c>
      <x:c r="B9" t="str">
        <x:v>LLY</x:v>
      </x:c>
      <x:c r="C9" s="20" t="n">
        <x:v>-5.4</x:v>
      </x:c>
      <x:c r="D9" s="20" t="n">
        <x:v>1.21</x:v>
      </x:c>
      <x:c r="E9" t="str">
        <x:v>ret_1day_pct</x:v>
      </x:c>
      <x:c r="F9" t="str">
        <x:f>IF(C9&gt;0.1,"UP",IF(C9&lt;-0.1,"DOWN","FLAT"))</x:f>
        <x:v>DOWN</x:v>
      </x:c>
      <x:c r="G9" t="str">
        <x:v>DOWN</x:v>
      </x:c>
      <x:c r="H9" t="str">
        <x:f>IF(F9=G9,"PASS","FAIL")</x:f>
        <x:v>PASS</x:v>
      </x:c>
      <x:c r="I9" t="n">
        <x:v>4</x:v>
      </x:c>
      <x:c r="J9" t="n">
        <x:f>COUNTIFS('Source Audit'!$A:$A,A9,'Source Audit'!$P:$P,"PASS")</x:f>
        <x:v>4</x:v>
      </x:c>
      <x:c r="K9" t="str">
        <x:f>IF(AND(H9="PASS",J9=I9),"PASS","FAIL")</x:f>
        <x:v>PASS</x:v>
      </x:c>
    </x:row>
    <x:row r="10">
      <x:c r="A10" t="str">
        <x:v>2018-04-24</x:v>
      </x:c>
      <x:c r="B10" t="str">
        <x:v>LLY</x:v>
      </x:c>
      <x:c r="C10" s="20" t="n">
        <x:v>1</x:v>
      </x:c>
      <x:c r="D10" s="20" t="n">
        <x:v>1.23</x:v>
      </x:c>
      <x:c r="E10" t="str">
        <x:v>ret_1day_pct</x:v>
      </x:c>
      <x:c r="F10" t="str">
        <x:f>IF(C10&gt;0.1,"UP",IF(C10&lt;-0.1,"DOWN","FLAT"))</x:f>
        <x:v>UP</x:v>
      </x:c>
      <x:c r="G10" t="str">
        <x:v>UP</x:v>
      </x:c>
      <x:c r="H10" t="str">
        <x:f>IF(F10=G10,"PASS","FAIL")</x:f>
        <x:v>PASS</x:v>
      </x:c>
      <x:c r="I10" t="n">
        <x:v>4</x:v>
      </x:c>
      <x:c r="J10" t="n">
        <x:f>COUNTIFS('Source Audit'!$A:$A,A10,'Source Audit'!$P:$P,"PASS")</x:f>
        <x:v>4</x:v>
      </x:c>
      <x:c r="K10" t="str">
        <x:f>IF(AND(H10="PASS",J10=I10),"PASS","FAIL")</x:f>
        <x:v>PASS</x:v>
      </x:c>
    </x:row>
    <x:row r="11">
      <x:c r="A11" t="str">
        <x:v>2018-07-24</x:v>
      </x:c>
      <x:c r="B11" t="str">
        <x:v>LLY</x:v>
      </x:c>
      <x:c r="C11" s="20" t="n">
        <x:v>4.83</x:v>
      </x:c>
      <x:c r="D11" s="20" t="n">
        <x:v>2.47</x:v>
      </x:c>
      <x:c r="E11" t="str">
        <x:v>ret_1day_pct</x:v>
      </x:c>
      <x:c r="F11" t="str">
        <x:f>IF(C11&gt;0.1,"UP",IF(C11&lt;-0.1,"DOWN","FLAT"))</x:f>
        <x:v>UP</x:v>
      </x:c>
      <x:c r="G11" t="str">
        <x:v>UP</x:v>
      </x:c>
      <x:c r="H11" t="str">
        <x:f>IF(F11=G11,"PASS","FAIL")</x:f>
        <x:v>PASS</x:v>
      </x:c>
      <x:c r="I11" t="n">
        <x:v>4</x:v>
      </x:c>
      <x:c r="J11" t="n">
        <x:f>COUNTIFS('Source Audit'!$A:$A,A11,'Source Audit'!$P:$P,"PASS")</x:f>
        <x:v>4</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LLY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Lilly issued the sampled earnings releases before the U.S. market open (earnings calls were generally at 9:00 a.m. ET). Therefore ret_1day_pct—not ret_1daypost_pct—is the primary earnings-reaction field.</x:v>
      </x:c>
    </x:row>
    <x:row r="5">
      <x:c r="A5" s="12" t="str">
        <x:v>Narrative</x:v>
      </x:c>
      <x:c r="B5" s="12" t="str">
        <x:v>Short Prior Context, detailed Current Earnings Release, and three concise event-specific Possible Drivers.</x:v>
      </x:c>
    </x:row>
    <x:row r="6">
      <x:c r="A6" s="12" t="str">
        <x:v>Sources</x:v>
      </x:c>
      <x:c r="B6" s="12" t="str">
        <x:v>Lilly Investor Relations / SEC anchors results. Each event has a contemporaneous open reaction source; directly relevant same-window catalysts are added only when they materially explain the event.</x:v>
      </x:c>
    </x:row>
    <x:row r="7">
      <x:c r="A7" s="12" t="str">
        <x:v>Timing</x:v>
      </x:c>
      <x:c r="B7" s="12" t="str">
        <x:v>Prior/catalyst = -100..-1 days; release = day 0; reaction = day 0..+3.</x:v>
      </x:c>
    </x:row>
    <x:row r="8">
      <x:c r="A8" s="12" t="str">
        <x:v>Restrictions</x:v>
      </x:c>
      <x:c r="B8" s="12" t="str">
        <x:v>No WSJ, Reuters, Dow Jones or MarketWatch-syndicated article is included. Fox pages with Reuters/Dow Jones bylines were explicitly excluded.</x:v>
      </x:c>
    </x:row>
    <x:row r="9">
      <x:c r="A9" s="12" t="str">
        <x:v>QA</x:v>
      </x:c>
      <x:c r="B9" s="12" t="str">
        <x:v>Event QA mechanically recomputes direction from ret_1day_pct and checks each event's exact expected PASS source count.</x:v>
      </x:c>
    </x:row>
  </x:sheetData>
  <x:pageMargins left="0.7" right="0.7" top="0.75" bottom="0.75" header="0.3" footer="0.3"/>
</x:worksheet>
</file>