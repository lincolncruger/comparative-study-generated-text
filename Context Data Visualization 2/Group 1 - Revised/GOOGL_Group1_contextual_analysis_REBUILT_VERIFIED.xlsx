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e128e39ad047c2" /></Relationships>
</file>

<file path=xl/workbook.xml><?xml version="1.0" encoding="utf-8"?>
<x:workbook xmlns:x="http://schemas.openxmlformats.org/spreadsheetml/2006/main">
  <x:sheets>
    <x:sheet xmlns:r="http://schemas.openxmlformats.org/officeDocument/2006/relationships" name="GOOGL" sheetId="1" r:id="Re505ffc1d77e4694"/>
    <x:sheet xmlns:r="http://schemas.openxmlformats.org/officeDocument/2006/relationships" name="Source Audit" sheetId="2" r:id="R4eec2f533c214000"/>
    <x:sheet xmlns:r="http://schemas.openxmlformats.org/officeDocument/2006/relationships" name="Event QA" sheetId="3" r:id="Rfe5bc3aad1ad47dd"/>
    <x:sheet xmlns:r="http://schemas.openxmlformats.org/officeDocument/2006/relationships" name="Methodology" sheetId="4" r:id="R49bd03a066dc45f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1571b987984b39" /><Relationship Type="http://schemas.openxmlformats.org/officeDocument/2006/relationships/theme" Target="/xl/theme/theme1.xml" Id="R4605c0d030644d57" /><Relationship Type="http://schemas.openxmlformats.org/officeDocument/2006/relationships/sharedStrings" Target="/xl/sharedStrings.xml" Id="Re80dde7c51444c3a" /><Relationship Type="http://schemas.openxmlformats.org/officeDocument/2006/relationships/worksheet" Target="/xl/worksheets/sheet1.xml" Id="Re505ffc1d77e4694" /><Relationship Type="http://schemas.openxmlformats.org/officeDocument/2006/relationships/worksheet" Target="/xl/worksheets/sheet2.xml" Id="R4eec2f533c214000" /><Relationship Type="http://schemas.openxmlformats.org/officeDocument/2006/relationships/worksheet" Target="/xl/worksheets/sheet3.xml" Id="Rfe5bc3aad1ad47dd" /><Relationship Type="http://schemas.openxmlformats.org/officeDocument/2006/relationships/worksheet" Target="/xl/worksheets/sheet4.xml" Id="R49bd03a066dc45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2" hidden="0" customWidth="1"/>
    <x:col min="15" max="15" width="62" hidden="0" customWidth="1"/>
    <x:col min="16" max="16" width="62" hidden="0" customWidth="1"/>
    <x:col min="17" max="17" width="76"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GOOGL</x:v>
      </x:c>
      <x:c r="C2" s="15" t="str">
        <x:v>Alphabet (Class A)</x:v>
      </x:c>
      <x:c r="D2" s="15" t="str">
        <x:v>2016q2</x:v>
      </x:c>
      <x:c r="E2" s="15" t="str">
        <x:v>2016-04-21</x:v>
      </x:c>
      <x:c r="F2" s="18" t="n">
        <x:v>1.18</x:v>
      </x:c>
      <x:c r="G2" s="18" t="n">
        <x:v>-5.6</x:v>
      </x:c>
      <x:c r="H2" s="18" t="n">
        <x:v>-4.48</x:v>
      </x:c>
      <x:c r="I2" s="18" t="n">
        <x:v>-4.76</x:v>
      </x:c>
      <x:c r="J2" s="18" t="n">
        <x:v>-6.43</x:v>
      </x:c>
      <x:c r="K2" s="15" t="str">
        <x:v>ret_1daypost_pct</x:v>
      </x:c>
      <x:c r="L2" s="15" t="str">
        <x:v>DOWN</x:v>
      </x:c>
      <x:c r="M2" s="15" t="str">
        <x:v>## Prior Context
Alphabet was only a few months into its new segment-reporting structure, which separated Google from Other Bets. Investors were focused on whether mobile search and YouTube could preserve ad growth despite structurally lower mobile cost-per-click.
### Verified prior source
2016-01-28 | Alphabet Investor Relations | Getting ready for segment reporting | https://abc.xyz/investor/news/2016/0128/
## Current Earnings Release
Alphabet reported **$20.26 billion of revenue**, up 17%, and adjusted EPS of **$7.50**. Both missed consensus, which was around $20.3–$20.4 billion of revenue and roughly $7.96 EPS. Paid clicks continued to grow rapidly, but aggregate cost-per-click declined again as usage shifted toward mobile and YouTube.
The quarter therefore exposed a tension in Google’s ad model: volume remained strong, but the value per click was falling. Other Bets also produced substantial operating losses. With the stock near record highs before the print, a modest miss on both revenue and earnings was enough to trigger a sharp reset.
### Verified release source
2016-04-21 | SEC / Alphabet | Alphabet Announces First Quarter 2016 Results | https://www.sec.gov/Archives/edgar/data/1652044/000165204416000015/googexhibit991q12016.htm
## Possible Drivers
**First-order driver.** The stock fell because both revenue and EPS missed expectations.
**Second-order driver.** Falling cost-per-click kept pressure on the quality of mobile-driven ad growth.
**Third-order driver.** High pre-earnings expectations amplified the impact of an otherwise still-strong growth quarter.
### Verified reaction source
2016-04-21 | TechCrunch | Alphabet slides 5% after missing earnings expectations on revenue of $20.3B | https://techcrunch.com/2016/04/21/alphabet-slides-6-after-missing-earnings-expectations/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2" s="15" t="str">
        <x:v>2016-01-28 | Alphabet Investor Relations | Getting ready for segment reporting | https://abc.xyz/investor/news/2016/0128/</x:v>
      </x:c>
      <x:c r="O2" s="15" t="str">
        <x:v>2016-04-21 | SEC / Alphabet | Alphabet Announces First Quarter 2016 Results | https://www.sec.gov/Archives/edgar/data/1652044/000165204416000015/googexhibit991q12016.htm</x:v>
      </x:c>
      <x:c r="P2" s="15" t="str">
        <x:v>2016-04-21 | TechCrunch | Alphabet slides 5% after missing earnings expectations on revenue of $20.3B | https://techcrunch.com/2016/04/21/alphabet-slides-6-after-missing-earnings-expectations/</x:v>
      </x:c>
      <x:c r="Q2" s="15" t="str">
        <x:v>2016-01-28 | Alphabet Investor Relations | Getting ready for segment reporting | https://abc.xyz/investor/news/2016/0128/
2016-04-21 | SEC / Alphabet | Alphabet Announces First Quarter 2016 Results | https://www.sec.gov/Archives/edgar/data/1652044/000165204416000015/googexhibit991q12016.htm
2016-04-21 | TechCrunch | Alphabet slides 5% after missing earnings expectations on revenue of $20.3B | https://techcrunch.com/2016/04/21/alphabet-slides-6-after-missing-earnings-expectations/</x:v>
      </x:c>
      <x:c r="R2" s="15" t="n">
        <x:v>3</x:v>
      </x:c>
      <x:c r="S2" s="15" t="str">
        <x:v>PASS</x:v>
      </x:c>
    </x:row>
    <x:row r="3" ht="340" customHeight="1">
      <x:c r="A3" s="15" t="n">
        <x:v>1</x:v>
      </x:c>
      <x:c r="B3" s="15" t="str">
        <x:v>GOOGL</x:v>
      </x:c>
      <x:c r="C3" s="15" t="str">
        <x:v>Alphabet (Class A)</x:v>
      </x:c>
      <x:c r="D3" s="15" t="str">
        <x:v>2016q3</x:v>
      </x:c>
      <x:c r="E3" s="15" t="str">
        <x:v>2016-07-28</x:v>
      </x:c>
      <x:c r="F3" s="18" t="n">
        <x:v>0.34</x:v>
      </x:c>
      <x:c r="G3" s="18" t="n">
        <x:v>3.07</x:v>
      </x:c>
      <x:c r="H3" s="18" t="n">
        <x:v>3.42</x:v>
      </x:c>
      <x:c r="I3" s="18" t="n">
        <x:v>4.14</x:v>
      </x:c>
      <x:c r="J3" s="18" t="n">
        <x:v>6.28</x:v>
      </x:c>
      <x:c r="K3" s="15" t="str">
        <x:v>ret_1daypost_pct</x:v>
      </x:c>
      <x:c r="L3" s="15" t="str">
        <x:v>UP</x:v>
      </x:c>
      <x:c r="M3" s="15" t="str">
        <x:v>## Prior Context
After the April miss, Alphabet needed to prove that mobile monetization was improving and that lower cost-per-click could be offset by much faster click growth.
### Verified prior source
2016-04-21 | SEC / Alphabet | Alphabet Announces First Quarter 2016 Results | https://www.sec.gov/Archives/edgar/data/1652044/000165204416000015/googexhibit991q12016.htm
## Current Earnings Release
Q2 revenue increased **21% to $21.5 billion** and adjusted EPS reached **$8.42**, both comfortably above consensus. Google advertising revenue rose **19%**, aggregate paid clicks increased **29%**, and paid clicks on Google properties rose **37%**.
The quarter showed that mobile search and YouTube could generate enough incremental volume to offset lower pricing per click. Google’s non-advertising revenue—Cloud, Play and hardware—also grew strongly, providing early evidence of revenue diversification.
### Verified release source
2016-07-28 | Alphabet Investor Relations | Alphabet Announces Second Quarter 2016 Results | https://abc.xyz/investor/news/2016/0728/
## Possible Drivers
**First-order driver.** Shares rose because revenue and EPS beat expectations by a clear margin.
**Second-order driver.** Rapid paid-click growth showed mobile usage was more than offsetting lower ad pricing.
**Third-order driver.** Cloud, Play and hardware growth strengthened the non-search revenue story.
### Verified reaction source
2016-07-28 | TechCrunch | Alphabet’s huge Q2 shows its ads business may not be so challenged after all | https://techcrunch.com/2016/07/28/alphabets-business-keeps-chugging-with-a-big-second-quarter/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3" s="15" t="str">
        <x:v>2016-04-21 | SEC / Alphabet | Alphabet Announces First Quarter 2016 Results | https://www.sec.gov/Archives/edgar/data/1652044/000165204416000015/googexhibit991q12016.htm</x:v>
      </x:c>
      <x:c r="O3" s="15" t="str">
        <x:v>2016-07-28 | Alphabet Investor Relations | Alphabet Announces Second Quarter 2016 Results | https://abc.xyz/investor/news/2016/0728/</x:v>
      </x:c>
      <x:c r="P3" s="15" t="str">
        <x:v>2016-07-28 | TechCrunch | Alphabet’s huge Q2 shows its ads business may not be so challenged after all | https://techcrunch.com/2016/07/28/alphabets-business-keeps-chugging-with-a-big-second-quarter/</x:v>
      </x:c>
      <x:c r="Q3" s="15" t="str">
        <x:v>2016-04-21 | SEC / Alphabet | Alphabet Announces First Quarter 2016 Results | https://www.sec.gov/Archives/edgar/data/1652044/000165204416000015/googexhibit991q12016.htm
2016-07-28 | Alphabet Investor Relations | Alphabet Announces Second Quarter 2016 Results | https://abc.xyz/investor/news/2016/0728/
2016-07-28 | TechCrunch | Alphabet’s huge Q2 shows its ads business may not be so challenged after all | https://techcrunch.com/2016/07/28/alphabets-business-keeps-chugging-with-a-big-second-quarter/</x:v>
      </x:c>
      <x:c r="R3" s="15" t="n">
        <x:v>3</x:v>
      </x:c>
      <x:c r="S3" s="15" t="str">
        <x:v>PASS</x:v>
      </x:c>
    </x:row>
    <x:row r="4" ht="340" customHeight="1">
      <x:c r="A4" s="15" t="n">
        <x:v>2</x:v>
      </x:c>
      <x:c r="B4" s="15" t="str">
        <x:v>GOOGL</x:v>
      </x:c>
      <x:c r="C4" s="15" t="str">
        <x:v>Alphabet (Class A)</x:v>
      </x:c>
      <x:c r="D4" s="15" t="str">
        <x:v>2016q4</x:v>
      </x:c>
      <x:c r="E4" s="15" t="str">
        <x:v>2016-10-27</x:v>
      </x:c>
      <x:c r="F4" s="18" t="n">
        <x:v>-0.18</x:v>
      </x:c>
      <x:c r="G4" s="18" t="n">
        <x:v>0.53</x:v>
      </x:c>
      <x:c r="H4" s="18" t="n">
        <x:v>0.35</x:v>
      </x:c>
      <x:c r="I4" s="18" t="n">
        <x:v>-0.16</x:v>
      </x:c>
      <x:c r="J4" s="18" t="n">
        <x:v>-1.25</x:v>
      </x:c>
      <x:c r="K4" s="15" t="str">
        <x:v>ret_1daypost_pct</x:v>
      </x:c>
      <x:c r="L4" s="15" t="str">
        <x:v>UP</x:v>
      </x:c>
      <x:c r="M4" s="15" t="str">
        <x:v>## Prior Context
By Q3, investors had become more comfortable with declining mobile ad prices as long as click volume and overall revenue kept accelerating. The next question was whether newer Google businesses could add another layer of growth.
### Verified prior source
2016-07-28 | Alphabet Investor Relations | Alphabet Announces Second Quarter 2016 Results | https://abc.xyz/investor/news/2016/0728/
## Current Earnings Release
Alphabet posted **$22.45 billion of revenue**, up **20%**, and adjusted EPS of about **$9.06**, both above consensus. Mobile search and YouTube were the main advertising engines. Paid clicks remained very strong even as cost-per-click fell another roughly **11%** year over year.
Google “other revenues,” including Cloud, Play and hardware, also expanded quickly. The quarter confirmed that the core ad business could grow through volume while newer businesses began contributing more materially.
### Verified release source
2016-10-27 | SEC / Alphabet | Alphabet Announces Third Quarter 2016 Results | https://www.sec.gov/Archives/edgar/data/1652044/000165204416000035/googexhibit991q32016.htm
## Possible Drivers
**First-order driver.** The positive reaction reflected a clean revenue/EPS beat.
**Second-order driver.** Mobile search and YouTube volume continued to overcome lower cost-per-click.
**Third-order driver.** Faster growth in Cloud, Play and hardware broadened the earnings base.
### Verified reaction source
2016-10-27 | TechCrunch | Alphabet reports a strong third quarter despite free-falling advertising values | https://techcrunch.com/2016/10/27/wall-street-seems-totally-fine-with-alphabets-ad-strategy-after-it-reports-a-strong-third-quarter/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4" s="15" t="str">
        <x:v>2016-07-28 | Alphabet Investor Relations | Alphabet Announces Second Quarter 2016 Results | https://abc.xyz/investor/news/2016/0728/</x:v>
      </x:c>
      <x:c r="O4" s="15" t="str">
        <x:v>2016-10-27 | SEC / Alphabet | Alphabet Announces Third Quarter 2016 Results | https://www.sec.gov/Archives/edgar/data/1652044/000165204416000035/googexhibit991q32016.htm</x:v>
      </x:c>
      <x:c r="P4" s="15" t="str">
        <x:v>2016-10-27 | TechCrunch | Alphabet reports a strong third quarter despite free-falling advertising values | https://techcrunch.com/2016/10/27/wall-street-seems-totally-fine-with-alphabets-ad-strategy-after-it-reports-a-strong-third-quarter/</x:v>
      </x:c>
      <x:c r="Q4" s="15" t="str">
        <x:v>2016-07-28 | Alphabet Investor Relations | Alphabet Announces Second Quarter 2016 Results | https://abc.xyz/investor/news/2016/0728/
2016-10-27 | SEC / Alphabet | Alphabet Announces Third Quarter 2016 Results | https://www.sec.gov/Archives/edgar/data/1652044/000165204416000035/googexhibit991q32016.htm
2016-10-27 | TechCrunch | Alphabet reports a strong third quarter despite free-falling advertising values | https://techcrunch.com/2016/10/27/wall-street-seems-totally-fine-with-alphabets-ad-strategy-after-it-reports-a-strong-third-quarter/</x:v>
      </x:c>
      <x:c r="R4" s="15" t="n">
        <x:v>3</x:v>
      </x:c>
      <x:c r="S4" s="15" t="str">
        <x:v>PASS</x:v>
      </x:c>
    </x:row>
    <x:row r="5" ht="340" customHeight="1">
      <x:c r="A5" s="15" t="n">
        <x:v>3</x:v>
      </x:c>
      <x:c r="B5" s="15" t="str">
        <x:v>GOOGL</x:v>
      </x:c>
      <x:c r="C5" s="15" t="str">
        <x:v>Alphabet (Class A)</x:v>
      </x:c>
      <x:c r="D5" s="15" t="str">
        <x:v>2017q1</x:v>
      </x:c>
      <x:c r="E5" s="15" t="str">
        <x:v>2017-01-26</x:v>
      </x:c>
      <x:c r="F5" s="18" t="n">
        <x:v>-0.06</x:v>
      </x:c>
      <x:c r="G5" s="18" t="n">
        <x:v>-1.23</x:v>
      </x:c>
      <x:c r="H5" s="18" t="n">
        <x:v>-1.29</x:v>
      </x:c>
      <x:c r="I5" s="18" t="n">
        <x:v>-1.05</x:v>
      </x:c>
      <x:c r="J5" s="18" t="n">
        <x:v>-3.35</x:v>
      </x:c>
      <x:c r="K5" s="15" t="str">
        <x:v>ret_1daypost_pct</x:v>
      </x:c>
      <x:c r="L5" s="15" t="str">
        <x:v>DOWN</x:v>
      </x:c>
      <x:c r="M5" s="15" t="str">
        <x:v>## Prior Context
Alphabet entered Q4 after three strong quarters, but the stock had already rallied. Investors were also paying closer attention to traffic-acquisition costs and whether newer businesses could justify their investment burden.
### Verified prior source
2016-10-27 | SEC / Alphabet | Alphabet Announces Third Quarter 2016 Results | https://www.sec.gov/Archives/edgar/data/1652044/000165204416000035/googexhibit991q32016.htm
## Current Earnings Release
Q4 revenue increased **22% to $26.06 billion**, above consensus, while adjusted EPS of roughly **$9.36** missed expectations near $9.67. Google advertising remained strong, and Google “other revenues” rose **62% to $3.4 billion**, reflecting momentum in Cloud, Play and hardware.
The mixed result mattered because the market was beginning to focus less on gross revenue growth and more on the cost required to generate it. Alphabet still produced excellent top-line growth, but the EPS miss and pressure from traffic-acquisition and investment costs limited enthusiasm.
### Verified release source
2017-01-26 | SEC / Alphabet | Alphabet Announces Fourth Quarter and Fiscal Year 2016 Results | https://www.sec.gov/Archives/edgar/data/1652044/000165204417000005/googexhibit991q42016.htm
## Possible Drivers
**First-order driver.** Shares slipped because the EPS miss outweighed the revenue beat.
**Second-order driver.** Rising traffic and investment costs reduced the conversion of revenue growth into earnings.
**Third-order driver.** Cloud, Play and hardware growth remained a strong strategic positive.
### Verified reaction source
2017-01-26 | TechCrunch | Alphabet's bets beyond search are starting to pay off | https://techcrunch.com/2017/01/26/alphabets-bets-beyond-search-are-starting-to-look-better/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5" s="15" t="str">
        <x:v>2016-10-27 | SEC / Alphabet | Alphabet Announces Third Quarter 2016 Results | https://www.sec.gov/Archives/edgar/data/1652044/000165204416000035/googexhibit991q32016.htm</x:v>
      </x:c>
      <x:c r="O5" s="15" t="str">
        <x:v>2017-01-26 | SEC / Alphabet | Alphabet Announces Fourth Quarter and Fiscal Year 2016 Results | https://www.sec.gov/Archives/edgar/data/1652044/000165204417000005/googexhibit991q42016.htm</x:v>
      </x:c>
      <x:c r="P5" s="15" t="str">
        <x:v>2017-01-26 | TechCrunch | Alphabet's bets beyond search are starting to pay off | https://techcrunch.com/2017/01/26/alphabets-bets-beyond-search-are-starting-to-look-better/</x:v>
      </x:c>
      <x:c r="Q5" s="15" t="str">
        <x:v>2016-10-27 | SEC / Alphabet | Alphabet Announces Third Quarter 2016 Results | https://www.sec.gov/Archives/edgar/data/1652044/000165204416000035/googexhibit991q32016.htm
2017-01-26 | SEC / Alphabet | Alphabet Announces Fourth Quarter and Fiscal Year 2016 Results | https://www.sec.gov/Archives/edgar/data/1652044/000165204417000005/googexhibit991q42016.htm
2017-01-26 | TechCrunch | Alphabet's bets beyond search are starting to pay off | https://techcrunch.com/2017/01/26/alphabets-bets-beyond-search-are-starting-to-look-better/</x:v>
      </x:c>
      <x:c r="R5" s="15" t="n">
        <x:v>3</x:v>
      </x:c>
      <x:c r="S5" s="15" t="str">
        <x:v>PASS</x:v>
      </x:c>
    </x:row>
    <x:row r="6" ht="340" customHeight="1">
      <x:c r="A6" s="15" t="n">
        <x:v>4</x:v>
      </x:c>
      <x:c r="B6" s="15" t="str">
        <x:v>GOOGL</x:v>
      </x:c>
      <x:c r="C6" s="15" t="str">
        <x:v>Alphabet (Class A)</x:v>
      </x:c>
      <x:c r="D6" s="15" t="str">
        <x:v>2017q2</x:v>
      </x:c>
      <x:c r="E6" s="15" t="str">
        <x:v>2017-04-27</x:v>
      </x:c>
      <x:c r="F6" s="18" t="n">
        <x:v>0.26</x:v>
      </x:c>
      <x:c r="G6" s="18" t="n">
        <x:v>3.97</x:v>
      </x:c>
      <x:c r="H6" s="18" t="n">
        <x:v>4.25</x:v>
      </x:c>
      <x:c r="I6" s="18" t="n">
        <x:v>4.29</x:v>
      </x:c>
      <x:c r="J6" s="18" t="n">
        <x:v>5.47</x:v>
      </x:c>
      <x:c r="K6" s="15" t="str">
        <x:v>ret_1daypost_pct</x:v>
      </x:c>
      <x:c r="L6" s="15" t="str">
        <x:v>UP</x:v>
      </x:c>
      <x:c r="M6" s="15" t="str">
        <x:v>## Prior Context
After the January EPS miss, investors wanted stronger profit conversion. At the same time, a short-lived advertiser boycott of YouTube raised concern about brand safety and ad demand.
### Verified prior source
2017-01-26 | SEC / Alphabet | Alphabet Announces Fourth Quarter and Fiscal Year 2016 Results | https://www.sec.gov/Archives/edgar/data/1652044/000165204417000005/googexhibit991q42016.htm
## Current Earnings Release
Alphabet delivered **$24.75 billion of revenue**, up **22%**, and EPS of **$7.73**. Both beat consensus. Google operating income rose 22%, and operating margin expanded to about **27%**.
Mobile search and YouTube drove the core ad business, while newer areas such as Google Home, Pixel, Cloud and Play strengthened Google’s other-revenue growth. The quarter also suggested the YouTube advertiser controversy had not materially damaged demand.
### Verified release source
2017-04-27 | SEC / Alphabet | Alphabet Announces First Quarter 2017 Results | https://www.sec.gov/Archives/edgar/data/1652044/000165204417000011/googexhibit991q12017.htm
## Possible Drivers
**First-order driver.** Shares jumped because both revenue and EPS beat expectations.
**Second-order driver.** Margin expansion showed better profit conversion after the prior quarter’s EPS miss.
**Third-order driver.** Strong mobile, YouTube and hardware/cloud trends reduced concern about the advertiser boycott.
### Verified reaction source
2017-04-28 | The Motley Fool | What Happened in the Stock Market Today | https://www.fool.com/investing/2017/04/28/what-happened-in-the-stock-market-today.aspx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6" s="15" t="str">
        <x:v>2017-01-26 | SEC / Alphabet | Alphabet Announces Fourth Quarter and Fiscal Year 2016 Results | https://www.sec.gov/Archives/edgar/data/1652044/000165204417000005/googexhibit991q42016.htm</x:v>
      </x:c>
      <x:c r="O6" s="15" t="str">
        <x:v>2017-04-27 | SEC / Alphabet | Alphabet Announces First Quarter 2017 Results | https://www.sec.gov/Archives/edgar/data/1652044/000165204417000011/googexhibit991q12017.htm</x:v>
      </x:c>
      <x:c r="P6" s="15" t="str">
        <x:v>2017-04-28 | The Motley Fool | What Happened in the Stock Market Today | https://www.fool.com/investing/2017/04/28/what-happened-in-the-stock-market-today.aspx</x:v>
      </x:c>
      <x:c r="Q6" s="15" t="str">
        <x:v>2017-01-26 | SEC / Alphabet | Alphabet Announces Fourth Quarter and Fiscal Year 2016 Results | https://www.sec.gov/Archives/edgar/data/1652044/000165204417000005/googexhibit991q42016.htm
2017-04-27 | SEC / Alphabet | Alphabet Announces First Quarter 2017 Results | https://www.sec.gov/Archives/edgar/data/1652044/000165204417000011/googexhibit991q12017.htm
2017-04-28 | The Motley Fool | What Happened in the Stock Market Today | https://www.fool.com/investing/2017/04/28/what-happened-in-the-stock-market-today.aspx</x:v>
      </x:c>
      <x:c r="R6" s="15" t="n">
        <x:v>3</x:v>
      </x:c>
      <x:c r="S6" s="15" t="str">
        <x:v>PASS</x:v>
      </x:c>
    </x:row>
    <x:row r="7" ht="340" customHeight="1">
      <x:c r="A7" s="15" t="n">
        <x:v>5</x:v>
      </x:c>
      <x:c r="B7" s="15" t="str">
        <x:v>GOOGL</x:v>
      </x:c>
      <x:c r="C7" s="15" t="str">
        <x:v>Alphabet (Class A)</x:v>
      </x:c>
      <x:c r="D7" s="15" t="str">
        <x:v>2017q3</x:v>
      </x:c>
      <x:c r="E7" s="15" t="str">
        <x:v>2017-07-24</x:v>
      </x:c>
      <x:c r="F7" s="18" t="n">
        <x:v>0.46</x:v>
      </x:c>
      <x:c r="G7" s="18" t="n">
        <x:v>-3.28</x:v>
      </x:c>
      <x:c r="H7" s="18" t="n">
        <x:v>-2.83</x:v>
      </x:c>
      <x:c r="I7" s="18" t="n">
        <x:v>-2.58</x:v>
      </x:c>
      <x:c r="J7" s="18" t="n">
        <x:v>-4.03</x:v>
      </x:c>
      <x:c r="K7" s="15" t="str">
        <x:v>ret_1daypost_pct</x:v>
      </x:c>
      <x:c r="L7" s="15" t="str">
        <x:v>DOWN</x:v>
      </x:c>
      <x:c r="M7" s="15" t="str">
        <x:v>## Prior Context
Alphabet had rallied strongly into Q2, and expectations were high after the April beat. Investors were increasingly focused on traffic-acquisition costs as mobile and programmatic advertising became a larger share of growth.
### Verified prior source
2017-04-27 | SEC / Alphabet | Alphabet Announces First Quarter 2017 Results | https://www.sec.gov/Archives/edgar/data/1652044/000165204417000011/googexhibit991q12017.htm
## Current Earnings Release
Q2 revenue rose **21% to $26.01 billion**, above consensus. Excluding the **$2.7 billion European Commission fine**, adjusted earnings were also well ahead of expectations. The underlying Google business remained strong.
The problem was cost structure. Traffic-acquisition costs rose **28%** to about **$5.09 billion**, exceeding expectations and reaching roughly 22% of ad revenue. With the stock up more than 25% year to date, investors treated that margin pressure—and the EU fine—as enough to overshadow the operating beat.
### Verified release source
2017-07-24 | SEC / Alphabet | Alphabet Announces Second Quarter 2017 Results | https://www.sec.gov/Archives/edgar/data/1652044/000165204417000024/googexhibit991q22017.htm
## Possible Drivers
**First-order driver.** Shares fell because rising TAC and the EU antitrust fine overshadowed better-than-expected revenue and underlying earnings.
**Second-order driver.** Mobile and programmatic growth carried structurally higher partner-acquisition costs.
**Third-order driver.** A high valuation left little room for cost surprises.
### Verified reaction source
2017-07-24 | TheStreet | Alphabet Shares Fall as Earnings Take a Hit From Record-Breaking EU Fine | https://www.thestreet.com/investing/stocks/alphabet-stock-higher-following-q2-earnings-revenue-beat-14240346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7" s="15" t="str">
        <x:v>2017-04-27 | SEC / Alphabet | Alphabet Announces First Quarter 2017 Results | https://www.sec.gov/Archives/edgar/data/1652044/000165204417000011/googexhibit991q12017.htm</x:v>
      </x:c>
      <x:c r="O7" s="15" t="str">
        <x:v>2017-07-24 | SEC / Alphabet | Alphabet Announces Second Quarter 2017 Results | https://www.sec.gov/Archives/edgar/data/1652044/000165204417000024/googexhibit991q22017.htm</x:v>
      </x:c>
      <x:c r="P7" s="15" t="str">
        <x:v>2017-07-24 | TheStreet | Alphabet Shares Fall as Earnings Take a Hit From Record-Breaking EU Fine | https://www.thestreet.com/investing/stocks/alphabet-stock-higher-following-q2-earnings-revenue-beat-14240346</x:v>
      </x:c>
      <x:c r="Q7" s="15" t="str">
        <x:v>2017-04-27 | SEC / Alphabet | Alphabet Announces First Quarter 2017 Results | https://www.sec.gov/Archives/edgar/data/1652044/000165204417000011/googexhibit991q12017.htm
2017-07-24 | SEC / Alphabet | Alphabet Announces Second Quarter 2017 Results | https://www.sec.gov/Archives/edgar/data/1652044/000165204417000024/googexhibit991q22017.htm
2017-07-24 | TheStreet | Alphabet Shares Fall as Earnings Take a Hit From Record-Breaking EU Fine | https://www.thestreet.com/investing/stocks/alphabet-stock-higher-following-q2-earnings-revenue-beat-14240346</x:v>
      </x:c>
      <x:c r="R7" s="15" t="n">
        <x:v>3</x:v>
      </x:c>
      <x:c r="S7" s="15" t="str">
        <x:v>PASS</x:v>
      </x:c>
    </x:row>
    <x:row r="8" ht="340" customHeight="1">
      <x:c r="A8" s="15" t="n">
        <x:v>6</x:v>
      </x:c>
      <x:c r="B8" s="15" t="str">
        <x:v>GOOGL</x:v>
      </x:c>
      <x:c r="C8" s="15" t="str">
        <x:v>Alphabet (Class A)</x:v>
      </x:c>
      <x:c r="D8" s="15" t="str">
        <x:v>2017q4</x:v>
      </x:c>
      <x:c r="E8" s="15" t="str">
        <x:v>2017-10-26</x:v>
      </x:c>
      <x:c r="F8" s="18" t="n">
        <x:v>-0.15</x:v>
      </x:c>
      <x:c r="G8" s="18" t="n">
        <x:v>3.5</x:v>
      </x:c>
      <x:c r="H8" s="18" t="n">
        <x:v>3.34</x:v>
      </x:c>
      <x:c r="I8" s="18" t="n">
        <x:v>4.21</x:v>
      </x:c>
      <x:c r="J8" s="18" t="n">
        <x:v>4.29</x:v>
      </x:c>
      <x:c r="K8" s="15" t="str">
        <x:v>ret_1daypost_pct</x:v>
      </x:c>
      <x:c r="L8" s="15" t="str">
        <x:v>UP</x:v>
      </x:c>
      <x:c r="M8" s="15" t="str">
        <x:v>## Prior Context
Following the July selloff, the market wanted proof that higher TAC would not prevent Google from expanding profit. Cloud, hardware and YouTube also needed to remain strong enough to diversify the model.
### Verified prior source
2017-07-24 | SEC / Alphabet | Alphabet Announces Second Quarter 2017 Results | https://www.sec.gov/Archives/edgar/data/1652044/000165204417000024/googexhibit991q22017.htm
## Current Earnings Release
Q3 revenue rose **24% to $27.77 billion**, while EPS reached **$9.57**. Both were well above consensus. Google advertising revenue increased more than 21%, and Google other revenue—Cloud, Play and hardware—grew about **40%**.
Operating income increased strongly and consolidated operating margin improved to **28%**. The quarter therefore directly answered the July concern: higher traffic costs were real, but they were not preventing Alphabet from producing faster profit growth.
### Verified release source
2017-10-26 | SEC / Alphabet | Alphabet Announces Third Quarter 2017 Results | https://www.sec.gov/Archives/edgar/data/1652044/000165204417000039/googexhibit991q32017.htm
## Possible Drivers
**First-order driver.** The stock rose on a broad revenue and earnings beat.
**Second-order driver.** Strong operating income showed that higher TAC was not overwhelming profitability.
**Third-order driver.** Cloud, Play and hardware growth improved diversification beyond search advertising.
### Verified reaction source
2017-10-27 | The Motley Fool | Why Alphabet, Inc. Stock Popped Today | https://www.fool.com/investing/2017/10/27/why-alphabet-inc-stock-popped-today.aspx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8" s="15" t="str">
        <x:v>2017-07-24 | SEC / Alphabet | Alphabet Announces Second Quarter 2017 Results | https://www.sec.gov/Archives/edgar/data/1652044/000165204417000024/googexhibit991q22017.htm</x:v>
      </x:c>
      <x:c r="O8" s="15" t="str">
        <x:v>2017-10-26 | SEC / Alphabet | Alphabet Announces Third Quarter 2017 Results | https://www.sec.gov/Archives/edgar/data/1652044/000165204417000039/googexhibit991q32017.htm</x:v>
      </x:c>
      <x:c r="P8" s="15" t="str">
        <x:v>2017-10-27 | The Motley Fool | Why Alphabet, Inc. Stock Popped Today | https://www.fool.com/investing/2017/10/27/why-alphabet-inc-stock-popped-today.aspx</x:v>
      </x:c>
      <x:c r="Q8" s="15" t="str">
        <x:v>2017-07-24 | SEC / Alphabet | Alphabet Announces Second Quarter 2017 Results | https://www.sec.gov/Archives/edgar/data/1652044/000165204417000024/googexhibit991q22017.htm
2017-10-26 | SEC / Alphabet | Alphabet Announces Third Quarter 2017 Results | https://www.sec.gov/Archives/edgar/data/1652044/000165204417000039/googexhibit991q32017.htm
2017-10-27 | The Motley Fool | Why Alphabet, Inc. Stock Popped Today | https://www.fool.com/investing/2017/10/27/why-alphabet-inc-stock-popped-today.aspx</x:v>
      </x:c>
      <x:c r="R8" s="15" t="n">
        <x:v>3</x:v>
      </x:c>
      <x:c r="S8" s="15" t="str">
        <x:v>PASS</x:v>
      </x:c>
    </x:row>
    <x:row r="9" ht="340" customHeight="1">
      <x:c r="A9" s="15" t="n">
        <x:v>7</x:v>
      </x:c>
      <x:c r="B9" s="15" t="str">
        <x:v>GOOGL</x:v>
      </x:c>
      <x:c r="C9" s="15" t="str">
        <x:v>Alphabet (Class A)</x:v>
      </x:c>
      <x:c r="D9" s="15" t="str">
        <x:v>2018q1</x:v>
      </x:c>
      <x:c r="E9" s="15" t="str">
        <x:v>2018-02-01</x:v>
      </x:c>
      <x:c r="F9" s="18" t="n">
        <x:v>-0.03</x:v>
      </x:c>
      <x:c r="G9" s="18" t="n">
        <x:v>-3.19</x:v>
      </x:c>
      <x:c r="H9" s="18" t="n">
        <x:v>-3.22</x:v>
      </x:c>
      <x:c r="I9" s="18" t="n">
        <x:v>-2.84</x:v>
      </x:c>
      <x:c r="J9" s="18" t="n">
        <x:v>-3.55</x:v>
      </x:c>
      <x:c r="K9" s="15" t="str">
        <x:v>ret_1daypost_pct</x:v>
      </x:c>
      <x:c r="L9" s="15" t="str">
        <x:v>DOWN</x:v>
      </x:c>
      <x:c r="M9" s="15" t="str">
        <x:v>## Prior Context
Alphabet entered Q4 after a strong run and a very good Q3. The market had become increasingly sensitive to traffic-acquisition costs and the amount of investment required to support mobile, YouTube and newer businesses.
### Verified prior source
2017-10-26 | SEC / Alphabet | Alphabet Announces Third Quarter 2017 Results | https://www.sec.gov/Archives/edgar/data/1652044/000165204417000039/googexhibit991q32017.htm
## Current Earnings Release
Q4 revenue increased **24% to $32.32 billion**, above consensus, while adjusted EPS of **$9.70** missed expectations near $9.98. The reported GAAP loss was driven by the one-time U.S. tax-reform charge and was not an operating signal.
The more important issue was cost growth. Traffic-acquisition costs remained elevated, and expenses were rising faster as Alphabet invested in data centers, content, Cloud and hardware. The quarter therefore combined excellent revenue growth with weaker-than-expected earnings conversion.
### Verified release source
2018-02-01 | Alphabet Investor Relations | Alphabet Announces Fourth Quarter and Fiscal Year 2017 Results | https://abc.xyz/investor/news/2018/0201/
## Possible Drivers
**First-order driver.** Shares fell because the EPS miss and rising costs overshadowed the revenue beat.
**Second-order driver.** TAC remained a structural margin pressure as growth shifted toward mobile and programmatic.
**Third-order driver.** Heavy investment in Cloud, YouTube and hardware increased the near-term cost base.
### Verified reaction source
2018-02-02 | The Motley Fool | Why Alphabet Inc. Stock Fell Today | https://www.fool.com/investing/2018/02/02/why-alphabet-inc-stock-fell-today.aspx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9" s="15" t="str">
        <x:v>2017-10-26 | SEC / Alphabet | Alphabet Announces Third Quarter 2017 Results | https://www.sec.gov/Archives/edgar/data/1652044/000165204417000039/googexhibit991q32017.htm</x:v>
      </x:c>
      <x:c r="O9" s="15" t="str">
        <x:v>2018-02-01 | Alphabet Investor Relations | Alphabet Announces Fourth Quarter and Fiscal Year 2017 Results | https://abc.xyz/investor/news/2018/0201/</x:v>
      </x:c>
      <x:c r="P9" s="15" t="str">
        <x:v>2018-02-02 | The Motley Fool | Why Alphabet Inc. Stock Fell Today | https://www.fool.com/investing/2018/02/02/why-alphabet-inc-stock-fell-today.aspx</x:v>
      </x:c>
      <x:c r="Q9" s="15" t="str">
        <x:v>2017-10-26 | SEC / Alphabet | Alphabet Announces Third Quarter 2017 Results | https://www.sec.gov/Archives/edgar/data/1652044/000165204417000039/googexhibit991q32017.htm
2018-02-01 | Alphabet Investor Relations | Alphabet Announces Fourth Quarter and Fiscal Year 2017 Results | https://abc.xyz/investor/news/2018/0201/
2018-02-02 | The Motley Fool | Why Alphabet Inc. Stock Fell Today | https://www.fool.com/investing/2018/02/02/why-alphabet-inc-stock-fell-today.aspx</x:v>
      </x:c>
      <x:c r="R9" s="15" t="n">
        <x:v>3</x:v>
      </x:c>
      <x:c r="S9" s="15" t="str">
        <x:v>PASS</x:v>
      </x:c>
    </x:row>
    <x:row r="10" ht="340" customHeight="1">
      <x:c r="A10" s="15" t="n">
        <x:v>8</x:v>
      </x:c>
      <x:c r="B10" s="15" t="str">
        <x:v>GOOGL</x:v>
      </x:c>
      <x:c r="C10" s="15" t="str">
        <x:v>Alphabet (Class A)</x:v>
      </x:c>
      <x:c r="D10" s="15" t="str">
        <x:v>2018q2</x:v>
      </x:c>
      <x:c r="E10" s="15" t="str">
        <x:v>2018-04-23</x:v>
      </x:c>
      <x:c r="F10" s="18" t="n">
        <x:v>-0.28</x:v>
      </x:c>
      <x:c r="G10" s="18" t="n">
        <x:v>-3.63</x:v>
      </x:c>
      <x:c r="H10" s="18" t="n">
        <x:v>-3.9</x:v>
      </x:c>
      <x:c r="I10" s="18" t="n">
        <x:v>-4.25</x:v>
      </x:c>
      <x:c r="J10" s="18" t="n">
        <x:v>-3.25</x:v>
      </x:c>
      <x:c r="K10" s="15" t="str">
        <x:v>ret_1daypost_pct</x:v>
      </x:c>
      <x:c r="L10" s="15" t="str">
        <x:v>DOWN</x:v>
      </x:c>
      <x:c r="M10" s="15" t="str">
        <x:v>## Prior Context
By April, investors were already concerned about rising traffic costs and spending. Privacy scrutiny across the technology sector added another uncertainty, even though Google’s ad demand remained strong.
### Verified prior source
2018-02-01 | Alphabet Investor Relations | Alphabet Announces Fourth Quarter and Fiscal Year 2017 Results | https://abc.xyz/investor/news/2018/0201/
## Current Earnings Release
Q1 revenue surged **26% to $31.15 billion**, beating consensus, and underlying EPS also exceeded expectations. Google Sites revenue rose 26%, led by mobile search and YouTube, while Google other revenue grew **36%** on Cloud, Play and hardware.
But costs accelerated even faster. Total costs and expenses rose **33%**, traffic-acquisition costs increased roughly **36%**, and capital spending jumped to about **$7.3 billion**, partly because of the Chelsea Market purchase but also because Alphabet was expanding data centers and compute infrastructure. Operating margin fell to **22% from 27%** a year earlier. The report therefore delivered excellent growth but much weaker incremental margins.
### Verified release source
2018-04-23 | SEC / Alphabet | Alphabet Announces First Quarter 2018 Results | https://www.sec.gov/Archives/edgar/data/1652044/000165204418000011/googexhibit991q12018.htm
## Possible Drivers
**First-order driver.** The stock fell because the spending surge and margin compression outweighed the revenue/earnings beat.
**Second-order driver.** Higher TAC made mobile and programmatic growth more expensive to monetize.
**Third-order driver.** Cloud, AI and infrastructure investments raised long-run opportunity but reduced near-term free-cash-flow leverage.
### Verified reaction source
2018-04-24 | CBS San Francisco / CNN Money | Google's Spending Spree Rattles Wall Street | https://www.cbsnews.com/sanfrancisco/news/googles-spending-spree-rattles-wall-street/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10" s="15" t="str">
        <x:v>2018-02-01 | Alphabet Investor Relations | Alphabet Announces Fourth Quarter and Fiscal Year 2017 Results | https://abc.xyz/investor/news/2018/0201/</x:v>
      </x:c>
      <x:c r="O10" s="15" t="str">
        <x:v>2018-04-23 | SEC / Alphabet | Alphabet Announces First Quarter 2018 Results | https://www.sec.gov/Archives/edgar/data/1652044/000165204418000011/googexhibit991q12018.htm</x:v>
      </x:c>
      <x:c r="P10" s="15" t="str">
        <x:v>2018-04-24 | CBS San Francisco / CNN Money | Google's Spending Spree Rattles Wall Street | https://www.cbsnews.com/sanfrancisco/news/googles-spending-spree-rattles-wall-street/</x:v>
      </x:c>
      <x:c r="Q10" s="15" t="str">
        <x:v>2018-02-01 | Alphabet Investor Relations | Alphabet Announces Fourth Quarter and Fiscal Year 2017 Results | https://abc.xyz/investor/news/2018/0201/
2018-04-23 | SEC / Alphabet | Alphabet Announces First Quarter 2018 Results | https://www.sec.gov/Archives/edgar/data/1652044/000165204418000011/googexhibit991q12018.htm
2018-04-24 | CBS San Francisco / CNN Money | Google's Spending Spree Rattles Wall Street | https://www.cbsnews.com/sanfrancisco/news/googles-spending-spree-rattles-wall-street/</x:v>
      </x:c>
      <x:c r="R10" s="15" t="n">
        <x:v>3</x:v>
      </x:c>
      <x:c r="S10" s="15" t="str">
        <x:v>PASS</x:v>
      </x:c>
    </x:row>
    <x:row r="11" ht="340" customHeight="1">
      <x:c r="A11" s="15" t="n">
        <x:v>9</x:v>
      </x:c>
      <x:c r="B11" s="15" t="str">
        <x:v>GOOGL</x:v>
      </x:c>
      <x:c r="C11" s="15" t="str">
        <x:v>Alphabet (Class A)</x:v>
      </x:c>
      <x:c r="D11" s="15" t="str">
        <x:v>2018q3</x:v>
      </x:c>
      <x:c r="E11" s="15" t="str">
        <x:v>2018-07-23</x:v>
      </x:c>
      <x:c r="F11" s="18" t="n">
        <x:v>0.99</x:v>
      </x:c>
      <x:c r="G11" s="18" t="n">
        <x:v>3.7</x:v>
      </x:c>
      <x:c r="H11" s="18" t="n">
        <x:v>4.73</x:v>
      </x:c>
      <x:c r="I11" s="18" t="n">
        <x:v>4.73</x:v>
      </x:c>
      <x:c r="J11" s="18" t="n">
        <x:v>6.29</x:v>
      </x:c>
      <x:c r="K11" s="15" t="str">
        <x:v>ret_1daypost_pct</x:v>
      </x:c>
      <x:c r="L11" s="15" t="str">
        <x:v>UP</x:v>
      </x:c>
      <x:c r="M11" s="15" t="str">
        <x:v>## Prior Context
After the April cost-driven selloff, investors needed evidence that Alphabet could keep accelerating revenue while controlling the margin consequences of its infrastructure build.
### Verified prior source
2018-04-23 | SEC / Alphabet | Alphabet Announces First Quarter 2018 Results | https://www.sec.gov/Archives/edgar/data/1652044/000165204418000011/googexhibit991q12018.htm
## Current Earnings Release
Q2 revenue increased **26% to $32.66 billion**, above consensus. Excluding the new **$5.1 billion Android antitrust fine**, adjusted EPS was roughly **$11.75**, comfortably ahead of expectations. Google Sites revenue rose strongly on mobile search and YouTube, while Google other revenue increased **37%** on Cloud, Play and hardware.
Traffic-acquisition costs were still elevated, but TAC as a share of ad revenue improved slightly from the prior quarter. The combination of accelerating revenue growth and better-than-feared cost dynamics restored confidence after April.
### Verified release source
2018-07-23 | SEC / Alphabet | Alphabet Announces Second Quarter 2018 Results | https://www.sec.gov/Archives/edgar/data/1652044/000165204418000025/goog8-kq22018.htm
## Possible Drivers
**First-order driver.** Shares rose because revenue and underlying EPS beat expectations despite the large EU fine.
**Second-order driver.** Search, YouTube and Cloud all contributed to stronger growth.
**Third-order driver.** Slightly better TAC dynamics reduced concern that growth was becoming progressively less profitable.
### Verified reaction source
2018-07-24 | The Motley Fool | Q2 Earnings: How Alphabet Crushed It | https://www.fool.com/investing/2018/07/24/q2-earnings-how-alphabet-crushed-it.aspx
## Verification Status
Included sources were checked for Alphabet/GOOGL identity, the correct earnings event, publication date, timing window and source origin. SEC/Alphabet Investor Relations is the factual anchor. No WSJ, Reuters, Dow Jones or MarketWatch-syndicated article is included.
</x:v>
      </x:c>
      <x:c r="N11" s="15" t="str">
        <x:v>2018-04-23 | SEC / Alphabet | Alphabet Announces First Quarter 2018 Results | https://www.sec.gov/Archives/edgar/data/1652044/000165204418000011/googexhibit991q12018.htm</x:v>
      </x:c>
      <x:c r="O11" s="15" t="str">
        <x:v>2018-07-23 | SEC / Alphabet | Alphabet Announces Second Quarter 2018 Results | https://www.sec.gov/Archives/edgar/data/1652044/000165204418000025/goog8-kq22018.htm</x:v>
      </x:c>
      <x:c r="P11" s="15" t="str">
        <x:v>2018-07-24 | The Motley Fool | Q2 Earnings: How Alphabet Crushed It | https://www.fool.com/investing/2018/07/24/q2-earnings-how-alphabet-crushed-it.aspx</x:v>
      </x:c>
      <x:c r="Q11" s="15" t="str">
        <x:v>2018-04-23 | SEC / Alphabet | Alphabet Announces First Quarter 2018 Results | https://www.sec.gov/Archives/edgar/data/1652044/000165204418000011/googexhibit991q12018.htm
2018-07-23 | SEC / Alphabet | Alphabet Announces Second Quarter 2018 Results | https://www.sec.gov/Archives/edgar/data/1652044/000165204418000025/goog8-kq22018.htm
2018-07-24 | The Motley Fool | Q2 Earnings: How Alphabet Crushed It | https://www.fool.com/investing/2018/07/24/q2-earnings-how-alphabet-crushed-it.aspx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0" hidden="0" customWidth="1"/>
    <x:col min="8" max="8" width="90"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2"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2016-04-21</x:v>
      </x:c>
      <x:c r="B2" s="12" t="str">
        <x:v>GOOGL</x:v>
      </x:c>
      <x:c r="C2" s="12" t="str">
        <x:v>prior</x:v>
      </x:c>
      <x:c r="D2" s="12" t="str">
        <x:v>2016-01-28</x:v>
      </x:c>
      <x:c r="E2" s="12" t="n">
        <x:v>-84</x:v>
      </x:c>
      <x:c r="F2" s="12" t="str">
        <x:v>Alphabet Investor Relations</x:v>
      </x:c>
      <x:c r="G2" s="12" t="str">
        <x:v>Getting ready for segment reporting</x:v>
      </x:c>
      <x:c r="H2" s="12" t="str">
        <x:v>https://abc.xyz/investor/news/2016/0128/</x:v>
      </x:c>
      <x:c r="I2" s="12" t="str">
        <x:v>VERIFIED</x:v>
      </x:c>
      <x:c r="J2" s="12" t="str">
        <x:v>PASS</x:v>
      </x:c>
      <x:c r="K2" s="12" t="str">
        <x:v>PASS</x:v>
      </x:c>
      <x:c r="L2" s="12" t="str">
        <x:v>PASS</x:v>
      </x:c>
      <x:c r="M2" s="12" t="str">
        <x:v>NO</x:v>
      </x:c>
      <x:c r="N2" s="12" t="str">
        <x:v>PASS</x:v>
      </x:c>
      <x:c r="O2" s="12" t="str">
        <x:v>FACTUAL</x:v>
      </x:c>
      <x:c r="P2" s="12" t="str">
        <x:v>PASS</x:v>
      </x:c>
      <x:c r="Q2" s="12" t="str">
        <x:v>Checked against Alphabet/GOOGL, exact event date, timing window and source-origin restrictions.</x:v>
      </x:c>
    </x:row>
    <x:row r="3">
      <x:c r="A3" s="12" t="str">
        <x:v>2016-04-21</x:v>
      </x:c>
      <x:c r="B3" s="12" t="str">
        <x:v>GOOGL</x:v>
      </x:c>
      <x:c r="C3" s="12" t="str">
        <x:v>release</x:v>
      </x:c>
      <x:c r="D3" s="12" t="str">
        <x:v>2016-04-21</x:v>
      </x:c>
      <x:c r="E3" s="12" t="n">
        <x:v>0</x:v>
      </x:c>
      <x:c r="F3" s="12" t="str">
        <x:v>SEC / Alphabet</x:v>
      </x:c>
      <x:c r="G3" s="12" t="str">
        <x:v>Alphabet Announces First Quarter 2016 Results</x:v>
      </x:c>
      <x:c r="H3" s="12" t="str">
        <x:v>https://www.sec.gov/Archives/edgar/data/1652044/000165204416000015/googexhibit991q12016.htm</x:v>
      </x:c>
      <x:c r="I3" s="12" t="str">
        <x:v>VERIFIED</x:v>
      </x:c>
      <x:c r="J3" s="12" t="str">
        <x:v>PASS</x:v>
      </x:c>
      <x:c r="K3" s="12" t="str">
        <x:v>PASS</x:v>
      </x:c>
      <x:c r="L3" s="12" t="str">
        <x:v>PASS</x:v>
      </x:c>
      <x:c r="M3" s="12" t="str">
        <x:v>NO</x:v>
      </x:c>
      <x:c r="N3" s="12" t="str">
        <x:v>PASS</x:v>
      </x:c>
      <x:c r="O3" s="12" t="str">
        <x:v>FACTUAL</x:v>
      </x:c>
      <x:c r="P3" s="12" t="str">
        <x:v>PASS</x:v>
      </x:c>
      <x:c r="Q3" s="12" t="str">
        <x:v>Checked against Alphabet/GOOGL, exact event date, timing window and source-origin restrictions.</x:v>
      </x:c>
    </x:row>
    <x:row r="4">
      <x:c r="A4" s="12" t="str">
        <x:v>2016-04-21</x:v>
      </x:c>
      <x:c r="B4" s="12" t="str">
        <x:v>GOOGL</x:v>
      </x:c>
      <x:c r="C4" s="12" t="str">
        <x:v>reaction</x:v>
      </x:c>
      <x:c r="D4" s="12" t="str">
        <x:v>2016-04-21</x:v>
      </x:c>
      <x:c r="E4" s="12" t="n">
        <x:v>0</x:v>
      </x:c>
      <x:c r="F4" s="12" t="str">
        <x:v>TechCrunch</x:v>
      </x:c>
      <x:c r="G4" s="12" t="str">
        <x:v>Alphabet slides 5% after missing earnings expectations on revenue of $20.3B</x:v>
      </x:c>
      <x:c r="H4" s="12" t="str">
        <x:v>https://techcrunch.com/2016/04/21/alphabet-slides-6-after-missing-earnings-expectations/</x:v>
      </x:c>
      <x:c r="I4" s="12" t="str">
        <x:v>VERIFIED</x:v>
      </x:c>
      <x:c r="J4" s="12" t="str">
        <x:v>PASS</x:v>
      </x:c>
      <x:c r="K4" s="12" t="str">
        <x:v>PASS</x:v>
      </x:c>
      <x:c r="L4" s="12" t="str">
        <x:v>PASS</x:v>
      </x:c>
      <x:c r="M4" s="12" t="str">
        <x:v>NO</x:v>
      </x:c>
      <x:c r="N4" s="12" t="str">
        <x:v>PASS</x:v>
      </x:c>
      <x:c r="O4" s="12" t="str">
        <x:v>CONTEMPORANEOUS_ATTRIBUTION</x:v>
      </x:c>
      <x:c r="P4" s="12" t="str">
        <x:v>PASS</x:v>
      </x:c>
      <x:c r="Q4" s="12" t="str">
        <x:v>Checked against Alphabet/GOOGL, exact event date, timing window and source-origin restrictions.</x:v>
      </x:c>
    </x:row>
    <x:row r="5">
      <x:c r="A5" s="12" t="str">
        <x:v>2016-07-28</x:v>
      </x:c>
      <x:c r="B5" s="12" t="str">
        <x:v>GOOGL</x:v>
      </x:c>
      <x:c r="C5" s="12" t="str">
        <x:v>prior</x:v>
      </x:c>
      <x:c r="D5" s="12" t="str">
        <x:v>2016-04-21</x:v>
      </x:c>
      <x:c r="E5" s="12" t="n">
        <x:v>-98</x:v>
      </x:c>
      <x:c r="F5" s="12" t="str">
        <x:v>SEC / Alphabet</x:v>
      </x:c>
      <x:c r="G5" s="12" t="str">
        <x:v>Alphabet Announces First Quarter 2016 Results</x:v>
      </x:c>
      <x:c r="H5" s="12" t="str">
        <x:v>https://www.sec.gov/Archives/edgar/data/1652044/000165204416000015/googexhibit991q12016.htm</x:v>
      </x:c>
      <x:c r="I5" s="12" t="str">
        <x:v>VERIFIED</x:v>
      </x:c>
      <x:c r="J5" s="12" t="str">
        <x:v>PASS</x:v>
      </x:c>
      <x:c r="K5" s="12" t="str">
        <x:v>PASS</x:v>
      </x:c>
      <x:c r="L5" s="12" t="str">
        <x:v>PASS</x:v>
      </x:c>
      <x:c r="M5" s="12" t="str">
        <x:v>NO</x:v>
      </x:c>
      <x:c r="N5" s="12" t="str">
        <x:v>PASS</x:v>
      </x:c>
      <x:c r="O5" s="12" t="str">
        <x:v>FACTUAL</x:v>
      </x:c>
      <x:c r="P5" s="12" t="str">
        <x:v>PASS</x:v>
      </x:c>
      <x:c r="Q5" s="12" t="str">
        <x:v>Checked against Alphabet/GOOGL, exact event date, timing window and source-origin restrictions.</x:v>
      </x:c>
    </x:row>
    <x:row r="6">
      <x:c r="A6" s="12" t="str">
        <x:v>2016-07-28</x:v>
      </x:c>
      <x:c r="B6" s="12" t="str">
        <x:v>GOOGL</x:v>
      </x:c>
      <x:c r="C6" s="12" t="str">
        <x:v>release</x:v>
      </x:c>
      <x:c r="D6" s="12" t="str">
        <x:v>2016-07-28</x:v>
      </x:c>
      <x:c r="E6" s="12" t="n">
        <x:v>0</x:v>
      </x:c>
      <x:c r="F6" s="12" t="str">
        <x:v>Alphabet Investor Relations</x:v>
      </x:c>
      <x:c r="G6" s="12" t="str">
        <x:v>Alphabet Announces Second Quarter 2016 Results</x:v>
      </x:c>
      <x:c r="H6" s="12" t="str">
        <x:v>https://abc.xyz/investor/news/2016/0728/</x:v>
      </x:c>
      <x:c r="I6" s="12" t="str">
        <x:v>VERIFIED</x:v>
      </x:c>
      <x:c r="J6" s="12" t="str">
        <x:v>PASS</x:v>
      </x:c>
      <x:c r="K6" s="12" t="str">
        <x:v>PASS</x:v>
      </x:c>
      <x:c r="L6" s="12" t="str">
        <x:v>PASS</x:v>
      </x:c>
      <x:c r="M6" s="12" t="str">
        <x:v>NO</x:v>
      </x:c>
      <x:c r="N6" s="12" t="str">
        <x:v>PASS</x:v>
      </x:c>
      <x:c r="O6" s="12" t="str">
        <x:v>FACTUAL</x:v>
      </x:c>
      <x:c r="P6" s="12" t="str">
        <x:v>PASS</x:v>
      </x:c>
      <x:c r="Q6" s="12" t="str">
        <x:v>Checked against Alphabet/GOOGL, exact event date, timing window and source-origin restrictions.</x:v>
      </x:c>
    </x:row>
    <x:row r="7">
      <x:c r="A7" s="12" t="str">
        <x:v>2016-07-28</x:v>
      </x:c>
      <x:c r="B7" s="12" t="str">
        <x:v>GOOGL</x:v>
      </x:c>
      <x:c r="C7" s="12" t="str">
        <x:v>reaction</x:v>
      </x:c>
      <x:c r="D7" s="12" t="str">
        <x:v>2016-07-28</x:v>
      </x:c>
      <x:c r="E7" s="12" t="n">
        <x:v>0</x:v>
      </x:c>
      <x:c r="F7" s="12" t="str">
        <x:v>TechCrunch</x:v>
      </x:c>
      <x:c r="G7" s="12" t="str">
        <x:v>Alphabet’s huge Q2 shows its ads business may not be so challenged after all</x:v>
      </x:c>
      <x:c r="H7" s="12" t="str">
        <x:v>https://techcrunch.com/2016/07/28/alphabets-business-keeps-chugging-with-a-big-second-quarter/</x:v>
      </x:c>
      <x:c r="I7" s="12" t="str">
        <x:v>VERIFIED</x:v>
      </x:c>
      <x:c r="J7" s="12" t="str">
        <x:v>PASS</x:v>
      </x:c>
      <x:c r="K7" s="12" t="str">
        <x:v>PASS</x:v>
      </x:c>
      <x:c r="L7" s="12" t="str">
        <x:v>PASS</x:v>
      </x:c>
      <x:c r="M7" s="12" t="str">
        <x:v>NO</x:v>
      </x:c>
      <x:c r="N7" s="12" t="str">
        <x:v>PASS</x:v>
      </x:c>
      <x:c r="O7" s="12" t="str">
        <x:v>CONTEMPORANEOUS_ATTRIBUTION</x:v>
      </x:c>
      <x:c r="P7" s="12" t="str">
        <x:v>PASS</x:v>
      </x:c>
      <x:c r="Q7" s="12" t="str">
        <x:v>Checked against Alphabet/GOOGL, exact event date, timing window and source-origin restrictions.</x:v>
      </x:c>
    </x:row>
    <x:row r="8">
      <x:c r="A8" s="12" t="str">
        <x:v>2016-10-27</x:v>
      </x:c>
      <x:c r="B8" s="12" t="str">
        <x:v>GOOGL</x:v>
      </x:c>
      <x:c r="C8" s="12" t="str">
        <x:v>prior</x:v>
      </x:c>
      <x:c r="D8" s="12" t="str">
        <x:v>2016-07-28</x:v>
      </x:c>
      <x:c r="E8" s="12" t="n">
        <x:v>-91</x:v>
      </x:c>
      <x:c r="F8" s="12" t="str">
        <x:v>Alphabet Investor Relations</x:v>
      </x:c>
      <x:c r="G8" s="12" t="str">
        <x:v>Alphabet Announces Second Quarter 2016 Results</x:v>
      </x:c>
      <x:c r="H8" s="12" t="str">
        <x:v>https://abc.xyz/investor/news/2016/0728/</x:v>
      </x:c>
      <x:c r="I8" s="12" t="str">
        <x:v>VERIFIED</x:v>
      </x:c>
      <x:c r="J8" s="12" t="str">
        <x:v>PASS</x:v>
      </x:c>
      <x:c r="K8" s="12" t="str">
        <x:v>PASS</x:v>
      </x:c>
      <x:c r="L8" s="12" t="str">
        <x:v>PASS</x:v>
      </x:c>
      <x:c r="M8" s="12" t="str">
        <x:v>NO</x:v>
      </x:c>
      <x:c r="N8" s="12" t="str">
        <x:v>PASS</x:v>
      </x:c>
      <x:c r="O8" s="12" t="str">
        <x:v>FACTUAL</x:v>
      </x:c>
      <x:c r="P8" s="12" t="str">
        <x:v>PASS</x:v>
      </x:c>
      <x:c r="Q8" s="12" t="str">
        <x:v>Checked against Alphabet/GOOGL, exact event date, timing window and source-origin restrictions.</x:v>
      </x:c>
    </x:row>
    <x:row r="9">
      <x:c r="A9" s="12" t="str">
        <x:v>2016-10-27</x:v>
      </x:c>
      <x:c r="B9" s="12" t="str">
        <x:v>GOOGL</x:v>
      </x:c>
      <x:c r="C9" s="12" t="str">
        <x:v>release</x:v>
      </x:c>
      <x:c r="D9" s="12" t="str">
        <x:v>2016-10-27</x:v>
      </x:c>
      <x:c r="E9" s="12" t="n">
        <x:v>0</x:v>
      </x:c>
      <x:c r="F9" s="12" t="str">
        <x:v>SEC / Alphabet</x:v>
      </x:c>
      <x:c r="G9" s="12" t="str">
        <x:v>Alphabet Announces Third Quarter 2016 Results</x:v>
      </x:c>
      <x:c r="H9" s="12" t="str">
        <x:v>https://www.sec.gov/Archives/edgar/data/1652044/000165204416000035/googexhibit991q32016.htm</x:v>
      </x:c>
      <x:c r="I9" s="12" t="str">
        <x:v>VERIFIED</x:v>
      </x:c>
      <x:c r="J9" s="12" t="str">
        <x:v>PASS</x:v>
      </x:c>
      <x:c r="K9" s="12" t="str">
        <x:v>PASS</x:v>
      </x:c>
      <x:c r="L9" s="12" t="str">
        <x:v>PASS</x:v>
      </x:c>
      <x:c r="M9" s="12" t="str">
        <x:v>NO</x:v>
      </x:c>
      <x:c r="N9" s="12" t="str">
        <x:v>PASS</x:v>
      </x:c>
      <x:c r="O9" s="12" t="str">
        <x:v>FACTUAL</x:v>
      </x:c>
      <x:c r="P9" s="12" t="str">
        <x:v>PASS</x:v>
      </x:c>
      <x:c r="Q9" s="12" t="str">
        <x:v>Checked against Alphabet/GOOGL, exact event date, timing window and source-origin restrictions.</x:v>
      </x:c>
    </x:row>
    <x:row r="10">
      <x:c r="A10" s="12" t="str">
        <x:v>2016-10-27</x:v>
      </x:c>
      <x:c r="B10" s="12" t="str">
        <x:v>GOOGL</x:v>
      </x:c>
      <x:c r="C10" s="12" t="str">
        <x:v>reaction</x:v>
      </x:c>
      <x:c r="D10" s="12" t="str">
        <x:v>2016-10-27</x:v>
      </x:c>
      <x:c r="E10" s="12" t="n">
        <x:v>0</x:v>
      </x:c>
      <x:c r="F10" s="12" t="str">
        <x:v>TechCrunch</x:v>
      </x:c>
      <x:c r="G10" s="12" t="str">
        <x:v>Alphabet reports a strong third quarter despite free-falling advertising values</x:v>
      </x:c>
      <x:c r="H10" s="12" t="str">
        <x:v>https://techcrunch.com/2016/10/27/wall-street-seems-totally-fine-with-alphabets-ad-strategy-after-it-reports-a-strong-third-quarter/</x:v>
      </x:c>
      <x:c r="I10" s="12" t="str">
        <x:v>VERIFIED</x:v>
      </x:c>
      <x:c r="J10" s="12" t="str">
        <x:v>PASS</x:v>
      </x:c>
      <x:c r="K10" s="12" t="str">
        <x:v>PASS</x:v>
      </x:c>
      <x:c r="L10" s="12" t="str">
        <x:v>PASS</x:v>
      </x:c>
      <x:c r="M10" s="12" t="str">
        <x:v>NO</x:v>
      </x:c>
      <x:c r="N10" s="12" t="str">
        <x:v>PASS</x:v>
      </x:c>
      <x:c r="O10" s="12" t="str">
        <x:v>CONTEMPORANEOUS_ATTRIBUTION</x:v>
      </x:c>
      <x:c r="P10" s="12" t="str">
        <x:v>PASS</x:v>
      </x:c>
      <x:c r="Q10" s="12" t="str">
        <x:v>Checked against Alphabet/GOOGL, exact event date, timing window and source-origin restrictions.</x:v>
      </x:c>
    </x:row>
    <x:row r="11">
      <x:c r="A11" s="12" t="str">
        <x:v>2017-01-26</x:v>
      </x:c>
      <x:c r="B11" s="12" t="str">
        <x:v>GOOGL</x:v>
      </x:c>
      <x:c r="C11" s="12" t="str">
        <x:v>prior</x:v>
      </x:c>
      <x:c r="D11" s="12" t="str">
        <x:v>2016-10-27</x:v>
      </x:c>
      <x:c r="E11" s="12" t="n">
        <x:v>-91</x:v>
      </x:c>
      <x:c r="F11" s="12" t="str">
        <x:v>SEC / Alphabet</x:v>
      </x:c>
      <x:c r="G11" s="12" t="str">
        <x:v>Alphabet Announces Third Quarter 2016 Results</x:v>
      </x:c>
      <x:c r="H11" s="12" t="str">
        <x:v>https://www.sec.gov/Archives/edgar/data/1652044/000165204416000035/googexhibit991q32016.htm</x:v>
      </x:c>
      <x:c r="I11" s="12" t="str">
        <x:v>VERIFIED</x:v>
      </x:c>
      <x:c r="J11" s="12" t="str">
        <x:v>PASS</x:v>
      </x:c>
      <x:c r="K11" s="12" t="str">
        <x:v>PASS</x:v>
      </x:c>
      <x:c r="L11" s="12" t="str">
        <x:v>PASS</x:v>
      </x:c>
      <x:c r="M11" s="12" t="str">
        <x:v>NO</x:v>
      </x:c>
      <x:c r="N11" s="12" t="str">
        <x:v>PASS</x:v>
      </x:c>
      <x:c r="O11" s="12" t="str">
        <x:v>FACTUAL</x:v>
      </x:c>
      <x:c r="P11" s="12" t="str">
        <x:v>PASS</x:v>
      </x:c>
      <x:c r="Q11" s="12" t="str">
        <x:v>Checked against Alphabet/GOOGL, exact event date, timing window and source-origin restrictions.</x:v>
      </x:c>
    </x:row>
    <x:row r="12">
      <x:c r="A12" s="12" t="str">
        <x:v>2017-01-26</x:v>
      </x:c>
      <x:c r="B12" s="12" t="str">
        <x:v>GOOGL</x:v>
      </x:c>
      <x:c r="C12" s="12" t="str">
        <x:v>release</x:v>
      </x:c>
      <x:c r="D12" s="12" t="str">
        <x:v>2017-01-26</x:v>
      </x:c>
      <x:c r="E12" s="12" t="n">
        <x:v>0</x:v>
      </x:c>
      <x:c r="F12" s="12" t="str">
        <x:v>SEC / Alphabet</x:v>
      </x:c>
      <x:c r="G12" s="12" t="str">
        <x:v>Alphabet Announces Fourth Quarter and Fiscal Year 2016 Results</x:v>
      </x:c>
      <x:c r="H12" s="12" t="str">
        <x:v>https://www.sec.gov/Archives/edgar/data/1652044/000165204417000005/googexhibit991q42016.htm</x:v>
      </x:c>
      <x:c r="I12" s="12" t="str">
        <x:v>VERIFIED</x:v>
      </x:c>
      <x:c r="J12" s="12" t="str">
        <x:v>PASS</x:v>
      </x:c>
      <x:c r="K12" s="12" t="str">
        <x:v>PASS</x:v>
      </x:c>
      <x:c r="L12" s="12" t="str">
        <x:v>PASS</x:v>
      </x:c>
      <x:c r="M12" s="12" t="str">
        <x:v>NO</x:v>
      </x:c>
      <x:c r="N12" s="12" t="str">
        <x:v>PASS</x:v>
      </x:c>
      <x:c r="O12" s="12" t="str">
        <x:v>FACTUAL</x:v>
      </x:c>
      <x:c r="P12" s="12" t="str">
        <x:v>PASS</x:v>
      </x:c>
      <x:c r="Q12" s="12" t="str">
        <x:v>Checked against Alphabet/GOOGL, exact event date, timing window and source-origin restrictions.</x:v>
      </x:c>
    </x:row>
    <x:row r="13">
      <x:c r="A13" s="12" t="str">
        <x:v>2017-01-26</x:v>
      </x:c>
      <x:c r="B13" s="12" t="str">
        <x:v>GOOGL</x:v>
      </x:c>
      <x:c r="C13" s="12" t="str">
        <x:v>reaction</x:v>
      </x:c>
      <x:c r="D13" s="12" t="str">
        <x:v>2017-01-26</x:v>
      </x:c>
      <x:c r="E13" s="12" t="n">
        <x:v>0</x:v>
      </x:c>
      <x:c r="F13" s="12" t="str">
        <x:v>TechCrunch</x:v>
      </x:c>
      <x:c r="G13" s="12" t="str">
        <x:v>Alphabet's bets beyond search are starting to pay off</x:v>
      </x:c>
      <x:c r="H13" s="12" t="str">
        <x:v>https://techcrunch.com/2017/01/26/alphabets-bets-beyond-search-are-starting-to-look-better/</x:v>
      </x:c>
      <x:c r="I13" s="12" t="str">
        <x:v>VERIFIED</x:v>
      </x:c>
      <x:c r="J13" s="12" t="str">
        <x:v>PASS</x:v>
      </x:c>
      <x:c r="K13" s="12" t="str">
        <x:v>PASS</x:v>
      </x:c>
      <x:c r="L13" s="12" t="str">
        <x:v>PASS</x:v>
      </x:c>
      <x:c r="M13" s="12" t="str">
        <x:v>NO</x:v>
      </x:c>
      <x:c r="N13" s="12" t="str">
        <x:v>PASS</x:v>
      </x:c>
      <x:c r="O13" s="12" t="str">
        <x:v>CONTEMPORANEOUS_ATTRIBUTION</x:v>
      </x:c>
      <x:c r="P13" s="12" t="str">
        <x:v>PASS</x:v>
      </x:c>
      <x:c r="Q13" s="12" t="str">
        <x:v>Checked against Alphabet/GOOGL, exact event date, timing window and source-origin restrictions.</x:v>
      </x:c>
    </x:row>
    <x:row r="14">
      <x:c r="A14" s="12" t="str">
        <x:v>2017-04-27</x:v>
      </x:c>
      <x:c r="B14" s="12" t="str">
        <x:v>GOOGL</x:v>
      </x:c>
      <x:c r="C14" s="12" t="str">
        <x:v>prior</x:v>
      </x:c>
      <x:c r="D14" s="12" t="str">
        <x:v>2017-01-26</x:v>
      </x:c>
      <x:c r="E14" s="12" t="n">
        <x:v>-91</x:v>
      </x:c>
      <x:c r="F14" s="12" t="str">
        <x:v>SEC / Alphabet</x:v>
      </x:c>
      <x:c r="G14" s="12" t="str">
        <x:v>Alphabet Announces Fourth Quarter and Fiscal Year 2016 Results</x:v>
      </x:c>
      <x:c r="H14" s="12" t="str">
        <x:v>https://www.sec.gov/Archives/edgar/data/1652044/000165204417000005/googexhibit991q42016.htm</x:v>
      </x:c>
      <x:c r="I14" s="12" t="str">
        <x:v>VERIFIED</x:v>
      </x:c>
      <x:c r="J14" s="12" t="str">
        <x:v>PASS</x:v>
      </x:c>
      <x:c r="K14" s="12" t="str">
        <x:v>PASS</x:v>
      </x:c>
      <x:c r="L14" s="12" t="str">
        <x:v>PASS</x:v>
      </x:c>
      <x:c r="M14" s="12" t="str">
        <x:v>NO</x:v>
      </x:c>
      <x:c r="N14" s="12" t="str">
        <x:v>PASS</x:v>
      </x:c>
      <x:c r="O14" s="12" t="str">
        <x:v>FACTUAL</x:v>
      </x:c>
      <x:c r="P14" s="12" t="str">
        <x:v>PASS</x:v>
      </x:c>
      <x:c r="Q14" s="12" t="str">
        <x:v>Checked against Alphabet/GOOGL, exact event date, timing window and source-origin restrictions.</x:v>
      </x:c>
    </x:row>
    <x:row r="15">
      <x:c r="A15" s="12" t="str">
        <x:v>2017-04-27</x:v>
      </x:c>
      <x:c r="B15" s="12" t="str">
        <x:v>GOOGL</x:v>
      </x:c>
      <x:c r="C15" s="12" t="str">
        <x:v>release</x:v>
      </x:c>
      <x:c r="D15" s="12" t="str">
        <x:v>2017-04-27</x:v>
      </x:c>
      <x:c r="E15" s="12" t="n">
        <x:v>0</x:v>
      </x:c>
      <x:c r="F15" s="12" t="str">
        <x:v>SEC / Alphabet</x:v>
      </x:c>
      <x:c r="G15" s="12" t="str">
        <x:v>Alphabet Announces First Quarter 2017 Results</x:v>
      </x:c>
      <x:c r="H15" s="12" t="str">
        <x:v>https://www.sec.gov/Archives/edgar/data/1652044/000165204417000011/googexhibit991q12017.htm</x:v>
      </x:c>
      <x:c r="I15" s="12" t="str">
        <x:v>VERIFIED</x:v>
      </x:c>
      <x:c r="J15" s="12" t="str">
        <x:v>PASS</x:v>
      </x:c>
      <x:c r="K15" s="12" t="str">
        <x:v>PASS</x:v>
      </x:c>
      <x:c r="L15" s="12" t="str">
        <x:v>PASS</x:v>
      </x:c>
      <x:c r="M15" s="12" t="str">
        <x:v>NO</x:v>
      </x:c>
      <x:c r="N15" s="12" t="str">
        <x:v>PASS</x:v>
      </x:c>
      <x:c r="O15" s="12" t="str">
        <x:v>FACTUAL</x:v>
      </x:c>
      <x:c r="P15" s="12" t="str">
        <x:v>PASS</x:v>
      </x:c>
      <x:c r="Q15" s="12" t="str">
        <x:v>Checked against Alphabet/GOOGL, exact event date, timing window and source-origin restrictions.</x:v>
      </x:c>
    </x:row>
    <x:row r="16">
      <x:c r="A16" s="12" t="str">
        <x:v>2017-04-27</x:v>
      </x:c>
      <x:c r="B16" s="12" t="str">
        <x:v>GOOGL</x:v>
      </x:c>
      <x:c r="C16" s="12" t="str">
        <x:v>reaction</x:v>
      </x:c>
      <x:c r="D16" s="12" t="str">
        <x:v>2017-04-28</x:v>
      </x:c>
      <x:c r="E16" s="12" t="n">
        <x:v>1</x:v>
      </x:c>
      <x:c r="F16" s="12" t="str">
        <x:v>The Motley Fool</x:v>
      </x:c>
      <x:c r="G16" s="12" t="str">
        <x:v>What Happened in the Stock Market Today</x:v>
      </x:c>
      <x:c r="H16" s="12" t="str">
        <x:v>https://www.fool.com/investing/2017/04/28/what-happened-in-the-stock-market-today.aspx</x:v>
      </x:c>
      <x:c r="I16" s="12" t="str">
        <x:v>VERIFIED</x:v>
      </x:c>
      <x:c r="J16" s="12" t="str">
        <x:v>PASS</x:v>
      </x:c>
      <x:c r="K16" s="12" t="str">
        <x:v>PASS</x:v>
      </x:c>
      <x:c r="L16" s="12" t="str">
        <x:v>PASS</x:v>
      </x:c>
      <x:c r="M16" s="12" t="str">
        <x:v>NO</x:v>
      </x:c>
      <x:c r="N16" s="12" t="str">
        <x:v>PASS</x:v>
      </x:c>
      <x:c r="O16" s="12" t="str">
        <x:v>CONTEMPORANEOUS_ATTRIBUTION</x:v>
      </x:c>
      <x:c r="P16" s="12" t="str">
        <x:v>PASS</x:v>
      </x:c>
      <x:c r="Q16" s="12" t="str">
        <x:v>Checked against Alphabet/GOOGL, exact event date, timing window and source-origin restrictions.</x:v>
      </x:c>
    </x:row>
    <x:row r="17">
      <x:c r="A17" s="12" t="str">
        <x:v>2017-07-24</x:v>
      </x:c>
      <x:c r="B17" s="12" t="str">
        <x:v>GOOGL</x:v>
      </x:c>
      <x:c r="C17" s="12" t="str">
        <x:v>prior</x:v>
      </x:c>
      <x:c r="D17" s="12" t="str">
        <x:v>2017-04-27</x:v>
      </x:c>
      <x:c r="E17" s="12" t="n">
        <x:v>-88</x:v>
      </x:c>
      <x:c r="F17" s="12" t="str">
        <x:v>SEC / Alphabet</x:v>
      </x:c>
      <x:c r="G17" s="12" t="str">
        <x:v>Alphabet Announces First Quarter 2017 Results</x:v>
      </x:c>
      <x:c r="H17" s="12" t="str">
        <x:v>https://www.sec.gov/Archives/edgar/data/1652044/000165204417000011/googexhibit991q12017.htm</x:v>
      </x:c>
      <x:c r="I17" s="12" t="str">
        <x:v>VERIFIED</x:v>
      </x:c>
      <x:c r="J17" s="12" t="str">
        <x:v>PASS</x:v>
      </x:c>
      <x:c r="K17" s="12" t="str">
        <x:v>PASS</x:v>
      </x:c>
      <x:c r="L17" s="12" t="str">
        <x:v>PASS</x:v>
      </x:c>
      <x:c r="M17" s="12" t="str">
        <x:v>NO</x:v>
      </x:c>
      <x:c r="N17" s="12" t="str">
        <x:v>PASS</x:v>
      </x:c>
      <x:c r="O17" s="12" t="str">
        <x:v>FACTUAL</x:v>
      </x:c>
      <x:c r="P17" s="12" t="str">
        <x:v>PASS</x:v>
      </x:c>
      <x:c r="Q17" s="12" t="str">
        <x:v>Checked against Alphabet/GOOGL, exact event date, timing window and source-origin restrictions.</x:v>
      </x:c>
    </x:row>
    <x:row r="18">
      <x:c r="A18" s="12" t="str">
        <x:v>2017-07-24</x:v>
      </x:c>
      <x:c r="B18" s="12" t="str">
        <x:v>GOOGL</x:v>
      </x:c>
      <x:c r="C18" s="12" t="str">
        <x:v>release</x:v>
      </x:c>
      <x:c r="D18" s="12" t="str">
        <x:v>2017-07-24</x:v>
      </x:c>
      <x:c r="E18" s="12" t="n">
        <x:v>0</x:v>
      </x:c>
      <x:c r="F18" s="12" t="str">
        <x:v>SEC / Alphabet</x:v>
      </x:c>
      <x:c r="G18" s="12" t="str">
        <x:v>Alphabet Announces Second Quarter 2017 Results</x:v>
      </x:c>
      <x:c r="H18" s="12" t="str">
        <x:v>https://www.sec.gov/Archives/edgar/data/1652044/000165204417000024/googexhibit991q22017.htm</x:v>
      </x:c>
      <x:c r="I18" s="12" t="str">
        <x:v>VERIFIED</x:v>
      </x:c>
      <x:c r="J18" s="12" t="str">
        <x:v>PASS</x:v>
      </x:c>
      <x:c r="K18" s="12" t="str">
        <x:v>PASS</x:v>
      </x:c>
      <x:c r="L18" s="12" t="str">
        <x:v>PASS</x:v>
      </x:c>
      <x:c r="M18" s="12" t="str">
        <x:v>NO</x:v>
      </x:c>
      <x:c r="N18" s="12" t="str">
        <x:v>PASS</x:v>
      </x:c>
      <x:c r="O18" s="12" t="str">
        <x:v>FACTUAL</x:v>
      </x:c>
      <x:c r="P18" s="12" t="str">
        <x:v>PASS</x:v>
      </x:c>
      <x:c r="Q18" s="12" t="str">
        <x:v>Checked against Alphabet/GOOGL, exact event date, timing window and source-origin restrictions.</x:v>
      </x:c>
    </x:row>
    <x:row r="19">
      <x:c r="A19" s="12" t="str">
        <x:v>2017-07-24</x:v>
      </x:c>
      <x:c r="B19" s="12" t="str">
        <x:v>GOOGL</x:v>
      </x:c>
      <x:c r="C19" s="12" t="str">
        <x:v>reaction</x:v>
      </x:c>
      <x:c r="D19" s="12" t="str">
        <x:v>2017-07-24</x:v>
      </x:c>
      <x:c r="E19" s="12" t="n">
        <x:v>0</x:v>
      </x:c>
      <x:c r="F19" s="12" t="str">
        <x:v>TheStreet</x:v>
      </x:c>
      <x:c r="G19" s="12" t="str">
        <x:v>Alphabet Shares Fall as Earnings Take a Hit From Record-Breaking EU Fine</x:v>
      </x:c>
      <x:c r="H19" s="12" t="str">
        <x:v>https://www.thestreet.com/investing/stocks/alphabet-stock-higher-following-q2-earnings-revenue-beat-14240346</x:v>
      </x:c>
      <x:c r="I19" s="12" t="str">
        <x:v>VERIFIED</x:v>
      </x:c>
      <x:c r="J19" s="12" t="str">
        <x:v>PASS</x:v>
      </x:c>
      <x:c r="K19" s="12" t="str">
        <x:v>PASS</x:v>
      </x:c>
      <x:c r="L19" s="12" t="str">
        <x:v>PASS</x:v>
      </x:c>
      <x:c r="M19" s="12" t="str">
        <x:v>NO</x:v>
      </x:c>
      <x:c r="N19" s="12" t="str">
        <x:v>PASS</x:v>
      </x:c>
      <x:c r="O19" s="12" t="str">
        <x:v>CONTEMPORANEOUS_ATTRIBUTION</x:v>
      </x:c>
      <x:c r="P19" s="12" t="str">
        <x:v>PASS</x:v>
      </x:c>
      <x:c r="Q19" s="12" t="str">
        <x:v>Checked against Alphabet/GOOGL, exact event date, timing window and source-origin restrictions.</x:v>
      </x:c>
    </x:row>
    <x:row r="20">
      <x:c r="A20" s="12" t="str">
        <x:v>2017-10-26</x:v>
      </x:c>
      <x:c r="B20" s="12" t="str">
        <x:v>GOOGL</x:v>
      </x:c>
      <x:c r="C20" s="12" t="str">
        <x:v>prior</x:v>
      </x:c>
      <x:c r="D20" s="12" t="str">
        <x:v>2017-07-24</x:v>
      </x:c>
      <x:c r="E20" s="12" t="n">
        <x:v>-94</x:v>
      </x:c>
      <x:c r="F20" s="12" t="str">
        <x:v>SEC / Alphabet</x:v>
      </x:c>
      <x:c r="G20" s="12" t="str">
        <x:v>Alphabet Announces Second Quarter 2017 Results</x:v>
      </x:c>
      <x:c r="H20" s="12" t="str">
        <x:v>https://www.sec.gov/Archives/edgar/data/1652044/000165204417000024/googexhibit991q22017.htm</x:v>
      </x:c>
      <x:c r="I20" s="12" t="str">
        <x:v>VERIFIED</x:v>
      </x:c>
      <x:c r="J20" s="12" t="str">
        <x:v>PASS</x:v>
      </x:c>
      <x:c r="K20" s="12" t="str">
        <x:v>PASS</x:v>
      </x:c>
      <x:c r="L20" s="12" t="str">
        <x:v>PASS</x:v>
      </x:c>
      <x:c r="M20" s="12" t="str">
        <x:v>NO</x:v>
      </x:c>
      <x:c r="N20" s="12" t="str">
        <x:v>PASS</x:v>
      </x:c>
      <x:c r="O20" s="12" t="str">
        <x:v>FACTUAL</x:v>
      </x:c>
      <x:c r="P20" s="12" t="str">
        <x:v>PASS</x:v>
      </x:c>
      <x:c r="Q20" s="12" t="str">
        <x:v>Checked against Alphabet/GOOGL, exact event date, timing window and source-origin restrictions.</x:v>
      </x:c>
    </x:row>
    <x:row r="21">
      <x:c r="A21" s="12" t="str">
        <x:v>2017-10-26</x:v>
      </x:c>
      <x:c r="B21" s="12" t="str">
        <x:v>GOOGL</x:v>
      </x:c>
      <x:c r="C21" s="12" t="str">
        <x:v>release</x:v>
      </x:c>
      <x:c r="D21" s="12" t="str">
        <x:v>2017-10-26</x:v>
      </x:c>
      <x:c r="E21" s="12" t="n">
        <x:v>0</x:v>
      </x:c>
      <x:c r="F21" s="12" t="str">
        <x:v>SEC / Alphabet</x:v>
      </x:c>
      <x:c r="G21" s="12" t="str">
        <x:v>Alphabet Announces Third Quarter 2017 Results</x:v>
      </x:c>
      <x:c r="H21" s="12" t="str">
        <x:v>https://www.sec.gov/Archives/edgar/data/1652044/000165204417000039/googexhibit991q32017.htm</x:v>
      </x:c>
      <x:c r="I21" s="12" t="str">
        <x:v>VERIFIED</x:v>
      </x:c>
      <x:c r="J21" s="12" t="str">
        <x:v>PASS</x:v>
      </x:c>
      <x:c r="K21" s="12" t="str">
        <x:v>PASS</x:v>
      </x:c>
      <x:c r="L21" s="12" t="str">
        <x:v>PASS</x:v>
      </x:c>
      <x:c r="M21" s="12" t="str">
        <x:v>NO</x:v>
      </x:c>
      <x:c r="N21" s="12" t="str">
        <x:v>PASS</x:v>
      </x:c>
      <x:c r="O21" s="12" t="str">
        <x:v>FACTUAL</x:v>
      </x:c>
      <x:c r="P21" s="12" t="str">
        <x:v>PASS</x:v>
      </x:c>
      <x:c r="Q21" s="12" t="str">
        <x:v>Checked against Alphabet/GOOGL, exact event date, timing window and source-origin restrictions.</x:v>
      </x:c>
    </x:row>
    <x:row r="22">
      <x:c r="A22" s="12" t="str">
        <x:v>2017-10-26</x:v>
      </x:c>
      <x:c r="B22" s="12" t="str">
        <x:v>GOOGL</x:v>
      </x:c>
      <x:c r="C22" s="12" t="str">
        <x:v>reaction</x:v>
      </x:c>
      <x:c r="D22" s="12" t="str">
        <x:v>2017-10-27</x:v>
      </x:c>
      <x:c r="E22" s="12" t="n">
        <x:v>1</x:v>
      </x:c>
      <x:c r="F22" s="12" t="str">
        <x:v>The Motley Fool</x:v>
      </x:c>
      <x:c r="G22" s="12" t="str">
        <x:v>Why Alphabet, Inc. Stock Popped Today</x:v>
      </x:c>
      <x:c r="H22" s="12" t="str">
        <x:v>https://www.fool.com/investing/2017/10/27/why-alphabet-inc-stock-popped-today.aspx</x:v>
      </x:c>
      <x:c r="I22" s="12" t="str">
        <x:v>VERIFIED</x:v>
      </x:c>
      <x:c r="J22" s="12" t="str">
        <x:v>PASS</x:v>
      </x:c>
      <x:c r="K22" s="12" t="str">
        <x:v>PASS</x:v>
      </x:c>
      <x:c r="L22" s="12" t="str">
        <x:v>PASS</x:v>
      </x:c>
      <x:c r="M22" s="12" t="str">
        <x:v>NO</x:v>
      </x:c>
      <x:c r="N22" s="12" t="str">
        <x:v>PASS</x:v>
      </x:c>
      <x:c r="O22" s="12" t="str">
        <x:v>CONTEMPORANEOUS_ATTRIBUTION</x:v>
      </x:c>
      <x:c r="P22" s="12" t="str">
        <x:v>PASS</x:v>
      </x:c>
      <x:c r="Q22" s="12" t="str">
        <x:v>Checked against Alphabet/GOOGL, exact event date, timing window and source-origin restrictions.</x:v>
      </x:c>
    </x:row>
    <x:row r="23">
      <x:c r="A23" s="12" t="str">
        <x:v>2018-02-01</x:v>
      </x:c>
      <x:c r="B23" s="12" t="str">
        <x:v>GOOGL</x:v>
      </x:c>
      <x:c r="C23" s="12" t="str">
        <x:v>prior</x:v>
      </x:c>
      <x:c r="D23" s="12" t="str">
        <x:v>2017-10-26</x:v>
      </x:c>
      <x:c r="E23" s="12" t="n">
        <x:v>-98</x:v>
      </x:c>
      <x:c r="F23" s="12" t="str">
        <x:v>SEC / Alphabet</x:v>
      </x:c>
      <x:c r="G23" s="12" t="str">
        <x:v>Alphabet Announces Third Quarter 2017 Results</x:v>
      </x:c>
      <x:c r="H23" s="12" t="str">
        <x:v>https://www.sec.gov/Archives/edgar/data/1652044/000165204417000039/googexhibit991q32017.htm</x:v>
      </x:c>
      <x:c r="I23" s="12" t="str">
        <x:v>VERIFIED</x:v>
      </x:c>
      <x:c r="J23" s="12" t="str">
        <x:v>PASS</x:v>
      </x:c>
      <x:c r="K23" s="12" t="str">
        <x:v>PASS</x:v>
      </x:c>
      <x:c r="L23" s="12" t="str">
        <x:v>PASS</x:v>
      </x:c>
      <x:c r="M23" s="12" t="str">
        <x:v>NO</x:v>
      </x:c>
      <x:c r="N23" s="12" t="str">
        <x:v>PASS</x:v>
      </x:c>
      <x:c r="O23" s="12" t="str">
        <x:v>FACTUAL</x:v>
      </x:c>
      <x:c r="P23" s="12" t="str">
        <x:v>PASS</x:v>
      </x:c>
      <x:c r="Q23" s="12" t="str">
        <x:v>Checked against Alphabet/GOOGL, exact event date, timing window and source-origin restrictions.</x:v>
      </x:c>
    </x:row>
    <x:row r="24">
      <x:c r="A24" s="12" t="str">
        <x:v>2018-02-01</x:v>
      </x:c>
      <x:c r="B24" s="12" t="str">
        <x:v>GOOGL</x:v>
      </x:c>
      <x:c r="C24" s="12" t="str">
        <x:v>release</x:v>
      </x:c>
      <x:c r="D24" s="12" t="str">
        <x:v>2018-02-01</x:v>
      </x:c>
      <x:c r="E24" s="12" t="n">
        <x:v>0</x:v>
      </x:c>
      <x:c r="F24" s="12" t="str">
        <x:v>Alphabet Investor Relations</x:v>
      </x:c>
      <x:c r="G24" s="12" t="str">
        <x:v>Alphabet Announces Fourth Quarter and Fiscal Year 2017 Results</x:v>
      </x:c>
      <x:c r="H24" s="12" t="str">
        <x:v>https://abc.xyz/investor/news/2018/0201/</x:v>
      </x:c>
      <x:c r="I24" s="12" t="str">
        <x:v>VERIFIED</x:v>
      </x:c>
      <x:c r="J24" s="12" t="str">
        <x:v>PASS</x:v>
      </x:c>
      <x:c r="K24" s="12" t="str">
        <x:v>PASS</x:v>
      </x:c>
      <x:c r="L24" s="12" t="str">
        <x:v>PASS</x:v>
      </x:c>
      <x:c r="M24" s="12" t="str">
        <x:v>NO</x:v>
      </x:c>
      <x:c r="N24" s="12" t="str">
        <x:v>PASS</x:v>
      </x:c>
      <x:c r="O24" s="12" t="str">
        <x:v>FACTUAL</x:v>
      </x:c>
      <x:c r="P24" s="12" t="str">
        <x:v>PASS</x:v>
      </x:c>
      <x:c r="Q24" s="12" t="str">
        <x:v>Checked against Alphabet/GOOGL, exact event date, timing window and source-origin restrictions.</x:v>
      </x:c>
    </x:row>
    <x:row r="25">
      <x:c r="A25" s="12" t="str">
        <x:v>2018-02-01</x:v>
      </x:c>
      <x:c r="B25" s="12" t="str">
        <x:v>GOOGL</x:v>
      </x:c>
      <x:c r="C25" s="12" t="str">
        <x:v>reaction</x:v>
      </x:c>
      <x:c r="D25" s="12" t="str">
        <x:v>2018-02-02</x:v>
      </x:c>
      <x:c r="E25" s="12" t="n">
        <x:v>1</x:v>
      </x:c>
      <x:c r="F25" s="12" t="str">
        <x:v>The Motley Fool</x:v>
      </x:c>
      <x:c r="G25" s="12" t="str">
        <x:v>Why Alphabet Inc. Stock Fell Today</x:v>
      </x:c>
      <x:c r="H25" s="12" t="str">
        <x:v>https://www.fool.com/investing/2018/02/02/why-alphabet-inc-stock-fell-today.aspx</x:v>
      </x:c>
      <x:c r="I25" s="12" t="str">
        <x:v>VERIFIED</x:v>
      </x:c>
      <x:c r="J25" s="12" t="str">
        <x:v>PASS</x:v>
      </x:c>
      <x:c r="K25" s="12" t="str">
        <x:v>PASS</x:v>
      </x:c>
      <x:c r="L25" s="12" t="str">
        <x:v>PASS</x:v>
      </x:c>
      <x:c r="M25" s="12" t="str">
        <x:v>NO</x:v>
      </x:c>
      <x:c r="N25" s="12" t="str">
        <x:v>PASS</x:v>
      </x:c>
      <x:c r="O25" s="12" t="str">
        <x:v>CONTEMPORANEOUS_ATTRIBUTION</x:v>
      </x:c>
      <x:c r="P25" s="12" t="str">
        <x:v>PASS</x:v>
      </x:c>
      <x:c r="Q25" s="12" t="str">
        <x:v>Checked against Alphabet/GOOGL, exact event date, timing window and source-origin restrictions.</x:v>
      </x:c>
    </x:row>
    <x:row r="26">
      <x:c r="A26" s="12" t="str">
        <x:v>2018-04-23</x:v>
      </x:c>
      <x:c r="B26" s="12" t="str">
        <x:v>GOOGL</x:v>
      </x:c>
      <x:c r="C26" s="12" t="str">
        <x:v>prior</x:v>
      </x:c>
      <x:c r="D26" s="12" t="str">
        <x:v>2018-02-01</x:v>
      </x:c>
      <x:c r="E26" s="12" t="n">
        <x:v>-81</x:v>
      </x:c>
      <x:c r="F26" s="12" t="str">
        <x:v>Alphabet Investor Relations</x:v>
      </x:c>
      <x:c r="G26" s="12" t="str">
        <x:v>Alphabet Announces Fourth Quarter and Fiscal Year 2017 Results</x:v>
      </x:c>
      <x:c r="H26" s="12" t="str">
        <x:v>https://abc.xyz/investor/news/2018/0201/</x:v>
      </x:c>
      <x:c r="I26" s="12" t="str">
        <x:v>VERIFIED</x:v>
      </x:c>
      <x:c r="J26" s="12" t="str">
        <x:v>PASS</x:v>
      </x:c>
      <x:c r="K26" s="12" t="str">
        <x:v>PASS</x:v>
      </x:c>
      <x:c r="L26" s="12" t="str">
        <x:v>PASS</x:v>
      </x:c>
      <x:c r="M26" s="12" t="str">
        <x:v>NO</x:v>
      </x:c>
      <x:c r="N26" s="12" t="str">
        <x:v>PASS</x:v>
      </x:c>
      <x:c r="O26" s="12" t="str">
        <x:v>FACTUAL</x:v>
      </x:c>
      <x:c r="P26" s="12" t="str">
        <x:v>PASS</x:v>
      </x:c>
      <x:c r="Q26" s="12" t="str">
        <x:v>Checked against Alphabet/GOOGL, exact event date, timing window and source-origin restrictions.</x:v>
      </x:c>
    </x:row>
    <x:row r="27">
      <x:c r="A27" s="12" t="str">
        <x:v>2018-04-23</x:v>
      </x:c>
      <x:c r="B27" s="12" t="str">
        <x:v>GOOGL</x:v>
      </x:c>
      <x:c r="C27" s="12" t="str">
        <x:v>release</x:v>
      </x:c>
      <x:c r="D27" s="12" t="str">
        <x:v>2018-04-23</x:v>
      </x:c>
      <x:c r="E27" s="12" t="n">
        <x:v>0</x:v>
      </x:c>
      <x:c r="F27" s="12" t="str">
        <x:v>SEC / Alphabet</x:v>
      </x:c>
      <x:c r="G27" s="12" t="str">
        <x:v>Alphabet Announces First Quarter 2018 Results</x:v>
      </x:c>
      <x:c r="H27" s="12" t="str">
        <x:v>https://www.sec.gov/Archives/edgar/data/1652044/000165204418000011/googexhibit991q12018.htm</x:v>
      </x:c>
      <x:c r="I27" s="12" t="str">
        <x:v>VERIFIED</x:v>
      </x:c>
      <x:c r="J27" s="12" t="str">
        <x:v>PASS</x:v>
      </x:c>
      <x:c r="K27" s="12" t="str">
        <x:v>PASS</x:v>
      </x:c>
      <x:c r="L27" s="12" t="str">
        <x:v>PASS</x:v>
      </x:c>
      <x:c r="M27" s="12" t="str">
        <x:v>NO</x:v>
      </x:c>
      <x:c r="N27" s="12" t="str">
        <x:v>PASS</x:v>
      </x:c>
      <x:c r="O27" s="12" t="str">
        <x:v>FACTUAL</x:v>
      </x:c>
      <x:c r="P27" s="12" t="str">
        <x:v>PASS</x:v>
      </x:c>
      <x:c r="Q27" s="12" t="str">
        <x:v>Checked against Alphabet/GOOGL, exact event date, timing window and source-origin restrictions.</x:v>
      </x:c>
    </x:row>
    <x:row r="28">
      <x:c r="A28" s="12" t="str">
        <x:v>2018-04-23</x:v>
      </x:c>
      <x:c r="B28" s="12" t="str">
        <x:v>GOOGL</x:v>
      </x:c>
      <x:c r="C28" s="12" t="str">
        <x:v>reaction</x:v>
      </x:c>
      <x:c r="D28" s="12" t="str">
        <x:v>2018-04-24</x:v>
      </x:c>
      <x:c r="E28" s="12" t="n">
        <x:v>1</x:v>
      </x:c>
      <x:c r="F28" s="12" t="str">
        <x:v>CBS San Francisco / CNN Money</x:v>
      </x:c>
      <x:c r="G28" s="12" t="str">
        <x:v>Google's Spending Spree Rattles Wall Street</x:v>
      </x:c>
      <x:c r="H28" s="12" t="str">
        <x:v>https://www.cbsnews.com/sanfrancisco/news/googles-spending-spree-rattles-wall-street/</x:v>
      </x:c>
      <x:c r="I28" s="12" t="str">
        <x:v>VERIFIED</x:v>
      </x:c>
      <x:c r="J28" s="12" t="str">
        <x:v>PASS</x:v>
      </x:c>
      <x:c r="K28" s="12" t="str">
        <x:v>PASS</x:v>
      </x:c>
      <x:c r="L28" s="12" t="str">
        <x:v>PASS</x:v>
      </x:c>
      <x:c r="M28" s="12" t="str">
        <x:v>NO</x:v>
      </x:c>
      <x:c r="N28" s="12" t="str">
        <x:v>PASS</x:v>
      </x:c>
      <x:c r="O28" s="12" t="str">
        <x:v>CONTEMPORANEOUS_ATTRIBUTION</x:v>
      </x:c>
      <x:c r="P28" s="12" t="str">
        <x:v>PASS</x:v>
      </x:c>
      <x:c r="Q28" s="12" t="str">
        <x:v>Checked against Alphabet/GOOGL, exact event date, timing window and source-origin restrictions.</x:v>
      </x:c>
    </x:row>
    <x:row r="29">
      <x:c r="A29" s="12" t="str">
        <x:v>2018-07-23</x:v>
      </x:c>
      <x:c r="B29" s="12" t="str">
        <x:v>GOOGL</x:v>
      </x:c>
      <x:c r="C29" s="12" t="str">
        <x:v>prior</x:v>
      </x:c>
      <x:c r="D29" s="12" t="str">
        <x:v>2018-04-23</x:v>
      </x:c>
      <x:c r="E29" s="12" t="n">
        <x:v>-91</x:v>
      </x:c>
      <x:c r="F29" s="12" t="str">
        <x:v>SEC / Alphabet</x:v>
      </x:c>
      <x:c r="G29" s="12" t="str">
        <x:v>Alphabet Announces First Quarter 2018 Results</x:v>
      </x:c>
      <x:c r="H29" s="12" t="str">
        <x:v>https://www.sec.gov/Archives/edgar/data/1652044/000165204418000011/googexhibit991q12018.htm</x:v>
      </x:c>
      <x:c r="I29" s="12" t="str">
        <x:v>VERIFIED</x:v>
      </x:c>
      <x:c r="J29" s="12" t="str">
        <x:v>PASS</x:v>
      </x:c>
      <x:c r="K29" s="12" t="str">
        <x:v>PASS</x:v>
      </x:c>
      <x:c r="L29" s="12" t="str">
        <x:v>PASS</x:v>
      </x:c>
      <x:c r="M29" s="12" t="str">
        <x:v>NO</x:v>
      </x:c>
      <x:c r="N29" s="12" t="str">
        <x:v>PASS</x:v>
      </x:c>
      <x:c r="O29" s="12" t="str">
        <x:v>FACTUAL</x:v>
      </x:c>
      <x:c r="P29" s="12" t="str">
        <x:v>PASS</x:v>
      </x:c>
      <x:c r="Q29" s="12" t="str">
        <x:v>Checked against Alphabet/GOOGL, exact event date, timing window and source-origin restrictions.</x:v>
      </x:c>
    </x:row>
    <x:row r="30">
      <x:c r="A30" s="12" t="str">
        <x:v>2018-07-23</x:v>
      </x:c>
      <x:c r="B30" s="12" t="str">
        <x:v>GOOGL</x:v>
      </x:c>
      <x:c r="C30" s="12" t="str">
        <x:v>release</x:v>
      </x:c>
      <x:c r="D30" s="12" t="str">
        <x:v>2018-07-23</x:v>
      </x:c>
      <x:c r="E30" s="12" t="n">
        <x:v>0</x:v>
      </x:c>
      <x:c r="F30" s="12" t="str">
        <x:v>SEC / Alphabet</x:v>
      </x:c>
      <x:c r="G30" s="12" t="str">
        <x:v>Alphabet Announces Second Quarter 2018 Results</x:v>
      </x:c>
      <x:c r="H30" s="12" t="str">
        <x:v>https://www.sec.gov/Archives/edgar/data/1652044/000165204418000025/goog8-kq22018.htm</x:v>
      </x:c>
      <x:c r="I30" s="12" t="str">
        <x:v>VERIFIED</x:v>
      </x:c>
      <x:c r="J30" s="12" t="str">
        <x:v>PASS</x:v>
      </x:c>
      <x:c r="K30" s="12" t="str">
        <x:v>PASS</x:v>
      </x:c>
      <x:c r="L30" s="12" t="str">
        <x:v>PASS</x:v>
      </x:c>
      <x:c r="M30" s="12" t="str">
        <x:v>NO</x:v>
      </x:c>
      <x:c r="N30" s="12" t="str">
        <x:v>PASS</x:v>
      </x:c>
      <x:c r="O30" s="12" t="str">
        <x:v>FACTUAL</x:v>
      </x:c>
      <x:c r="P30" s="12" t="str">
        <x:v>PASS</x:v>
      </x:c>
      <x:c r="Q30" s="12" t="str">
        <x:v>Checked against Alphabet/GOOGL, exact event date, timing window and source-origin restrictions.</x:v>
      </x:c>
    </x:row>
    <x:row r="31">
      <x:c r="A31" s="12" t="str">
        <x:v>2018-07-23</x:v>
      </x:c>
      <x:c r="B31" s="12" t="str">
        <x:v>GOOGL</x:v>
      </x:c>
      <x:c r="C31" s="12" t="str">
        <x:v>reaction</x:v>
      </x:c>
      <x:c r="D31" s="12" t="str">
        <x:v>2018-07-24</x:v>
      </x:c>
      <x:c r="E31" s="12" t="n">
        <x:v>1</x:v>
      </x:c>
      <x:c r="F31" s="12" t="str">
        <x:v>The Motley Fool</x:v>
      </x:c>
      <x:c r="G31" s="12" t="str">
        <x:v>Q2 Earnings: How Alphabet Crushed It</x:v>
      </x:c>
      <x:c r="H31" s="12" t="str">
        <x:v>https://www.fool.com/investing/2018/07/24/q2-earnings-how-alphabet-crushed-it.aspx</x:v>
      </x:c>
      <x:c r="I31" s="12" t="str">
        <x:v>VERIFIED</x:v>
      </x:c>
      <x:c r="J31" s="12" t="str">
        <x:v>PASS</x:v>
      </x:c>
      <x:c r="K31" s="12" t="str">
        <x:v>PASS</x:v>
      </x:c>
      <x:c r="L31" s="12" t="str">
        <x:v>PASS</x:v>
      </x:c>
      <x:c r="M31" s="12" t="str">
        <x:v>NO</x:v>
      </x:c>
      <x:c r="N31" s="12" t="str">
        <x:v>PASS</x:v>
      </x:c>
      <x:c r="O31" s="12" t="str">
        <x:v>CONTEMPORANEOUS_ATTRIBUTION</x:v>
      </x:c>
      <x:c r="P31" s="12" t="str">
        <x:v>PASS</x:v>
      </x:c>
      <x:c r="Q31" s="12" t="str">
        <x:v>Checked against Alphabet/GOOGL, exact event date, timing window and source-origin restrictions.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2016-04-21</x:v>
      </x:c>
      <x:c r="B2" t="str">
        <x:v>GOOGL</x:v>
      </x:c>
      <x:c r="C2" s="20" t="n">
        <x:v>1.18</x:v>
      </x:c>
      <x:c r="D2" s="20" t="n">
        <x:v>-5.6</x:v>
      </x:c>
      <x:c r="E2" t="str">
        <x:v>ret_1daypost_pct</x:v>
      </x:c>
      <x:c r="F2" t="str">
        <x:f>IF(D2&gt;0.1,"UP",IF(D2&lt;-0.1,"DOWN","FLAT"))</x:f>
        <x:v>DOWN</x:v>
      </x:c>
      <x:c r="G2" t="str">
        <x:v>DOWN</x:v>
      </x:c>
      <x:c r="H2" t="str">
        <x:f>IF(F2=G2,"PASS","FAIL")</x:f>
        <x:v>PASS</x:v>
      </x:c>
      <x:c r="I2" t="n">
        <x:v>3</x:v>
      </x:c>
      <x:c r="J2" t="n">
        <x:f>COUNTIFS('Source Audit'!$A:$A,A2,'Source Audit'!$P:$P,"PASS")</x:f>
        <x:v>3</x:v>
      </x:c>
      <x:c r="K2" t="str">
        <x:f>IF(AND(H2="PASS",J2=I2),"PASS","FAIL")</x:f>
        <x:v>PASS</x:v>
      </x:c>
    </x:row>
    <x:row r="3">
      <x:c r="A3" t="str">
        <x:v>2016-07-28</x:v>
      </x:c>
      <x:c r="B3" t="str">
        <x:v>GOOGL</x:v>
      </x:c>
      <x:c r="C3" s="20" t="n">
        <x:v>0.34</x:v>
      </x:c>
      <x:c r="D3" s="20" t="n">
        <x:v>3.07</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2016-10-27</x:v>
      </x:c>
      <x:c r="B4" t="str">
        <x:v>GOOGL</x:v>
      </x:c>
      <x:c r="C4" s="20" t="n">
        <x:v>-0.18</x:v>
      </x:c>
      <x:c r="D4" s="20" t="n">
        <x:v>0.53</x:v>
      </x:c>
      <x:c r="E4" t="str">
        <x:v>ret_1daypost_pct</x:v>
      </x:c>
      <x:c r="F4" t="str">
        <x:f>IF(D4&gt;0.1,"UP",IF(D4&lt;-0.1,"DOWN","FLAT"))</x:f>
        <x:v>UP</x:v>
      </x:c>
      <x:c r="G4" t="str">
        <x:v>UP</x:v>
      </x:c>
      <x:c r="H4" t="str">
        <x:f>IF(F4=G4,"PASS","FAIL")</x:f>
        <x:v>PASS</x:v>
      </x:c>
      <x:c r="I4" t="n">
        <x:v>3</x:v>
      </x:c>
      <x:c r="J4" t="n">
        <x:f>COUNTIFS('Source Audit'!$A:$A,A4,'Source Audit'!$P:$P,"PASS")</x:f>
        <x:v>3</x:v>
      </x:c>
      <x:c r="K4" t="str">
        <x:f>IF(AND(H4="PASS",J4=I4),"PASS","FAIL")</x:f>
        <x:v>PASS</x:v>
      </x:c>
    </x:row>
    <x:row r="5">
      <x:c r="A5" t="str">
        <x:v>2017-01-26</x:v>
      </x:c>
      <x:c r="B5" t="str">
        <x:v>GOOGL</x:v>
      </x:c>
      <x:c r="C5" s="20" t="n">
        <x:v>-0.06</x:v>
      </x:c>
      <x:c r="D5" s="20" t="n">
        <x:v>-1.23</x:v>
      </x:c>
      <x:c r="E5" t="str">
        <x:v>ret_1daypost_pct</x:v>
      </x:c>
      <x:c r="F5" t="str">
        <x:f>IF(D5&gt;0.1,"UP",IF(D5&lt;-0.1,"DOWN","FLAT"))</x:f>
        <x:v>DOWN</x:v>
      </x:c>
      <x:c r="G5" t="str">
        <x:v>DOWN</x:v>
      </x:c>
      <x:c r="H5" t="str">
        <x:f>IF(F5=G5,"PASS","FAIL")</x:f>
        <x:v>PASS</x:v>
      </x:c>
      <x:c r="I5" t="n">
        <x:v>3</x:v>
      </x:c>
      <x:c r="J5" t="n">
        <x:f>COUNTIFS('Source Audit'!$A:$A,A5,'Source Audit'!$P:$P,"PASS")</x:f>
        <x:v>3</x:v>
      </x:c>
      <x:c r="K5" t="str">
        <x:f>IF(AND(H5="PASS",J5=I5),"PASS","FAIL")</x:f>
        <x:v>PASS</x:v>
      </x:c>
    </x:row>
    <x:row r="6">
      <x:c r="A6" t="str">
        <x:v>2017-04-27</x:v>
      </x:c>
      <x:c r="B6" t="str">
        <x:v>GOOGL</x:v>
      </x:c>
      <x:c r="C6" s="20" t="n">
        <x:v>0.26</x:v>
      </x:c>
      <x:c r="D6" s="20" t="n">
        <x:v>3.97</x:v>
      </x:c>
      <x:c r="E6" t="str">
        <x:v>ret_1daypost_pct</x:v>
      </x:c>
      <x:c r="F6" t="str">
        <x:f>IF(D6&gt;0.1,"UP",IF(D6&lt;-0.1,"DOWN","FLAT"))</x:f>
        <x:v>UP</x:v>
      </x:c>
      <x:c r="G6" t="str">
        <x:v>UP</x:v>
      </x:c>
      <x:c r="H6" t="str">
        <x:f>IF(F6=G6,"PASS","FAIL")</x:f>
        <x:v>PASS</x:v>
      </x:c>
      <x:c r="I6" t="n">
        <x:v>3</x:v>
      </x:c>
      <x:c r="J6" t="n">
        <x:f>COUNTIFS('Source Audit'!$A:$A,A6,'Source Audit'!$P:$P,"PASS")</x:f>
        <x:v>3</x:v>
      </x:c>
      <x:c r="K6" t="str">
        <x:f>IF(AND(H6="PASS",J6=I6),"PASS","FAIL")</x:f>
        <x:v>PASS</x:v>
      </x:c>
    </x:row>
    <x:row r="7">
      <x:c r="A7" t="str">
        <x:v>2017-07-24</x:v>
      </x:c>
      <x:c r="B7" t="str">
        <x:v>GOOGL</x:v>
      </x:c>
      <x:c r="C7" s="20" t="n">
        <x:v>0.46</x:v>
      </x:c>
      <x:c r="D7" s="20" t="n">
        <x:v>-3.28</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2017-10-26</x:v>
      </x:c>
      <x:c r="B8" t="str">
        <x:v>GOOGL</x:v>
      </x:c>
      <x:c r="C8" s="20" t="n">
        <x:v>-0.15</x:v>
      </x:c>
      <x:c r="D8" s="20" t="n">
        <x:v>3.5</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2018-02-01</x:v>
      </x:c>
      <x:c r="B9" t="str">
        <x:v>GOOGL</x:v>
      </x:c>
      <x:c r="C9" s="20" t="n">
        <x:v>-0.03</x:v>
      </x:c>
      <x:c r="D9" s="20" t="n">
        <x:v>-3.19</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2018-04-23</x:v>
      </x:c>
      <x:c r="B10" t="str">
        <x:v>GOOGL</x:v>
      </x:c>
      <x:c r="C10" s="20" t="n">
        <x:v>-0.28</x:v>
      </x:c>
      <x:c r="D10" s="20" t="n">
        <x:v>-3.63</x:v>
      </x:c>
      <x:c r="E10" t="str">
        <x:v>ret_1daypost_pct</x:v>
      </x:c>
      <x:c r="F10" t="str">
        <x:f>IF(D10&gt;0.1,"UP",IF(D10&lt;-0.1,"DOWN","FLAT"))</x:f>
        <x:v>DOWN</x:v>
      </x:c>
      <x:c r="G10" t="str">
        <x:v>DOWN</x:v>
      </x:c>
      <x:c r="H10" t="str">
        <x:f>IF(F10=G10,"PASS","FAIL")</x:f>
        <x:v>PASS</x:v>
      </x:c>
      <x:c r="I10" t="n">
        <x:v>3</x:v>
      </x:c>
      <x:c r="J10" t="n">
        <x:f>COUNTIFS('Source Audit'!$A:$A,A10,'Source Audit'!$P:$P,"PASS")</x:f>
        <x:v>3</x:v>
      </x:c>
      <x:c r="K10" t="str">
        <x:f>IF(AND(H10="PASS",J10=I10),"PASS","FAIL")</x:f>
        <x:v>PASS</x:v>
      </x:c>
    </x:row>
    <x:row r="11">
      <x:c r="A11" t="str">
        <x:v>2018-07-23</x:v>
      </x:c>
      <x:c r="B11" t="str">
        <x:v>GOOGL</x:v>
      </x:c>
      <x:c r="C11" s="20" t="n">
        <x:v>0.99</x:v>
      </x:c>
      <x:c r="D11" s="20" t="n">
        <x:v>3.7</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GOOGL rebuilt from scratch. GOOG will be skipped because it represents the same Alphabet earnings events.</x:v>
      </x:c>
    </x:row>
    <x:row r="3">
      <x:c r="A3" s="12" t="str">
        <x:v>Identity source</x:v>
      </x:c>
      <x:c r="B3" s="12" t="str">
        <x:v>Ticker/company, exact earnings dates and return fields come from group_observations.csv.</x:v>
      </x:c>
    </x:row>
    <x:row r="4">
      <x:c r="A4" s="12" t="str">
        <x:v>Reaction basis</x:v>
      </x:c>
      <x:c r="B4" s="12" t="str">
        <x:v>Alphabet reported these results after market close; ret_1daypost_pct is used for direction QA.</x:v>
      </x:c>
    </x:row>
    <x:row r="5">
      <x:c r="A5" s="12" t="str">
        <x:v>Narrative</x:v>
      </x:c>
      <x:c r="B5" s="12" t="str">
        <x:v>Short Prior Context, detailed Current Earnings Release, three concise Possible Drivers.</x:v>
      </x:c>
    </x:row>
    <x:row r="6">
      <x:c r="A6" s="12" t="str">
        <x:v>Sources</x:v>
      </x:c>
      <x:c r="B6" s="12" t="str">
        <x:v>SEC / Alphabet Investor Relations anchors factual results; each event includes a date-matched contemporaneous reaction source.</x:v>
      </x:c>
    </x:row>
    <x:row r="7">
      <x:c r="A7" s="12" t="str">
        <x:v>Timing</x:v>
      </x:c>
      <x:c r="B7" s="12" t="str">
        <x:v>Prior = -100..-1; release = 0; reaction = 0..+3.</x:v>
      </x:c>
    </x:row>
    <x:row r="8">
      <x:c r="A8" s="12" t="str">
        <x:v>Restrictions</x:v>
      </x:c>
      <x:c r="B8" s="12" t="str">
        <x:v>No WSJ, Reuters, Dow Jones or MarketWatch-syndicated article is included.</x:v>
      </x:c>
    </x:row>
    <x:row r="9">
      <x:c r="A9" s="12" t="str">
        <x:v>QA</x:v>
      </x:c>
      <x:c r="B9" s="12" t="str">
        <x:v>Event QA mechanically recomputes post-release direction and checks the exact number of PASS source-audit rows.</x:v>
      </x:c>
    </x:row>
  </x:sheetData>
  <x:pageMargins left="0.7" right="0.7" top="0.75" bottom="0.75" header="0.3" footer="0.3"/>
</x:worksheet>
</file>