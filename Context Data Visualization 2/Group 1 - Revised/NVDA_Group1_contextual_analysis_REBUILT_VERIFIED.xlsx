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db6bf7966c74cbb" /></Relationships>
</file>

<file path=xl/workbook.xml><?xml version="1.0" encoding="utf-8"?>
<x:workbook xmlns:x="http://schemas.openxmlformats.org/spreadsheetml/2006/main">
  <x:sheets>
    <x:sheet xmlns:r="http://schemas.openxmlformats.org/officeDocument/2006/relationships" name="NVDA" sheetId="1" r:id="Ra6ee640f48df44b2"/>
    <x:sheet xmlns:r="http://schemas.openxmlformats.org/officeDocument/2006/relationships" name="Source Audit" sheetId="2" r:id="R89097f48398a4461"/>
    <x:sheet xmlns:r="http://schemas.openxmlformats.org/officeDocument/2006/relationships" name="Event QA" sheetId="3" r:id="R8b43d3bf80e44253"/>
    <x:sheet xmlns:r="http://schemas.openxmlformats.org/officeDocument/2006/relationships" name="Methodology" sheetId="4" r:id="Rd6db2ee8492f4889"/>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2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200" fontId="0" fillId="0" borderId="0" xfId="0" applyNumberFormat="1" applyFont="1" applyFill="1" applyBorder="1"/>
    <x:xf numFmtId="200" fontId="0" fillId="0" borderId="1" xfId="0" applyNumberFormat="1" applyFont="1" applyFill="1" applyBorder="1"/>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eba7578f9d24d9f" /><Relationship Type="http://schemas.openxmlformats.org/officeDocument/2006/relationships/theme" Target="/xl/theme/theme1.xml" Id="Rcd295d3485b342a0" /><Relationship Type="http://schemas.openxmlformats.org/officeDocument/2006/relationships/sharedStrings" Target="/xl/sharedStrings.xml" Id="R0be2fb3a1faf4c96" /><Relationship Type="http://schemas.openxmlformats.org/officeDocument/2006/relationships/worksheet" Target="/xl/worksheets/sheet1.xml" Id="Ra6ee640f48df44b2" /><Relationship Type="http://schemas.openxmlformats.org/officeDocument/2006/relationships/worksheet" Target="/xl/worksheets/sheet2.xml" Id="R89097f48398a4461" /><Relationship Type="http://schemas.openxmlformats.org/officeDocument/2006/relationships/worksheet" Target="/xl/worksheets/sheet3.xml" Id="R8b43d3bf80e44253" /><Relationship Type="http://schemas.openxmlformats.org/officeDocument/2006/relationships/worksheet" Target="/xl/worksheets/sheet4.xml" Id="Rd6db2ee8492f488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7" hidden="0" customWidth="1"/>
    <x:col min="2" max="2" width="9" hidden="0" customWidth="1"/>
    <x:col min="3" max="3" width="18" hidden="0" customWidth="1"/>
    <x:col min="4" max="4" width="13" hidden="0" customWidth="1"/>
    <x:col min="5" max="5" width="13" hidden="0" customWidth="1"/>
    <x:col min="6" max="6" width="11" hidden="0" customWidth="1"/>
    <x:col min="7" max="7" width="14" hidden="0" customWidth="1"/>
    <x:col min="8" max="8" width="11" hidden="0" customWidth="1"/>
    <x:col min="9" max="9" width="11" hidden="0" customWidth="1"/>
    <x:col min="10" max="10" width="11" hidden="0" customWidth="1"/>
    <x:col min="11" max="11" width="20" hidden="0" customWidth="1"/>
    <x:col min="12" max="12" width="18" hidden="0" customWidth="1"/>
    <x:col min="13" max="13" width="96" hidden="0" customWidth="1"/>
    <x:col min="14" max="14" width="66" hidden="0" customWidth="1"/>
    <x:col min="15" max="15" width="66" hidden="0" customWidth="1"/>
    <x:col min="16" max="16" width="66" hidden="0" customWidth="1"/>
    <x:col min="17" max="17" width="80" hidden="0" customWidth="1"/>
    <x:col min="18" max="18" width="12" hidden="0" customWidth="1"/>
    <x:col min="19" max="19" width="12" hidden="0" customWidth="1"/>
  </x:cols>
  <x:sheetData>
    <x:row r="1">
      <x:c r="A1" s="14" t="str">
        <x:v>index</x:v>
      </x:c>
      <x:c r="B1" s="14" t="str">
        <x:v>ticker</x:v>
      </x:c>
      <x:c r="C1" s="14" t="str">
        <x:v>company_name</x:v>
      </x:c>
      <x:c r="D1" s="14" t="str">
        <x:v>fiscal_yearquarter</x:v>
      </x:c>
      <x:c r="E1" s="14" t="str">
        <x:v>earnings_date</x:v>
      </x:c>
      <x:c r="F1" s="14" t="str">
        <x:v>ret_1day_pct</x:v>
      </x:c>
      <x:c r="G1" s="14" t="str">
        <x:v>ret_1daypost_pct</x:v>
      </x:c>
      <x:c r="H1" s="14" t="str">
        <x:v>ret_2day_pct</x:v>
      </x:c>
      <x:c r="I1" s="14" t="str">
        <x:v>ret_3day_pct</x:v>
      </x:c>
      <x:c r="J1" s="14" t="str">
        <x:v>ret_5day_pct</x:v>
      </x:c>
      <x:c r="K1" s="14" t="str">
        <x:v>reaction_basis</x:v>
      </x:c>
      <x:c r="L1" s="14" t="str">
        <x:v>reaction_direction</x:v>
      </x:c>
      <x:c r="M1" s="14" t="str">
        <x:v>contextual_analysis_full</x:v>
      </x:c>
      <x:c r="N1" s="14" t="str">
        <x:v>prior_context_sources</x:v>
      </x:c>
      <x:c r="O1" s="14" t="str">
        <x:v>release_sources</x:v>
      </x:c>
      <x:c r="P1" s="14" t="str">
        <x:v>reaction_sources</x:v>
      </x:c>
      <x:c r="Q1" s="14" t="str">
        <x:v>all_sources</x:v>
      </x:c>
      <x:c r="R1" s="14" t="str">
        <x:v>source_count</x:v>
      </x:c>
      <x:c r="S1" s="14" t="str">
        <x:v>qa_status</x:v>
      </x:c>
    </x:row>
    <x:row r="2" ht="340" customHeight="1">
      <x:c r="A2" s="15" t="n">
        <x:v>0</x:v>
      </x:c>
      <x:c r="B2" s="15" t="str">
        <x:v>NVDA</x:v>
      </x:c>
      <x:c r="C2" s="15" t="str">
        <x:v>NVIDIA</x:v>
      </x:c>
      <x:c r="D2" s="15" t="str">
        <x:v>2016q2</x:v>
      </x:c>
      <x:c r="E2" s="15" t="str">
        <x:v>2016-05-12</x:v>
      </x:c>
      <x:c r="F2" s="18" t="n">
        <x:v>-1.28</x:v>
      </x:c>
      <x:c r="G2" s="18" t="n">
        <x:v>16.01</x:v>
      </x:c>
      <x:c r="H2" s="18" t="n">
        <x:v>14.52</x:v>
      </x:c>
      <x:c r="I2" s="18" t="n">
        <x:v>15.79</x:v>
      </x:c>
      <x:c r="J2" s="18" t="n">
        <x:v>19.29</x:v>
      </x:c>
      <x:c r="K2" s="15" t="str">
        <x:v>ret_1daypost_pct</x:v>
      </x:c>
      <x:c r="L2" s="15" t="str">
        <x:v>UP</x:v>
      </x:c>
      <x:c r="M2" s="15" t="str">
        <x:v>## Prior Context
NVIDIA entered fiscal 2017 with gaming still its core franchise, but investors were beginning to recognize data-center AI and automotive as potentially much larger long-run opportunities. The new Pascal architecture was also just beginning to roll out.
### Verified prior source
2016-02-17 | SEC / NVIDIA | NVIDIA Announces Financial Results for the Fourth Quarter and Fiscal 2016 | https://www.sec.gov/Archives/edgar/data/1045810/000104581016000189/form8-kq416.htm
## Current Earnings Release
NVIDIA reported **$1.31 billion of revenue**, up 14% year over year, and non-GAAP EPS of **$0.46**. Contemporary coverage put consensus near **$1.26 billion of revenue and $0.32 EPS**, so the quarter beat both lines by a wide margin. Gaming revenue grew 17%, automotive revenue rose nearly 47% and data-center demand accelerated as GPU computing gained adoption in deep learning.
The forward outlook confirmed that this was not merely a one-quarter beat. NVIDIA guided fiscal Q2 revenue to roughly **$1.35 billion**, above the prior-year period, while Pascal-based GeForce cards were beginning their commercial ramp. The report therefore introduced a broader growth story: gaming remained healthy, but AI/data center and autonomous driving were becoming material incremental drivers.
### Verified release source
2016-05-12 | SEC / NVIDIA | NVIDIA Announces Financial Results for First Quarter Fiscal 2017 | https://www.sec.gov/Archives/edgar/data/1045810/000104581016000243/form8-kq117.htm
## Possible Drivers
**First-order driver.** Shares surged because revenue and EPS beat expectations and guidance stayed strong.
**Second-order driver.** Data-center and automotive growth showed NVIDIA was expanding beyond gaming.
**Third-order driver.** The Pascal launch created a new product-cycle catalyst for gaming and compute.
### Verified reaction source
2016-05-13 | The Motley Fool | Why NVIDIA Corporation Jumped 13% Today | https://www.fool.com/investing/general/2016/05/13/why-nvidia-corporation-jumped-13-today.aspx
## Verification Status
All included pages were checked for NVIDIA/NVDA identity, the correct earnings event, publication date, timing window and source origin. SEC / NVIDIA Investor Relations is the factual anchor. No WSJ, Reuters, Dow Jones or MarketWatch-syndicated article is included.
</x:v>
      </x:c>
      <x:c r="N2" s="15" t="str">
        <x:v>2016-02-17 | SEC / NVIDIA | NVIDIA Announces Financial Results for the Fourth Quarter and Fiscal 2016 | https://www.sec.gov/Archives/edgar/data/1045810/000104581016000189/form8-kq416.htm</x:v>
      </x:c>
      <x:c r="O2" s="15" t="str">
        <x:v>2016-05-12 | SEC / NVIDIA | NVIDIA Announces Financial Results for First Quarter Fiscal 2017 | https://www.sec.gov/Archives/edgar/data/1045810/000104581016000243/form8-kq117.htm</x:v>
      </x:c>
      <x:c r="P2" s="15" t="str">
        <x:v>2016-05-13 | The Motley Fool | Why NVIDIA Corporation Jumped 13% Today | https://www.fool.com/investing/general/2016/05/13/why-nvidia-corporation-jumped-13-today.aspx</x:v>
      </x:c>
      <x:c r="Q2" s="15" t="str">
        <x:v>2016-02-17 | SEC / NVIDIA | NVIDIA Announces Financial Results for the Fourth Quarter and Fiscal 2016 | https://www.sec.gov/Archives/edgar/data/1045810/000104581016000189/form8-kq416.htm
2016-05-12 | SEC / NVIDIA | NVIDIA Announces Financial Results for First Quarter Fiscal 2017 | https://www.sec.gov/Archives/edgar/data/1045810/000104581016000243/form8-kq117.htm
2016-05-13 | The Motley Fool | Why NVIDIA Corporation Jumped 13% Today | https://www.fool.com/investing/general/2016/05/13/why-nvidia-corporation-jumped-13-today.aspx</x:v>
      </x:c>
      <x:c r="R2" s="15" t="n">
        <x:v>3</x:v>
      </x:c>
      <x:c r="S2" s="15" t="str">
        <x:v>PASS</x:v>
      </x:c>
    </x:row>
    <x:row r="3" ht="340" customHeight="1">
      <x:c r="A3" s="15" t="n">
        <x:v>1</x:v>
      </x:c>
      <x:c r="B3" s="15" t="str">
        <x:v>NVDA</x:v>
      </x:c>
      <x:c r="C3" s="15" t="str">
        <x:v>NVIDIA</x:v>
      </x:c>
      <x:c r="D3" s="15" t="str">
        <x:v>2016q3</x:v>
      </x:c>
      <x:c r="E3" s="15" t="str">
        <x:v>2016-08-11</x:v>
      </x:c>
      <x:c r="F3" s="18" t="n">
        <x:v>1.55</x:v>
      </x:c>
      <x:c r="G3" s="18" t="n">
        <x:v>5.64</x:v>
      </x:c>
      <x:c r="H3" s="18" t="n">
        <x:v>7.28</x:v>
      </x:c>
      <x:c r="I3" s="18" t="n">
        <x:v>6.87</x:v>
      </x:c>
      <x:c r="J3" s="18" t="n">
        <x:v>6.28</x:v>
      </x:c>
      <x:c r="K3" s="15" t="str">
        <x:v>ret_1daypost_pct</x:v>
      </x:c>
      <x:c r="L3" s="15" t="str">
        <x:v>UP</x:v>
      </x:c>
      <x:c r="M3" s="15" t="str">
        <x:v>## Prior Context
After the May beat, NVIDIA had already rerated sharply. Q2 needed to show that Pascal gaming demand and early deep-learning adoption could support a structurally higher revenue-growth rate.
### Verified prior source
2016-05-12 | SEC / NVIDIA | NVIDIA Announces Financial Results for First Quarter Fiscal 2017 | https://www.sec.gov/Archives/edgar/data/1045810/000104581016000243/form8-kq117.htm
## Current Earnings Release
Fiscal Q2 revenue reached **$1.43 billion**, up 24% year over year, while non-GAAP EPS was **$0.53**. Wall Street had expected roughly **$1.35 billion of revenue and $0.37 EPS**. The result was driven by strength across gaming, data center and automotive.
The standout was data center, where revenue rose about **110% year over year to $151 million**. NVIDIA then guided Q3 revenue to roughly **$1.68 billion ±2%**, far above consensus near $1.45 billion. This guidance implied a major acceleration rather than a normalization after the strong first half.
### Verified release source
2016-08-11 | SEC / NVIDIA | NVIDIA Announces Financial Results for Second Quarter Fiscal 2017 | https://www.sec.gov/Archives/edgar/data/1045810/000104581016000292/form8-kq2fy17.htm
## Possible Drivers
**First-order driver.** The stock rose on a clear beat and an unusually strong Q3 revenue guide.
**Second-order driver.** Data-center growth strengthened the deep-learning/AI thesis.
**Third-order driver.** Pascal gaming demand showed the core franchise was accelerating too.
### Verified reaction source
2016-08-12 | TheStreet | Nvidia Soars to an All-Time High on Positive Earnings | https://www.thestreet.com/investing/stocks/nvidia-gets-a-big-lift-from-ai-projects-microsoft-buys-a-game-streaming-firm-13673513
## Verification Status
All included pages were checked for NVIDIA/NVDA identity, the correct earnings event, publication date, timing window and source origin. SEC / NVIDIA Investor Relations is the factual anchor. No WSJ, Reuters, Dow Jones or MarketWatch-syndicated article is included.
</x:v>
      </x:c>
      <x:c r="N3" s="15" t="str">
        <x:v>2016-05-12 | SEC / NVIDIA | NVIDIA Announces Financial Results for First Quarter Fiscal 2017 | https://www.sec.gov/Archives/edgar/data/1045810/000104581016000243/form8-kq117.htm</x:v>
      </x:c>
      <x:c r="O3" s="15" t="str">
        <x:v>2016-08-11 | SEC / NVIDIA | NVIDIA Announces Financial Results for Second Quarter Fiscal 2017 | https://www.sec.gov/Archives/edgar/data/1045810/000104581016000292/form8-kq2fy17.htm</x:v>
      </x:c>
      <x:c r="P3" s="15" t="str">
        <x:v>2016-08-12 | TheStreet | Nvidia Soars to an All-Time High on Positive Earnings | https://www.thestreet.com/investing/stocks/nvidia-gets-a-big-lift-from-ai-projects-microsoft-buys-a-game-streaming-firm-13673513</x:v>
      </x:c>
      <x:c r="Q3" s="15" t="str">
        <x:v>2016-05-12 | SEC / NVIDIA | NVIDIA Announces Financial Results for First Quarter Fiscal 2017 | https://www.sec.gov/Archives/edgar/data/1045810/000104581016000243/form8-kq117.htm
2016-08-11 | SEC / NVIDIA | NVIDIA Announces Financial Results for Second Quarter Fiscal 2017 | https://www.sec.gov/Archives/edgar/data/1045810/000104581016000292/form8-kq2fy17.htm
2016-08-12 | TheStreet | Nvidia Soars to an All-Time High on Positive Earnings | https://www.thestreet.com/investing/stocks/nvidia-gets-a-big-lift-from-ai-projects-microsoft-buys-a-game-streaming-firm-13673513</x:v>
      </x:c>
      <x:c r="R3" s="15" t="n">
        <x:v>3</x:v>
      </x:c>
      <x:c r="S3" s="15" t="str">
        <x:v>PASS</x:v>
      </x:c>
    </x:row>
    <x:row r="4" ht="340" customHeight="1">
      <x:c r="A4" s="15" t="n">
        <x:v>2</x:v>
      </x:c>
      <x:c r="B4" s="15" t="str">
        <x:v>NVDA</x:v>
      </x:c>
      <x:c r="C4" s="15" t="str">
        <x:v>NVIDIA</x:v>
      </x:c>
      <x:c r="D4" s="15" t="str">
        <x:v>2016q4</x:v>
      </x:c>
      <x:c r="E4" s="15" t="str">
        <x:v>2016-11-10</x:v>
      </x:c>
      <x:c r="F4" s="18" t="n">
        <x:v>-3.33</x:v>
      </x:c>
      <x:c r="G4" s="18" t="n">
        <x:v>29.78</x:v>
      </x:c>
      <x:c r="H4" s="18" t="n">
        <x:v>25.46</x:v>
      </x:c>
      <x:c r="I4" s="18" t="n">
        <x:v>21.83</x:v>
      </x:c>
      <x:c r="J4" s="18" t="n">
        <x:v>18.16</x:v>
      </x:c>
      <x:c r="K4" s="15" t="str">
        <x:v>ret_1daypost_pct</x:v>
      </x:c>
      <x:c r="L4" s="15" t="str">
        <x:v>UP</x:v>
      </x:c>
      <x:c r="M4" s="15" t="str">
        <x:v>## Prior Context
By November, NVIDIA had become one of the market’s strongest momentum stocks. Expectations were already high, but Pascal gaming, deep learning and automotive were all accelerating simultaneously.
### Verified prior source
2016-08-11 | SEC / NVIDIA | NVIDIA Announces Financial Results for Second Quarter Fiscal 2017 | https://www.sec.gov/Archives/edgar/data/1045810/000104581016000292/form8-kq2fy17.htm
## Current Earnings Release
Fiscal Q3 revenue jumped **54% to $2.00 billion**. Non-GAAP EPS reached **$0.94**, more than double the prior year. Consensus had been only about **$1.69 billion of revenue and $0.57–$0.69 EPS**, depending on the measure cited, making this an exceptionally large surprise.
Growth was broad: gaming revenue increased **63% to $1.24 billion**, data-center revenue surged **193% to $240 million**, and automotive rose **61% to $127 million**. Gross margin also expanded. NVIDIA guided Q4 revenue to about **$2.1 billion**, again well above expectations.
### Verified release source
2016-11-10 | SEC / NVIDIA | NVIDIA Announces Financial Results for Third Quarter Fiscal 2017 | https://www.sec.gov/Archives/edgar/data/1045810/000104581016000343/form8-kq3fy17.htm
## Possible Drivers
**First-order driver.** The nearly 30% jump reflected an extraordinary revenue/EPS beat plus much stronger-than-expected guidance.
**Second-order driver.** Pascal gaming products were gaining share and driving the largest revenue contribution.
**Third-order driver.** Data-center AI growth nearly tripled, transforming NVIDIA’s perceived long-run addressable market.
### Verified reaction source
2016-11-11 | The Motley Fool | NVIDIA Stock Rockets Higher After Blockbuster Results | https://www.fool.com/investing/2016/11/11/nvidia-stock-rockets-higher-after-blockbuster-earn.aspx
## Verification Status
All included pages were checked for NVIDIA/NVDA identity, the correct earnings event, publication date, timing window and source origin. SEC / NVIDIA Investor Relations is the factual anchor. No WSJ, Reuters, Dow Jones or MarketWatch-syndicated article is included.
</x:v>
      </x:c>
      <x:c r="N4" s="15" t="str">
        <x:v>2016-08-11 | SEC / NVIDIA | NVIDIA Announces Financial Results for Second Quarter Fiscal 2017 | https://www.sec.gov/Archives/edgar/data/1045810/000104581016000292/form8-kq2fy17.htm</x:v>
      </x:c>
      <x:c r="O4" s="15" t="str">
        <x:v>2016-11-10 | SEC / NVIDIA | NVIDIA Announces Financial Results for Third Quarter Fiscal 2017 | https://www.sec.gov/Archives/edgar/data/1045810/000104581016000343/form8-kq3fy17.htm</x:v>
      </x:c>
      <x:c r="P4" s="15" t="str">
        <x:v>2016-11-11 | The Motley Fool | NVIDIA Stock Rockets Higher After Blockbuster Results | https://www.fool.com/investing/2016/11/11/nvidia-stock-rockets-higher-after-blockbuster-earn.aspx</x:v>
      </x:c>
      <x:c r="Q4" s="15" t="str">
        <x:v>2016-08-11 | SEC / NVIDIA | NVIDIA Announces Financial Results for Second Quarter Fiscal 2017 | https://www.sec.gov/Archives/edgar/data/1045810/000104581016000292/form8-kq2fy17.htm
2016-11-10 | SEC / NVIDIA | NVIDIA Announces Financial Results for Third Quarter Fiscal 2017 | https://www.sec.gov/Archives/edgar/data/1045810/000104581016000343/form8-kq3fy17.htm
2016-11-11 | The Motley Fool | NVIDIA Stock Rockets Higher After Blockbuster Results | https://www.fool.com/investing/2016/11/11/nvidia-stock-rockets-higher-after-blockbuster-earn.aspx</x:v>
      </x:c>
      <x:c r="R4" s="15" t="n">
        <x:v>3</x:v>
      </x:c>
      <x:c r="S4" s="15" t="str">
        <x:v>PASS</x:v>
      </x:c>
    </x:row>
    <x:row r="5" ht="340" customHeight="1">
      <x:c r="A5" s="15" t="n">
        <x:v>3</x:v>
      </x:c>
      <x:c r="B5" s="15" t="str">
        <x:v>NVDA</x:v>
      </x:c>
      <x:c r="C5" s="15" t="str">
        <x:v>NVIDIA</x:v>
      </x:c>
      <x:c r="D5" s="15" t="str">
        <x:v>2017q1</x:v>
      </x:c>
      <x:c r="E5" s="15" t="str">
        <x:v>2017-02-09</x:v>
      </x:c>
      <x:c r="F5" s="18" t="n">
        <x:v>-2.53</x:v>
      </x:c>
      <x:c r="G5" s="18" t="n">
        <x:v>-2.78</x:v>
      </x:c>
      <x:c r="H5" s="18" t="n">
        <x:v>-5.24</x:v>
      </x:c>
      <x:c r="I5" s="18" t="n">
        <x:v>-5.77</x:v>
      </x:c>
      <x:c r="J5" s="18" t="n">
        <x:v>-10.57</x:v>
      </x:c>
      <x:c r="K5" s="15" t="str">
        <x:v>ret_1daypost_pct</x:v>
      </x:c>
      <x:c r="L5" s="15" t="str">
        <x:v>DOWN</x:v>
      </x:c>
      <x:c r="M5" s="15" t="str">
        <x:v>## Prior Context
The November blowout had pushed NVIDIA’s valuation and expectations to extreme levels: the stock had risen more than fourfold in roughly a year. The next report therefore had to be exceptional simply to justify the price.
### Verified prior source
2016-11-10 | SEC / NVIDIA | NVIDIA Announces Financial Results for Third Quarter Fiscal 2017 | https://www.sec.gov/Archives/edgar/data/1045810/000104581016000343/form8-kq3fy17.htm
## Current Earnings Release
Fiscal Q4 revenue was **$2.17 billion**, up 55%, while GAAP EPS was **$0.99** and non-GAAP EPS **$1.13**. Both revenue and earnings beat Wall Street forecasts. Gaming grew **66%**, data center rose **205% to $296 million**, and automotive remained strong. Management’s Q1 revenue outlook near **$1.90 billion** was also broadly in line to above consensus.
Operationally, the report was excellent. The problem was the expectations bar. After the prior quarter’s enormous surprise and the stock’s massive pre-earnings run, investors were looking for another blowout of similar magnitude. TheStreet specifically described the market response as muted because even very strong growth was already reflected in the valuation.
### Verified release source
2017-02-09 | SEC / NVIDIA | NVIDIA Announces Financial Results for Fourth Quarter and Fiscal 2017 | https://www.sec.gov/Archives/edgar/data/1045810/000104581017000016/0001045810-17-000016-index.html
## Possible Drivers
**First-order driver.** Shares fell because strong results were not strong enough relative to an extreme expectations bar.
**Second-order driver.** Data-center and gaming growth remained exceptional, so the decline was not an operating deterioration.
**Third-order driver.** A fourfold prior-year stock gain made valuation and positioning unusually important.
### Verified reaction source
2017-02-10 | TheStreet | If Nvidia Was Still Trading Below $100, Its Strong Earnings Would Have Sparked a Big Rally | https://www.thestreet.com/investing/stocks/if-nvidia-was-still-trading-below-100-its-strong-earnings-would-have-sparked-a-rally-13998065
## Verification Status
All included pages were checked for NVIDIA/NVDA identity, the correct earnings event, publication date, timing window and source origin. SEC / NVIDIA Investor Relations is the factual anchor. No WSJ, Reuters, Dow Jones or MarketWatch-syndicated article is included.
</x:v>
      </x:c>
      <x:c r="N5" s="15" t="str">
        <x:v>2016-11-10 | SEC / NVIDIA | NVIDIA Announces Financial Results for Third Quarter Fiscal 2017 | https://www.sec.gov/Archives/edgar/data/1045810/000104581016000343/form8-kq3fy17.htm</x:v>
      </x:c>
      <x:c r="O5" s="15" t="str">
        <x:v>2017-02-09 | SEC / NVIDIA | NVIDIA Announces Financial Results for Fourth Quarter and Fiscal 2017 | https://www.sec.gov/Archives/edgar/data/1045810/000104581017000016/0001045810-17-000016-index.html</x:v>
      </x:c>
      <x:c r="P5" s="15" t="str">
        <x:v>2017-02-10 | TheStreet | If Nvidia Was Still Trading Below $100, Its Strong Earnings Would Have Sparked a Big Rally | https://www.thestreet.com/investing/stocks/if-nvidia-was-still-trading-below-100-its-strong-earnings-would-have-sparked-a-rally-13998065</x:v>
      </x:c>
      <x:c r="Q5" s="15" t="str">
        <x:v>2016-11-10 | SEC / NVIDIA | NVIDIA Announces Financial Results for Third Quarter Fiscal 2017 | https://www.sec.gov/Archives/edgar/data/1045810/000104581016000343/form8-kq3fy17.htm
2017-02-09 | SEC / NVIDIA | NVIDIA Announces Financial Results for Fourth Quarter and Fiscal 2017 | https://www.sec.gov/Archives/edgar/data/1045810/000104581017000016/0001045810-17-000016-index.html
2017-02-10 | TheStreet | If Nvidia Was Still Trading Below $100, Its Strong Earnings Would Have Sparked a Big Rally | https://www.thestreet.com/investing/stocks/if-nvidia-was-still-trading-below-100-its-strong-earnings-would-have-sparked-a-rally-13998065</x:v>
      </x:c>
      <x:c r="R5" s="15" t="n">
        <x:v>3</x:v>
      </x:c>
      <x:c r="S5" s="15" t="str">
        <x:v>PASS</x:v>
      </x:c>
    </x:row>
    <x:row r="6" ht="340" customHeight="1">
      <x:c r="A6" s="15" t="n">
        <x:v>4</x:v>
      </x:c>
      <x:c r="B6" s="15" t="str">
        <x:v>NVDA</x:v>
      </x:c>
      <x:c r="C6" s="15" t="str">
        <x:v>NVIDIA</x:v>
      </x:c>
      <x:c r="D6" s="15" t="str">
        <x:v>2017q2</x:v>
      </x:c>
      <x:c r="E6" s="15" t="str">
        <x:v>2017-05-09</x:v>
      </x:c>
      <x:c r="F6" s="18" t="n">
        <x:v>0.26</x:v>
      </x:c>
      <x:c r="G6" s="18" t="n">
        <x:v>17.57</x:v>
      </x:c>
      <x:c r="H6" s="18" t="n">
        <x:v>17.88</x:v>
      </x:c>
      <x:c r="I6" s="18" t="n">
        <x:v>16.74</x:v>
      </x:c>
      <x:c r="J6" s="18" t="n">
        <x:v>23.6</x:v>
      </x:c>
      <x:c r="K6" s="15" t="str">
        <x:v>ret_1daypost_pct</x:v>
      </x:c>
      <x:c r="L6" s="15" t="str">
        <x:v>UP</x:v>
      </x:c>
      <x:c r="M6" s="15" t="str">
        <x:v>## Prior Context
Following the February pullback, NVIDIA still needed to prove that AI demand could sustain rapid growth after a seasonally strong holiday gaming quarter. Volta, the next data-center architecture, was also becoming central to the story.
### Verified prior source
2017-02-09 | SEC / NVIDIA | NVIDIA Announces Financial Results for Fourth Quarter and Fiscal 2017 | https://www.sec.gov/Archives/edgar/data/1045810/000104581017000016/0001045810-17-000016-index.html
## Current Earnings Release
Fiscal Q1 revenue reached **$1.94 billion**, up **48%**, and non-GAAP EPS was **$0.85**, up 85%. Analysts had expected about **$1.91 billion of revenue and $0.67 EPS**. Net income more than doubled year over year.
The quality of growth was broad. Data-center revenue nearly tripled as hyperscale cloud companies adopted GPU deep learning, while gaming remained strong despite the normal sequential post-holiday decline. NVIDIA also introduced the Volta architecture, positioning the company for another step-up in AI training performance.
### Verified release source
2017-05-09 | NVIDIA Investor Relations | NVIDIA Announces Financial Results for First Quarter Fiscal 2018 | https://investor.nvidia.com/news/press-release-details/2017/NVIDIA-Announces-Financial-Results-for-First-Quarter-Fiscal-2018/default.aspx
## Possible Drivers
**First-order driver.** Shares jumped because earnings materially exceeded expectations while revenue growth remained near 50%.
**Second-order driver.** Data-center AI demand proved the prior year’s acceleration was durable.
**Third-order driver.** Volta reinforced NVIDIA’s technology lead and future data-center growth expectations.
### Verified reaction source
2017-05-10 | The Motley Fool | Why NVIDIA Corp. Jumped Today | https://www.fool.com/investing/2017/05/10/why-nvidia-corp-jumped-today.aspx
## Verification Status
All included pages were checked for NVIDIA/NVDA identity, the correct earnings event, publication date, timing window and source origin. SEC / NVIDIA Investor Relations is the factual anchor. No WSJ, Reuters, Dow Jones or MarketWatch-syndicated article is included.
</x:v>
      </x:c>
      <x:c r="N6" s="15" t="str">
        <x:v>2017-02-09 | SEC / NVIDIA | NVIDIA Announces Financial Results for Fourth Quarter and Fiscal 2017 | https://www.sec.gov/Archives/edgar/data/1045810/000104581017000016/0001045810-17-000016-index.html</x:v>
      </x:c>
      <x:c r="O6" s="15" t="str">
        <x:v>2017-05-09 | NVIDIA Investor Relations | NVIDIA Announces Financial Results for First Quarter Fiscal 2018 | https://investor.nvidia.com/news/press-release-details/2017/NVIDIA-Announces-Financial-Results-for-First-Quarter-Fiscal-2018/default.aspx</x:v>
      </x:c>
      <x:c r="P6" s="15" t="str">
        <x:v>2017-05-10 | The Motley Fool | Why NVIDIA Corp. Jumped Today | https://www.fool.com/investing/2017/05/10/why-nvidia-corp-jumped-today.aspx</x:v>
      </x:c>
      <x:c r="Q6" s="15" t="str">
        <x:v>2017-02-09 | SEC / NVIDIA | NVIDIA Announces Financial Results for Fourth Quarter and Fiscal 2017 | https://www.sec.gov/Archives/edgar/data/1045810/000104581017000016/0001045810-17-000016-index.html
2017-05-09 | NVIDIA Investor Relations | NVIDIA Announces Financial Results for First Quarter Fiscal 2018 | https://investor.nvidia.com/news/press-release-details/2017/NVIDIA-Announces-Financial-Results-for-First-Quarter-Fiscal-2018/default.aspx
2017-05-10 | The Motley Fool | Why NVIDIA Corp. Jumped Today | https://www.fool.com/investing/2017/05/10/why-nvidia-corp-jumped-today.aspx</x:v>
      </x:c>
      <x:c r="R6" s="15" t="n">
        <x:v>3</x:v>
      </x:c>
      <x:c r="S6" s="15" t="str">
        <x:v>PASS</x:v>
      </x:c>
    </x:row>
    <x:row r="7" ht="340" customHeight="1">
      <x:c r="A7" s="15" t="n">
        <x:v>5</x:v>
      </x:c>
      <x:c r="B7" s="15" t="str">
        <x:v>NVDA</x:v>
      </x:c>
      <x:c r="C7" s="15" t="str">
        <x:v>NVIDIA</x:v>
      </x:c>
      <x:c r="D7" s="15" t="str">
        <x:v>2017q3</x:v>
      </x:c>
      <x:c r="E7" s="15" t="str">
        <x:v>2017-08-10</x:v>
      </x:c>
      <x:c r="F7" s="18" t="n">
        <x:v>-2.84</x:v>
      </x:c>
      <x:c r="G7" s="18" t="n">
        <x:v>-5.48</x:v>
      </x:c>
      <x:c r="H7" s="18" t="n">
        <x:v>-8.17</x:v>
      </x:c>
      <x:c r="I7" s="18" t="n">
        <x:v>-7.06</x:v>
      </x:c>
      <x:c r="J7" s="18" t="n">
        <x:v>-1.25</x:v>
      </x:c>
      <x:c r="K7" s="15" t="str">
        <x:v>ret_1daypost_pct</x:v>
      </x:c>
      <x:c r="L7" s="15" t="str">
        <x:v>DOWN</x:v>
      </x:c>
      <x:c r="M7" s="15" t="str">
        <x:v>## Prior Context
NVIDIA had risen dramatically after May and expectations were again extremely high. Investors were especially focused on whether data-center revenue would accelerate sequentially as Volta began shipping.
### Verified prior source
2017-05-09 | NVIDIA Investor Relations | NVIDIA Announces Financial Results for First Quarter Fiscal 2018 | https://investor.nvidia.com/news/press-release-details/2017/NVIDIA-Announces-Financial-Results-for-First-Quarter-Fiscal-2018/default.aspx
## Current Earnings Release
Fiscal Q2 revenue was a record **$2.23 billion**, up **56%**, and non-GAAP EPS was **$1.01**, up 91%. Consensus was only around **$1.96 billion and $0.70 EPS**. NVIDIA also guided Q3 revenue to about **$2.35 billion**, above consensus.
Despite those numbers, data-center revenue of **$416 million** increased only about **2% sequentially**, because some customers appeared to delay purchases ahead of the Volta ramp. Cryptocurrency demand also added an unusual boost to GPU sales, while non-GAAP operating expenses grew 19%. With the stock already priced for extraordinary upside, merely crushing consensus was not sufficient.
### Verified release source
2017-08-10 | NVIDIA Investor Relations | NVIDIA Announces Financial Results for Second Quarter Fiscal 2018 | https://investor.nvidia.com/news/press-release-details/2017/NVIDIA-Announces-Financial-Results-for-Second-Quarter-Fiscal-2018/default.aspx
## Possible Drivers
**First-order driver.** Shares fell because the report did not clear NVIDIA’s exceptionally high buy-side expectations.
**Second-order driver.** Data-center revenue barely grew sequentially, creating concern about near-term AI momentum.
**Third-order driver.** Crypto-related demand and higher expenses made some of the headline growth look less durable.
### Verified reaction source
2017-08-11 | The Motley Fool | Why NVIDIA, Dillard's, and Fossil Group Slumped Today | https://www.fool.com/investing/2017/08/11/why-nvidia-dillards-and-fossil-group-slumped-today.aspx
## Verification Status
All included pages were checked for NVIDIA/NVDA identity, the correct earnings event, publication date, timing window and source origin. SEC / NVIDIA Investor Relations is the factual anchor. No WSJ, Reuters, Dow Jones or MarketWatch-syndicated article is included.
</x:v>
      </x:c>
      <x:c r="N7" s="15" t="str">
        <x:v>2017-05-09 | NVIDIA Investor Relations | NVIDIA Announces Financial Results for First Quarter Fiscal 2018 | https://investor.nvidia.com/news/press-release-details/2017/NVIDIA-Announces-Financial-Results-for-First-Quarter-Fiscal-2018/default.aspx</x:v>
      </x:c>
      <x:c r="O7" s="15" t="str">
        <x:v>2017-08-10 | NVIDIA Investor Relations | NVIDIA Announces Financial Results for Second Quarter Fiscal 2018 | https://investor.nvidia.com/news/press-release-details/2017/NVIDIA-Announces-Financial-Results-for-Second-Quarter-Fiscal-2018/default.aspx</x:v>
      </x:c>
      <x:c r="P7" s="15" t="str">
        <x:v>2017-08-11 | The Motley Fool | Why NVIDIA, Dillard's, and Fossil Group Slumped Today | https://www.fool.com/investing/2017/08/11/why-nvidia-dillards-and-fossil-group-slumped-today.aspx</x:v>
      </x:c>
      <x:c r="Q7" s="15" t="str">
        <x:v>2017-05-09 | NVIDIA Investor Relations | NVIDIA Announces Financial Results for First Quarter Fiscal 2018 | https://investor.nvidia.com/news/press-release-details/2017/NVIDIA-Announces-Financial-Results-for-First-Quarter-Fiscal-2018/default.aspx
2017-08-10 | NVIDIA Investor Relations | NVIDIA Announces Financial Results for Second Quarter Fiscal 2018 | https://investor.nvidia.com/news/press-release-details/2017/NVIDIA-Announces-Financial-Results-for-Second-Quarter-Fiscal-2018/default.aspx
2017-08-11 | The Motley Fool | Why NVIDIA, Dillard's, and Fossil Group Slumped Today | https://www.fool.com/investing/2017/08/11/why-nvidia-dillards-and-fossil-group-slumped-today.aspx</x:v>
      </x:c>
      <x:c r="R7" s="15" t="n">
        <x:v>3</x:v>
      </x:c>
      <x:c r="S7" s="15" t="str">
        <x:v>PASS</x:v>
      </x:c>
    </x:row>
    <x:row r="8" ht="340" customHeight="1">
      <x:c r="A8" s="15" t="n">
        <x:v>6</x:v>
      </x:c>
      <x:c r="B8" s="15" t="str">
        <x:v>NVDA</x:v>
      </x:c>
      <x:c r="C8" s="15" t="str">
        <x:v>NVIDIA</x:v>
      </x:c>
      <x:c r="D8" s="15" t="str">
        <x:v>2017q4</x:v>
      </x:c>
      <x:c r="E8" s="15" t="str">
        <x:v>2017-11-09</x:v>
      </x:c>
      <x:c r="F8" s="18" t="n">
        <x:v>-1.48</x:v>
      </x:c>
      <x:c r="G8" s="18" t="n">
        <x:v>5.3</x:v>
      </x:c>
      <x:c r="H8" s="18" t="n">
        <x:v>3.74</x:v>
      </x:c>
      <x:c r="I8" s="18" t="n">
        <x:v>2.2</x:v>
      </x:c>
      <x:c r="J8" s="18" t="n">
        <x:v>1.51</x:v>
      </x:c>
      <x:c r="K8" s="15" t="str">
        <x:v>ret_1daypost_pct</x:v>
      </x:c>
      <x:c r="L8" s="15" t="str">
        <x:v>UP</x:v>
      </x:c>
      <x:c r="M8" s="15" t="str">
        <x:v>## Prior Context
After the August disappointment, the market wanted confirmation that Volta shipments would restart data-center acceleration and that gaming could remain strong after the cryptocurrency-driven summer.
### Verified prior source
2017-08-10 | NVIDIA Investor Relations | NVIDIA Announces Financial Results for Second Quarter Fiscal 2018 | https://investor.nvidia.com/news/press-release-details/2017/NVIDIA-Announces-Financial-Results-for-Second-Quarter-Fiscal-2018/default.aspx
## Current Earnings Release
Fiscal Q3 revenue rose **32% to $2.64 billion** and adjusted EPS increased **41% to $1.33**, both far above consensus near **$2.36 billion and $0.94 EPS**. Gaming revenue grew **25% to $1.56 billion**, while data center surged **109% to $501 million**.
The data-center acceleration was especially important: Volta shipments were ramping to cloud and hyperscale customers including major internet platforms. Cryptocurrency-specific OEM revenue fell from the prior quarter, yet the company still produced a large beat. NVIDIA also guided Q4 revenue near **$2.65 billion**, above the pre-report consensus.
### Verified release source
2017-11-09 | SEC / NVIDIA | NVIDIA Announces Financial Results for Third Quarter Fiscal 2018 | https://www.sec.gov/Archives/edgar/data/1045810/000104581017000164/0001045810-17-000164-index.html
## Possible Drivers
**First-order driver.** Shares rose because revenue and EPS crushed estimates and data-center growth reaccelerated.
**Second-order driver.** Volta adoption validated the AI-compute growth thesis.
**Third-order driver.** Strong results despite lower crypto revenue improved the perceived quality of growth.
### Verified reaction source
2017-11-10 | The Motley Fool | NVIDIA Earnings: 4 Key Takeaways From the Strong Artificial Intelligence-Fueled Results | https://www.fool.com/investing/2017/11/10/nvidia-earnings-4-key-takeaways-from-the-strong-ar.aspx
## Verification Status
All included pages were checked for NVIDIA/NVDA identity, the correct earnings event, publication date, timing window and source origin. SEC / NVIDIA Investor Relations is the factual anchor. No WSJ, Reuters, Dow Jones or MarketWatch-syndicated article is included.
</x:v>
      </x:c>
      <x:c r="N8" s="15" t="str">
        <x:v>2017-08-10 | NVIDIA Investor Relations | NVIDIA Announces Financial Results for Second Quarter Fiscal 2018 | https://investor.nvidia.com/news/press-release-details/2017/NVIDIA-Announces-Financial-Results-for-Second-Quarter-Fiscal-2018/default.aspx</x:v>
      </x:c>
      <x:c r="O8" s="15" t="str">
        <x:v>2017-11-09 | SEC / NVIDIA | NVIDIA Announces Financial Results for Third Quarter Fiscal 2018 | https://www.sec.gov/Archives/edgar/data/1045810/000104581017000164/0001045810-17-000164-index.html</x:v>
      </x:c>
      <x:c r="P8" s="15" t="str">
        <x:v>2017-11-10 | The Motley Fool | NVIDIA Earnings: 4 Key Takeaways From the Strong Artificial Intelligence-Fueled Results | https://www.fool.com/investing/2017/11/10/nvidia-earnings-4-key-takeaways-from-the-strong-ar.aspx</x:v>
      </x:c>
      <x:c r="Q8" s="15" t="str">
        <x:v>2017-08-10 | NVIDIA Investor Relations | NVIDIA Announces Financial Results for Second Quarter Fiscal 2018 | https://investor.nvidia.com/news/press-release-details/2017/NVIDIA-Announces-Financial-Results-for-Second-Quarter-Fiscal-2018/default.aspx
2017-11-09 | SEC / NVIDIA | NVIDIA Announces Financial Results for Third Quarter Fiscal 2018 | https://www.sec.gov/Archives/edgar/data/1045810/000104581017000164/0001045810-17-000164-index.html
2017-11-10 | The Motley Fool | NVIDIA Earnings: 4 Key Takeaways From the Strong Artificial Intelligence-Fueled Results | https://www.fool.com/investing/2017/11/10/nvidia-earnings-4-key-takeaways-from-the-strong-ar.aspx</x:v>
      </x:c>
      <x:c r="R8" s="15" t="n">
        <x:v>3</x:v>
      </x:c>
      <x:c r="S8" s="15" t="str">
        <x:v>PASS</x:v>
      </x:c>
    </x:row>
    <x:row r="9" ht="340" customHeight="1">
      <x:c r="A9" s="15" t="n">
        <x:v>7</x:v>
      </x:c>
      <x:c r="B9" s="15" t="str">
        <x:v>NVDA</x:v>
      </x:c>
      <x:c r="C9" s="15" t="str">
        <x:v>NVIDIA</x:v>
      </x:c>
      <x:c r="D9" s="15" t="str">
        <x:v>2018q1</x:v>
      </x:c>
      <x:c r="E9" s="15" t="str">
        <x:v>2018-02-08</x:v>
      </x:c>
      <x:c r="F9" s="18" t="n">
        <x:v>-1.46</x:v>
      </x:c>
      <x:c r="G9" s="18" t="n">
        <x:v>5.47</x:v>
      </x:c>
      <x:c r="H9" s="18" t="n">
        <x:v>3.93</x:v>
      </x:c>
      <x:c r="I9" s="18" t="n">
        <x:v>5.84</x:v>
      </x:c>
      <x:c r="J9" s="18" t="n">
        <x:v>4.37</x:v>
      </x:c>
      <x:c r="K9" s="15" t="str">
        <x:v>ret_1daypost_pct</x:v>
      </x:c>
      <x:c r="L9" s="15" t="str">
        <x:v>UP</x:v>
      </x:c>
      <x:c r="M9" s="15" t="str">
        <x:v>## Prior Context
NVIDIA entered the holiday quarter with gaming, AI/data center and Nintendo Switch all performing strongly. Cryptocurrency mining had also become a visible but difficult-to-measure source of GPU demand.
### Verified prior source
2017-11-09 | SEC / NVIDIA | NVIDIA Announces Financial Results for Third Quarter Fiscal 2018 | https://www.sec.gov/Archives/edgar/data/1045810/000104581017000164/0001045810-17-000164-index.html
## Current Earnings Release
Fiscal Q4 revenue reached **$2.91 billion**, up **34%**, while non-GAAP EPS was **$1.72–$1.78** depending on the adjustment basis cited in contemporaneous coverage, far above consensus around **$1.17**. Gaming revenue reached roughly **$1.74 billion** and data-center revenue more than doubled to **$606 million**.
Management acknowledged that cryptocurrency-related demand had **exceeded expectations** and represented a larger share of revenue than in the prior quarter, although precise end-user demand was difficult to identify. The core businesses were still strong enough that the market treated crypto as an incremental tailwind rather than the main earnings engine.
### Verified release source
2018-02-08 | SEC / NVIDIA | NVIDIA Announces Financial Results for Fourth Quarter and Fiscal 2018 | https://www.sec.gov/Archives/edgar/data/1045810/000104581018000004/0001045810-18-000004-index.html
## Possible Drivers
**First-order driver.** The stock rose because earnings and revenue beat expectations by a wide margin.
**Second-order driver.** Data-center revenue more than doubled, reinforcing the AI thesis.
**Third-order driver.** Crypto demand added upside, but also introduced a new source of revenue volatility.
### Verified reaction source
2018-02-08 | TechCrunch | Nvidia up 10% after Q4 earnings beat, says cryptocurrency demand 'exceeded expectations' | https://techcrunch.com/2018/02/08/nvidia-up-10-after-q4-earnings-beat-says-cryptocurrency-demand-exceeded-expectations/
## Verification Status
All included pages were checked for NVIDIA/NVDA identity, the correct earnings event, publication date, timing window and source origin. SEC / NVIDIA Investor Relations is the factual anchor. No WSJ, Reuters, Dow Jones or MarketWatch-syndicated article is included.
</x:v>
      </x:c>
      <x:c r="N9" s="15" t="str">
        <x:v>2017-11-09 | SEC / NVIDIA | NVIDIA Announces Financial Results for Third Quarter Fiscal 2018 | https://www.sec.gov/Archives/edgar/data/1045810/000104581017000164/0001045810-17-000164-index.html</x:v>
      </x:c>
      <x:c r="O9" s="15" t="str">
        <x:v>2018-02-08 | SEC / NVIDIA | NVIDIA Announces Financial Results for Fourth Quarter and Fiscal 2018 | https://www.sec.gov/Archives/edgar/data/1045810/000104581018000004/0001045810-18-000004-index.html</x:v>
      </x:c>
      <x:c r="P9" s="15" t="str">
        <x:v>2018-02-08 | TechCrunch | Nvidia up 10% after Q4 earnings beat, says cryptocurrency demand 'exceeded expectations' | https://techcrunch.com/2018/02/08/nvidia-up-10-after-q4-earnings-beat-says-cryptocurrency-demand-exceeded-expectations/</x:v>
      </x:c>
      <x:c r="Q9" s="15" t="str">
        <x:v>2017-11-09 | SEC / NVIDIA | NVIDIA Announces Financial Results for Third Quarter Fiscal 2018 | https://www.sec.gov/Archives/edgar/data/1045810/000104581017000164/0001045810-17-000164-index.html
2018-02-08 | SEC / NVIDIA | NVIDIA Announces Financial Results for Fourth Quarter and Fiscal 2018 | https://www.sec.gov/Archives/edgar/data/1045810/000104581018000004/0001045810-18-000004-index.html
2018-02-08 | TechCrunch | Nvidia up 10% after Q4 earnings beat, says cryptocurrency demand 'exceeded expectations' | https://techcrunch.com/2018/02/08/nvidia-up-10-after-q4-earnings-beat-says-cryptocurrency-demand-exceeded-expectations/</x:v>
      </x:c>
      <x:c r="R9" s="15" t="n">
        <x:v>3</x:v>
      </x:c>
      <x:c r="S9" s="15" t="str">
        <x:v>PASS</x:v>
      </x:c>
    </x:row>
    <x:row r="10" ht="340" customHeight="1">
      <x:c r="A10" s="15" t="n">
        <x:v>8</x:v>
      </x:c>
      <x:c r="B10" s="15" t="str">
        <x:v>NVDA</x:v>
      </x:c>
      <x:c r="C10" s="15" t="str">
        <x:v>NVIDIA</x:v>
      </x:c>
      <x:c r="D10" s="15" t="str">
        <x:v>2018q2</x:v>
      </x:c>
      <x:c r="E10" s="15" t="str">
        <x:v>2018-05-10</x:v>
      </x:c>
      <x:c r="F10" s="18" t="n">
        <x:v>0.84</x:v>
      </x:c>
      <x:c r="G10" s="18" t="n">
        <x:v>-2.31</x:v>
      </x:c>
      <x:c r="H10" s="18" t="n">
        <x:v>-1.49</x:v>
      </x:c>
      <x:c r="I10" s="18" t="n">
        <x:v>-0.22</x:v>
      </x:c>
      <x:c r="J10" s="18" t="n">
        <x:v>-3.23</x:v>
      </x:c>
      <x:c r="K10" s="15" t="str">
        <x:v>ret_1daypost_pct</x:v>
      </x:c>
      <x:c r="L10" s="15" t="str">
        <x:v>DOWN</x:v>
      </x:c>
      <x:c r="M10" s="15" t="str">
        <x:v>## Prior Context
By May, NVIDIA’s share price was again near highs and cryptocurrency demand had become a major debate. Investors wanted to know how much of gaming growth came from sustainable gamers versus volatile miners.
### Verified prior source
2018-02-08 | SEC / NVIDIA | NVIDIA Announces Financial Results for Fourth Quarter and Fiscal 2018 | https://www.sec.gov/Archives/edgar/data/1045810/000104581018000004/0001045810-18-000004-index.html
## Current Earnings Release
Fiscal Q1 revenue surged **66% to $3.21 billion** and GAAP EPS reached **$1.98**, both far above consensus around **$2.89 billion and $1.46 EPS**. Gaming revenue rose 68%, data center 71%, and all five reported platforms beat consensus estimates.
The negative information came on the call. NVIDIA disclosed **$289 million of cryptocurrency-specific revenue**, around 9% of total sales, and forecast that this business would fall by roughly **two-thirds in Q2**. The company’s overall Q2 revenue guide was still above consensus, but investors became concerned that part of the prior upside had come from a temporary crypto boom.
### Verified release source
2018-05-10 | SEC / NVIDIA | NVIDIA Announces Financial Results for First Quarter Fiscal 2019 | https://www.sec.gov/Archives/edgar/data/1045810/000104581018000052/form8-kq1fy19.htm
## Possible Drivers
**First-order driver.** Shares fell because management forecast a sharp decline in cryptocurrency-related sales despite a large beat.
**Second-order driver.** Gaming and data-center fundamentals remained very strong, limiting the decline.
**Third-order driver.** The new crypto disclosure raised uncertainty about how much recent GPU demand was sustainable.
### Verified reaction source
2018-05-11 | TheStreet | Nvidia Slides In Spite of Beating Estimates: 7 Key Takeaways | https://www.thestreet.com/investing/nvidia-slides-in-spite-of-beating-estimate-7-key-takeaways-14586825
## Verification Status
All included pages were checked for NVIDIA/NVDA identity, the correct earnings event, publication date, timing window and source origin. SEC / NVIDIA Investor Relations is the factual anchor. No WSJ, Reuters, Dow Jones or MarketWatch-syndicated article is included.
</x:v>
      </x:c>
      <x:c r="N10" s="15" t="str">
        <x:v>2018-02-08 | SEC / NVIDIA | NVIDIA Announces Financial Results for Fourth Quarter and Fiscal 2018 | https://www.sec.gov/Archives/edgar/data/1045810/000104581018000004/0001045810-18-000004-index.html</x:v>
      </x:c>
      <x:c r="O10" s="15" t="str">
        <x:v>2018-05-10 | SEC / NVIDIA | NVIDIA Announces Financial Results for First Quarter Fiscal 2019 | https://www.sec.gov/Archives/edgar/data/1045810/000104581018000052/form8-kq1fy19.htm</x:v>
      </x:c>
      <x:c r="P10" s="15" t="str">
        <x:v>2018-05-11 | TheStreet | Nvidia Slides In Spite of Beating Estimates: 7 Key Takeaways | https://www.thestreet.com/investing/nvidia-slides-in-spite-of-beating-estimate-7-key-takeaways-14586825</x:v>
      </x:c>
      <x:c r="Q10" s="15" t="str">
        <x:v>2018-02-08 | SEC / NVIDIA | NVIDIA Announces Financial Results for Fourth Quarter and Fiscal 2018 | https://www.sec.gov/Archives/edgar/data/1045810/000104581018000004/0001045810-18-000004-index.html
2018-05-10 | SEC / NVIDIA | NVIDIA Announces Financial Results for First Quarter Fiscal 2019 | https://www.sec.gov/Archives/edgar/data/1045810/000104581018000052/form8-kq1fy19.htm
2018-05-11 | TheStreet | Nvidia Slides In Spite of Beating Estimates: 7 Key Takeaways | https://www.thestreet.com/investing/nvidia-slides-in-spite-of-beating-estimate-7-key-takeaways-14586825</x:v>
      </x:c>
      <x:c r="R10" s="15" t="n">
        <x:v>3</x:v>
      </x:c>
      <x:c r="S10" s="15" t="str">
        <x:v>PASS</x:v>
      </x:c>
    </x:row>
    <x:row r="11" ht="340" customHeight="1">
      <x:c r="A11" s="15" t="n">
        <x:v>9</x:v>
      </x:c>
      <x:c r="B11" s="15" t="str">
        <x:v>NVDA</x:v>
      </x:c>
      <x:c r="C11" s="15" t="str">
        <x:v>NVIDIA</x:v>
      </x:c>
      <x:c r="D11" s="15" t="str">
        <x:v>2018q3</x:v>
      </x:c>
      <x:c r="E11" s="15" t="str">
        <x:v>2018-08-16</x:v>
      </x:c>
      <x:c r="F11" s="18" t="n">
        <x:v>-1.43</x:v>
      </x:c>
      <x:c r="G11" s="18" t="n">
        <x:v>-5.29</x:v>
      </x:c>
      <x:c r="H11" s="18" t="n">
        <x:v>-6.65</x:v>
      </x:c>
      <x:c r="I11" s="18" t="n">
        <x:v>-6.64</x:v>
      </x:c>
      <x:c r="J11" s="18" t="n">
        <x:v>-3.96</x:v>
      </x:c>
      <x:c r="K11" s="15" t="str">
        <x:v>ret_1daypost_pct</x:v>
      </x:c>
      <x:c r="L11" s="15" t="str">
        <x:v>DOWN</x:v>
      </x:c>
      <x:c r="M11" s="15" t="str">
        <x:v>## Prior Context
After May, the market already expected cryptocurrency demand to fall sharply. The key question was whether gaming and data center could fully absorb that collapse without slowing NVIDIA’s overall growth.
### Verified prior source
2018-05-10 | SEC / NVIDIA | NVIDIA Announces Financial Results for First Quarter Fiscal 2019 | https://www.sec.gov/Archives/edgar/data/1045810/000104581018000052/form8-kq1fy19.htm
## Current Earnings Release
Fiscal Q2 revenue increased **40% to $3.12 billion** and non-GAAP EPS rose **92% to $1.94**, both slightly above consensus. Gaming revenue grew **52% to $1.82 billion** and data-center revenue jumped **83% to $760 million**.
Crypto-specific product revenue, however, collapsed to only **$18 million**, versus management’s prior expectation of roughly $100 million. NVIDIA then guided Q3 revenue to **$3.25 billion ±2%**, below Wall Street expectations around $3.3–$3.34 billion, and forecast a lower gross margin as the unusually profitable mining business disappeared.
### Verified release source
2018-08-16 | SEC / NVIDIA | NVIDIA Announces Financial Results for Second Quarter Fiscal 2019 | https://www.sec.gov/Archives/edgar/data/1045810/000104581018000113/q2fy19pr.htm
## Possible Drivers
**First-order driver.** Shares fell because Q3 revenue guidance was below expectations as crypto demand collapsed faster than forecast.
**Second-order driver.** Gaming and data-center growth remained strong, so the weakness was concentrated in the crypto-related transition.
**Third-order driver.** Lower expected gross margin showed that crypto had contributed disproportionately to recent profitability.
### Verified reaction source
2018-08-17 | The Motley Fool | NVIDIA Earnings Soar 91%, but Cryptocurrency Bust Spooks the Market | https://www.fool.com/investing/2018/08/17/nvidia-earnings-soar-91-but-cryptocurrency-bust-sp.aspx
## Verification Status
All included pages were checked for NVIDIA/NVDA identity, the correct earnings event, publication date, timing window and source origin. SEC / NVIDIA Investor Relations is the factual anchor. No WSJ, Reuters, Dow Jones or MarketWatch-syndicated article is included.
</x:v>
      </x:c>
      <x:c r="N11" s="15" t="str">
        <x:v>2018-05-10 | SEC / NVIDIA | NVIDIA Announces Financial Results for First Quarter Fiscal 2019 | https://www.sec.gov/Archives/edgar/data/1045810/000104581018000052/form8-kq1fy19.htm</x:v>
      </x:c>
      <x:c r="O11" s="15" t="str">
        <x:v>2018-08-16 | SEC / NVIDIA | NVIDIA Announces Financial Results for Second Quarter Fiscal 2019 | https://www.sec.gov/Archives/edgar/data/1045810/000104581018000113/q2fy19pr.htm</x:v>
      </x:c>
      <x:c r="P11" s="15" t="str">
        <x:v>2018-08-17 | The Motley Fool | NVIDIA Earnings Soar 91%, but Cryptocurrency Bust Spooks the Market | https://www.fool.com/investing/2018/08/17/nvidia-earnings-soar-91-but-cryptocurrency-bust-sp.aspx</x:v>
      </x:c>
      <x:c r="Q11" s="15" t="str">
        <x:v>2018-05-10 | SEC / NVIDIA | NVIDIA Announces Financial Results for First Quarter Fiscal 2019 | https://www.sec.gov/Archives/edgar/data/1045810/000104581018000052/form8-kq1fy19.htm
2018-08-16 | SEC / NVIDIA | NVIDIA Announces Financial Results for Second Quarter Fiscal 2019 | https://www.sec.gov/Archives/edgar/data/1045810/000104581018000113/q2fy19pr.htm
2018-08-17 | The Motley Fool | NVIDIA Earnings Soar 91%, but Cryptocurrency Bust Spooks the Market | https://www.fool.com/investing/2018/08/17/nvidia-earnings-soar-91-but-cryptocurrency-bust-sp.aspx</x:v>
      </x:c>
      <x:c r="R11" s="15" t="n">
        <x:v>3</x:v>
      </x:c>
      <x:c r="S11" s="15" t="str">
        <x:v>PASS</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9" hidden="0" customWidth="1"/>
    <x:col min="3" max="3" width="12" hidden="0" customWidth="1"/>
    <x:col min="4" max="4" width="14" hidden="0" customWidth="1"/>
    <x:col min="5" max="5" width="10" hidden="0" customWidth="1"/>
    <x:col min="6" max="6" width="25" hidden="0" customWidth="1"/>
    <x:col min="7" max="7" width="62" hidden="0" customWidth="1"/>
    <x:col min="8" max="8" width="92" hidden="0" customWidth="1"/>
    <x:col min="9" max="9" width="18" hidden="0" customWidth="1"/>
    <x:col min="10" max="10" width="14" hidden="0" customWidth="1"/>
    <x:col min="11" max="11" width="14" hidden="0" customWidth="1"/>
    <x:col min="12" max="12" width="14" hidden="0" customWidth="1"/>
    <x:col min="13" max="13" width="18" hidden="0" customWidth="1"/>
    <x:col min="14" max="14" width="18" hidden="0" customWidth="1"/>
    <x:col min="15" max="15" width="28" hidden="0" customWidth="1"/>
    <x:col min="16" max="16" width="14" hidden="0" customWidth="1"/>
    <x:col min="17" max="17" width="76" hidden="0" customWidth="1"/>
  </x:cols>
  <x:sheetData>
    <x:row r="1">
      <x:c r="A1" s="6" t="str">
        <x:v>earnings_date</x:v>
      </x:c>
      <x:c r="B1" s="6" t="str">
        <x:v>ticker</x:v>
      </x:c>
      <x:c r="C1" s="6" t="str">
        <x:v>role</x:v>
      </x:c>
      <x:c r="D1" s="6" t="str">
        <x:v>source_date</x:v>
      </x:c>
      <x:c r="E1" s="6" t="str">
        <x:v>day_delta</x:v>
      </x:c>
      <x:c r="F1" s="6" t="str">
        <x:v>publisher</x:v>
      </x:c>
      <x:c r="G1" s="6" t="str">
        <x:v>title</x:v>
      </x:c>
      <x:c r="H1" s="6" t="str">
        <x:v>url</x:v>
      </x:c>
      <x:c r="I1" s="6" t="str">
        <x:v>url_status</x:v>
      </x:c>
      <x:c r="J1" s="6" t="str">
        <x:v>ticker_match</x:v>
      </x:c>
      <x:c r="K1" s="6" t="str">
        <x:v>event_match</x:v>
      </x:c>
      <x:c r="L1" s="6" t="str">
        <x:v>date_match</x:v>
      </x:c>
      <x:c r="M1" s="6" t="str">
        <x:v>prohibited_source</x:v>
      </x:c>
      <x:c r="N1" s="6" t="str">
        <x:v>claim_supported</x:v>
      </x:c>
      <x:c r="O1" s="6" t="str">
        <x:v>attribution_strength</x:v>
      </x:c>
      <x:c r="P1" s="6" t="str">
        <x:v>final_status</x:v>
      </x:c>
      <x:c r="Q1" s="6" t="str">
        <x:v>verification_note</x:v>
      </x:c>
    </x:row>
    <x:row r="2">
      <x:c r="A2" s="12" t="str">
        <x:v>2016-05-12</x:v>
      </x:c>
      <x:c r="B2" s="12" t="str">
        <x:v>NVDA</x:v>
      </x:c>
      <x:c r="C2" s="12" t="str">
        <x:v>prior</x:v>
      </x:c>
      <x:c r="D2" s="12" t="str">
        <x:v>2016-02-17</x:v>
      </x:c>
      <x:c r="E2" s="12" t="n">
        <x:v>-85</x:v>
      </x:c>
      <x:c r="F2" s="12" t="str">
        <x:v>SEC / NVIDIA</x:v>
      </x:c>
      <x:c r="G2" s="12" t="str">
        <x:v>NVIDIA Announces Financial Results for the Fourth Quarter and Fiscal 2016</x:v>
      </x:c>
      <x:c r="H2" s="12" t="str">
        <x:v>https://www.sec.gov/Archives/edgar/data/1045810/000104581016000189/form8-kq416.htm</x:v>
      </x:c>
      <x:c r="I2" s="12" t="str">
        <x:v>OPENED/VERIFIED</x:v>
      </x:c>
      <x:c r="J2" s="12" t="str">
        <x:v>PASS</x:v>
      </x:c>
      <x:c r="K2" s="12" t="str">
        <x:v>PASS</x:v>
      </x:c>
      <x:c r="L2" s="12" t="str">
        <x:v>PASS</x:v>
      </x:c>
      <x:c r="M2" s="12" t="str">
        <x:v>NO</x:v>
      </x:c>
      <x:c r="N2" s="12" t="str">
        <x:v>PASS</x:v>
      </x:c>
      <x:c r="O2" s="12" t="str">
        <x:v>FACTUAL</x:v>
      </x:c>
      <x:c r="P2" s="12" t="str">
        <x:v>PASS</x:v>
      </x:c>
      <x:c r="Q2" s="12" t="str">
        <x:v>Checked for NVIDIA/NVDA identity, exact earnings event, displayed publication date, timing window and prohibited-source origin.</x:v>
      </x:c>
    </x:row>
    <x:row r="3">
      <x:c r="A3" s="12" t="str">
        <x:v>2016-05-12</x:v>
      </x:c>
      <x:c r="B3" s="12" t="str">
        <x:v>NVDA</x:v>
      </x:c>
      <x:c r="C3" s="12" t="str">
        <x:v>release</x:v>
      </x:c>
      <x:c r="D3" s="12" t="str">
        <x:v>2016-05-12</x:v>
      </x:c>
      <x:c r="E3" s="12" t="n">
        <x:v>0</x:v>
      </x:c>
      <x:c r="F3" s="12" t="str">
        <x:v>SEC / NVIDIA</x:v>
      </x:c>
      <x:c r="G3" s="12" t="str">
        <x:v>NVIDIA Announces Financial Results for First Quarter Fiscal 2017</x:v>
      </x:c>
      <x:c r="H3" s="12" t="str">
        <x:v>https://www.sec.gov/Archives/edgar/data/1045810/000104581016000243/form8-kq117.htm</x:v>
      </x:c>
      <x:c r="I3" s="12" t="str">
        <x:v>OPENED/VERIFIED</x:v>
      </x:c>
      <x:c r="J3" s="12" t="str">
        <x:v>PASS</x:v>
      </x:c>
      <x:c r="K3" s="12" t="str">
        <x:v>PASS</x:v>
      </x:c>
      <x:c r="L3" s="12" t="str">
        <x:v>PASS</x:v>
      </x:c>
      <x:c r="M3" s="12" t="str">
        <x:v>NO</x:v>
      </x:c>
      <x:c r="N3" s="12" t="str">
        <x:v>PASS</x:v>
      </x:c>
      <x:c r="O3" s="12" t="str">
        <x:v>FACTUAL</x:v>
      </x:c>
      <x:c r="P3" s="12" t="str">
        <x:v>PASS</x:v>
      </x:c>
      <x:c r="Q3" s="12" t="str">
        <x:v>Checked for NVIDIA/NVDA identity, exact earnings event, displayed publication date, timing window and prohibited-source origin.</x:v>
      </x:c>
    </x:row>
    <x:row r="4">
      <x:c r="A4" s="12" t="str">
        <x:v>2016-05-12</x:v>
      </x:c>
      <x:c r="B4" s="12" t="str">
        <x:v>NVDA</x:v>
      </x:c>
      <x:c r="C4" s="12" t="str">
        <x:v>reaction</x:v>
      </x:c>
      <x:c r="D4" s="12" t="str">
        <x:v>2016-05-13</x:v>
      </x:c>
      <x:c r="E4" s="12" t="n">
        <x:v>1</x:v>
      </x:c>
      <x:c r="F4" s="12" t="str">
        <x:v>The Motley Fool</x:v>
      </x:c>
      <x:c r="G4" s="12" t="str">
        <x:v>Why NVIDIA Corporation Jumped 13% Today</x:v>
      </x:c>
      <x:c r="H4" s="12" t="str">
        <x:v>https://www.fool.com/investing/general/2016/05/13/why-nvidia-corporation-jumped-13-today.aspx</x:v>
      </x:c>
      <x:c r="I4" s="12" t="str">
        <x:v>OPENED/VERIFIED</x:v>
      </x:c>
      <x:c r="J4" s="12" t="str">
        <x:v>PASS</x:v>
      </x:c>
      <x:c r="K4" s="12" t="str">
        <x:v>PASS</x:v>
      </x:c>
      <x:c r="L4" s="12" t="str">
        <x:v>PASS</x:v>
      </x:c>
      <x:c r="M4" s="12" t="str">
        <x:v>NO</x:v>
      </x:c>
      <x:c r="N4" s="12" t="str">
        <x:v>PASS</x:v>
      </x:c>
      <x:c r="O4" s="12" t="str">
        <x:v>CONTEMPORANEOUS_ATTRIBUTION</x:v>
      </x:c>
      <x:c r="P4" s="12" t="str">
        <x:v>PASS</x:v>
      </x:c>
      <x:c r="Q4" s="12" t="str">
        <x:v>Checked for NVIDIA/NVDA identity, exact earnings event, displayed publication date, timing window and prohibited-source origin.</x:v>
      </x:c>
    </x:row>
    <x:row r="5">
      <x:c r="A5" s="12" t="str">
        <x:v>2016-08-11</x:v>
      </x:c>
      <x:c r="B5" s="12" t="str">
        <x:v>NVDA</x:v>
      </x:c>
      <x:c r="C5" s="12" t="str">
        <x:v>prior</x:v>
      </x:c>
      <x:c r="D5" s="12" t="str">
        <x:v>2016-05-12</x:v>
      </x:c>
      <x:c r="E5" s="12" t="n">
        <x:v>-91</x:v>
      </x:c>
      <x:c r="F5" s="12" t="str">
        <x:v>SEC / NVIDIA</x:v>
      </x:c>
      <x:c r="G5" s="12" t="str">
        <x:v>NVIDIA Announces Financial Results for First Quarter Fiscal 2017</x:v>
      </x:c>
      <x:c r="H5" s="12" t="str">
        <x:v>https://www.sec.gov/Archives/edgar/data/1045810/000104581016000243/form8-kq117.htm</x:v>
      </x:c>
      <x:c r="I5" s="12" t="str">
        <x:v>OPENED/VERIFIED</x:v>
      </x:c>
      <x:c r="J5" s="12" t="str">
        <x:v>PASS</x:v>
      </x:c>
      <x:c r="K5" s="12" t="str">
        <x:v>PASS</x:v>
      </x:c>
      <x:c r="L5" s="12" t="str">
        <x:v>PASS</x:v>
      </x:c>
      <x:c r="M5" s="12" t="str">
        <x:v>NO</x:v>
      </x:c>
      <x:c r="N5" s="12" t="str">
        <x:v>PASS</x:v>
      </x:c>
      <x:c r="O5" s="12" t="str">
        <x:v>FACTUAL</x:v>
      </x:c>
      <x:c r="P5" s="12" t="str">
        <x:v>PASS</x:v>
      </x:c>
      <x:c r="Q5" s="12" t="str">
        <x:v>Checked for NVIDIA/NVDA identity, exact earnings event, displayed publication date, timing window and prohibited-source origin.</x:v>
      </x:c>
    </x:row>
    <x:row r="6">
      <x:c r="A6" s="12" t="str">
        <x:v>2016-08-11</x:v>
      </x:c>
      <x:c r="B6" s="12" t="str">
        <x:v>NVDA</x:v>
      </x:c>
      <x:c r="C6" s="12" t="str">
        <x:v>release</x:v>
      </x:c>
      <x:c r="D6" s="12" t="str">
        <x:v>2016-08-11</x:v>
      </x:c>
      <x:c r="E6" s="12" t="n">
        <x:v>0</x:v>
      </x:c>
      <x:c r="F6" s="12" t="str">
        <x:v>SEC / NVIDIA</x:v>
      </x:c>
      <x:c r="G6" s="12" t="str">
        <x:v>NVIDIA Announces Financial Results for Second Quarter Fiscal 2017</x:v>
      </x:c>
      <x:c r="H6" s="12" t="str">
        <x:v>https://www.sec.gov/Archives/edgar/data/1045810/000104581016000292/form8-kq2fy17.htm</x:v>
      </x:c>
      <x:c r="I6" s="12" t="str">
        <x:v>OPENED/VERIFIED</x:v>
      </x:c>
      <x:c r="J6" s="12" t="str">
        <x:v>PASS</x:v>
      </x:c>
      <x:c r="K6" s="12" t="str">
        <x:v>PASS</x:v>
      </x:c>
      <x:c r="L6" s="12" t="str">
        <x:v>PASS</x:v>
      </x:c>
      <x:c r="M6" s="12" t="str">
        <x:v>NO</x:v>
      </x:c>
      <x:c r="N6" s="12" t="str">
        <x:v>PASS</x:v>
      </x:c>
      <x:c r="O6" s="12" t="str">
        <x:v>FACTUAL</x:v>
      </x:c>
      <x:c r="P6" s="12" t="str">
        <x:v>PASS</x:v>
      </x:c>
      <x:c r="Q6" s="12" t="str">
        <x:v>Checked for NVIDIA/NVDA identity, exact earnings event, displayed publication date, timing window and prohibited-source origin.</x:v>
      </x:c>
    </x:row>
    <x:row r="7">
      <x:c r="A7" s="12" t="str">
        <x:v>2016-08-11</x:v>
      </x:c>
      <x:c r="B7" s="12" t="str">
        <x:v>NVDA</x:v>
      </x:c>
      <x:c r="C7" s="12" t="str">
        <x:v>reaction</x:v>
      </x:c>
      <x:c r="D7" s="12" t="str">
        <x:v>2016-08-12</x:v>
      </x:c>
      <x:c r="E7" s="12" t="n">
        <x:v>1</x:v>
      </x:c>
      <x:c r="F7" s="12" t="str">
        <x:v>TheStreet</x:v>
      </x:c>
      <x:c r="G7" s="12" t="str">
        <x:v>Nvidia Soars to an All-Time High on Positive Earnings</x:v>
      </x:c>
      <x:c r="H7" s="12" t="str">
        <x:v>https://www.thestreet.com/investing/stocks/nvidia-gets-a-big-lift-from-ai-projects-microsoft-buys-a-game-streaming-firm-13673513</x:v>
      </x:c>
      <x:c r="I7" s="12" t="str">
        <x:v>OPENED/VERIFIED</x:v>
      </x:c>
      <x:c r="J7" s="12" t="str">
        <x:v>PASS</x:v>
      </x:c>
      <x:c r="K7" s="12" t="str">
        <x:v>PASS</x:v>
      </x:c>
      <x:c r="L7" s="12" t="str">
        <x:v>PASS</x:v>
      </x:c>
      <x:c r="M7" s="12" t="str">
        <x:v>NO</x:v>
      </x:c>
      <x:c r="N7" s="12" t="str">
        <x:v>PASS</x:v>
      </x:c>
      <x:c r="O7" s="12" t="str">
        <x:v>CONTEMPORANEOUS_ATTRIBUTION</x:v>
      </x:c>
      <x:c r="P7" s="12" t="str">
        <x:v>PASS</x:v>
      </x:c>
      <x:c r="Q7" s="12" t="str">
        <x:v>Checked for NVIDIA/NVDA identity, exact earnings event, displayed publication date, timing window and prohibited-source origin.</x:v>
      </x:c>
    </x:row>
    <x:row r="8">
      <x:c r="A8" s="12" t="str">
        <x:v>2016-11-10</x:v>
      </x:c>
      <x:c r="B8" s="12" t="str">
        <x:v>NVDA</x:v>
      </x:c>
      <x:c r="C8" s="12" t="str">
        <x:v>prior</x:v>
      </x:c>
      <x:c r="D8" s="12" t="str">
        <x:v>2016-08-11</x:v>
      </x:c>
      <x:c r="E8" s="12" t="n">
        <x:v>-91</x:v>
      </x:c>
      <x:c r="F8" s="12" t="str">
        <x:v>SEC / NVIDIA</x:v>
      </x:c>
      <x:c r="G8" s="12" t="str">
        <x:v>NVIDIA Announces Financial Results for Second Quarter Fiscal 2017</x:v>
      </x:c>
      <x:c r="H8" s="12" t="str">
        <x:v>https://www.sec.gov/Archives/edgar/data/1045810/000104581016000292/form8-kq2fy17.htm</x:v>
      </x:c>
      <x:c r="I8" s="12" t="str">
        <x:v>OPENED/VERIFIED</x:v>
      </x:c>
      <x:c r="J8" s="12" t="str">
        <x:v>PASS</x:v>
      </x:c>
      <x:c r="K8" s="12" t="str">
        <x:v>PASS</x:v>
      </x:c>
      <x:c r="L8" s="12" t="str">
        <x:v>PASS</x:v>
      </x:c>
      <x:c r="M8" s="12" t="str">
        <x:v>NO</x:v>
      </x:c>
      <x:c r="N8" s="12" t="str">
        <x:v>PASS</x:v>
      </x:c>
      <x:c r="O8" s="12" t="str">
        <x:v>FACTUAL</x:v>
      </x:c>
      <x:c r="P8" s="12" t="str">
        <x:v>PASS</x:v>
      </x:c>
      <x:c r="Q8" s="12" t="str">
        <x:v>Checked for NVIDIA/NVDA identity, exact earnings event, displayed publication date, timing window and prohibited-source origin.</x:v>
      </x:c>
    </x:row>
    <x:row r="9">
      <x:c r="A9" s="12" t="str">
        <x:v>2016-11-10</x:v>
      </x:c>
      <x:c r="B9" s="12" t="str">
        <x:v>NVDA</x:v>
      </x:c>
      <x:c r="C9" s="12" t="str">
        <x:v>release</x:v>
      </x:c>
      <x:c r="D9" s="12" t="str">
        <x:v>2016-11-10</x:v>
      </x:c>
      <x:c r="E9" s="12" t="n">
        <x:v>0</x:v>
      </x:c>
      <x:c r="F9" s="12" t="str">
        <x:v>SEC / NVIDIA</x:v>
      </x:c>
      <x:c r="G9" s="12" t="str">
        <x:v>NVIDIA Announces Financial Results for Third Quarter Fiscal 2017</x:v>
      </x:c>
      <x:c r="H9" s="12" t="str">
        <x:v>https://www.sec.gov/Archives/edgar/data/1045810/000104581016000343/form8-kq3fy17.htm</x:v>
      </x:c>
      <x:c r="I9" s="12" t="str">
        <x:v>OPENED/VERIFIED</x:v>
      </x:c>
      <x:c r="J9" s="12" t="str">
        <x:v>PASS</x:v>
      </x:c>
      <x:c r="K9" s="12" t="str">
        <x:v>PASS</x:v>
      </x:c>
      <x:c r="L9" s="12" t="str">
        <x:v>PASS</x:v>
      </x:c>
      <x:c r="M9" s="12" t="str">
        <x:v>NO</x:v>
      </x:c>
      <x:c r="N9" s="12" t="str">
        <x:v>PASS</x:v>
      </x:c>
      <x:c r="O9" s="12" t="str">
        <x:v>FACTUAL</x:v>
      </x:c>
      <x:c r="P9" s="12" t="str">
        <x:v>PASS</x:v>
      </x:c>
      <x:c r="Q9" s="12" t="str">
        <x:v>Checked for NVIDIA/NVDA identity, exact earnings event, displayed publication date, timing window and prohibited-source origin.</x:v>
      </x:c>
    </x:row>
    <x:row r="10">
      <x:c r="A10" s="12" t="str">
        <x:v>2016-11-10</x:v>
      </x:c>
      <x:c r="B10" s="12" t="str">
        <x:v>NVDA</x:v>
      </x:c>
      <x:c r="C10" s="12" t="str">
        <x:v>reaction</x:v>
      </x:c>
      <x:c r="D10" s="12" t="str">
        <x:v>2016-11-11</x:v>
      </x:c>
      <x:c r="E10" s="12" t="n">
        <x:v>1</x:v>
      </x:c>
      <x:c r="F10" s="12" t="str">
        <x:v>The Motley Fool</x:v>
      </x:c>
      <x:c r="G10" s="12" t="str">
        <x:v>NVIDIA Stock Rockets Higher After Blockbuster Results</x:v>
      </x:c>
      <x:c r="H10" s="12" t="str">
        <x:v>https://www.fool.com/investing/2016/11/11/nvidia-stock-rockets-higher-after-blockbuster-earn.aspx</x:v>
      </x:c>
      <x:c r="I10" s="12" t="str">
        <x:v>OPENED/VERIFIED</x:v>
      </x:c>
      <x:c r="J10" s="12" t="str">
        <x:v>PASS</x:v>
      </x:c>
      <x:c r="K10" s="12" t="str">
        <x:v>PASS</x:v>
      </x:c>
      <x:c r="L10" s="12" t="str">
        <x:v>PASS</x:v>
      </x:c>
      <x:c r="M10" s="12" t="str">
        <x:v>NO</x:v>
      </x:c>
      <x:c r="N10" s="12" t="str">
        <x:v>PASS</x:v>
      </x:c>
      <x:c r="O10" s="12" t="str">
        <x:v>CONTEMPORANEOUS_ATTRIBUTION</x:v>
      </x:c>
      <x:c r="P10" s="12" t="str">
        <x:v>PASS</x:v>
      </x:c>
      <x:c r="Q10" s="12" t="str">
        <x:v>Checked for NVIDIA/NVDA identity, exact earnings event, displayed publication date, timing window and prohibited-source origin.</x:v>
      </x:c>
    </x:row>
    <x:row r="11">
      <x:c r="A11" s="12" t="str">
        <x:v>2017-02-09</x:v>
      </x:c>
      <x:c r="B11" s="12" t="str">
        <x:v>NVDA</x:v>
      </x:c>
      <x:c r="C11" s="12" t="str">
        <x:v>prior</x:v>
      </x:c>
      <x:c r="D11" s="12" t="str">
        <x:v>2016-11-10</x:v>
      </x:c>
      <x:c r="E11" s="12" t="n">
        <x:v>-91</x:v>
      </x:c>
      <x:c r="F11" s="12" t="str">
        <x:v>SEC / NVIDIA</x:v>
      </x:c>
      <x:c r="G11" s="12" t="str">
        <x:v>NVIDIA Announces Financial Results for Third Quarter Fiscal 2017</x:v>
      </x:c>
      <x:c r="H11" s="12" t="str">
        <x:v>https://www.sec.gov/Archives/edgar/data/1045810/000104581016000343/form8-kq3fy17.htm</x:v>
      </x:c>
      <x:c r="I11" s="12" t="str">
        <x:v>OPENED/VERIFIED</x:v>
      </x:c>
      <x:c r="J11" s="12" t="str">
        <x:v>PASS</x:v>
      </x:c>
      <x:c r="K11" s="12" t="str">
        <x:v>PASS</x:v>
      </x:c>
      <x:c r="L11" s="12" t="str">
        <x:v>PASS</x:v>
      </x:c>
      <x:c r="M11" s="12" t="str">
        <x:v>NO</x:v>
      </x:c>
      <x:c r="N11" s="12" t="str">
        <x:v>PASS</x:v>
      </x:c>
      <x:c r="O11" s="12" t="str">
        <x:v>FACTUAL</x:v>
      </x:c>
      <x:c r="P11" s="12" t="str">
        <x:v>PASS</x:v>
      </x:c>
      <x:c r="Q11" s="12" t="str">
        <x:v>Checked for NVIDIA/NVDA identity, exact earnings event, displayed publication date, timing window and prohibited-source origin.</x:v>
      </x:c>
    </x:row>
    <x:row r="12">
      <x:c r="A12" s="12" t="str">
        <x:v>2017-02-09</x:v>
      </x:c>
      <x:c r="B12" s="12" t="str">
        <x:v>NVDA</x:v>
      </x:c>
      <x:c r="C12" s="12" t="str">
        <x:v>release</x:v>
      </x:c>
      <x:c r="D12" s="12" t="str">
        <x:v>2017-02-09</x:v>
      </x:c>
      <x:c r="E12" s="12" t="n">
        <x:v>0</x:v>
      </x:c>
      <x:c r="F12" s="12" t="str">
        <x:v>SEC / NVIDIA</x:v>
      </x:c>
      <x:c r="G12" s="12" t="str">
        <x:v>NVIDIA Announces Financial Results for Fourth Quarter and Fiscal 2017</x:v>
      </x:c>
      <x:c r="H12" s="12" t="str">
        <x:v>https://www.sec.gov/Archives/edgar/data/1045810/000104581017000016/0001045810-17-000016-index.html</x:v>
      </x:c>
      <x:c r="I12" s="12" t="str">
        <x:v>OPENED/VERIFIED</x:v>
      </x:c>
      <x:c r="J12" s="12" t="str">
        <x:v>PASS</x:v>
      </x:c>
      <x:c r="K12" s="12" t="str">
        <x:v>PASS</x:v>
      </x:c>
      <x:c r="L12" s="12" t="str">
        <x:v>PASS</x:v>
      </x:c>
      <x:c r="M12" s="12" t="str">
        <x:v>NO</x:v>
      </x:c>
      <x:c r="N12" s="12" t="str">
        <x:v>PASS</x:v>
      </x:c>
      <x:c r="O12" s="12" t="str">
        <x:v>FACTUAL</x:v>
      </x:c>
      <x:c r="P12" s="12" t="str">
        <x:v>PASS</x:v>
      </x:c>
      <x:c r="Q12" s="12" t="str">
        <x:v>Checked for NVIDIA/NVDA identity, exact earnings event, displayed publication date, timing window and prohibited-source origin.</x:v>
      </x:c>
    </x:row>
    <x:row r="13">
      <x:c r="A13" s="12" t="str">
        <x:v>2017-02-09</x:v>
      </x:c>
      <x:c r="B13" s="12" t="str">
        <x:v>NVDA</x:v>
      </x:c>
      <x:c r="C13" s="12" t="str">
        <x:v>reaction</x:v>
      </x:c>
      <x:c r="D13" s="12" t="str">
        <x:v>2017-02-10</x:v>
      </x:c>
      <x:c r="E13" s="12" t="n">
        <x:v>1</x:v>
      </x:c>
      <x:c r="F13" s="12" t="str">
        <x:v>TheStreet</x:v>
      </x:c>
      <x:c r="G13" s="12" t="str">
        <x:v>If Nvidia Was Still Trading Below $100, Its Strong Earnings Would Have Sparked a Big Rally</x:v>
      </x:c>
      <x:c r="H13" s="12" t="str">
        <x:v>https://www.thestreet.com/investing/stocks/if-nvidia-was-still-trading-below-100-its-strong-earnings-would-have-sparked-a-rally-13998065</x:v>
      </x:c>
      <x:c r="I13" s="12" t="str">
        <x:v>OPENED/VERIFIED</x:v>
      </x:c>
      <x:c r="J13" s="12" t="str">
        <x:v>PASS</x:v>
      </x:c>
      <x:c r="K13" s="12" t="str">
        <x:v>PASS</x:v>
      </x:c>
      <x:c r="L13" s="12" t="str">
        <x:v>PASS</x:v>
      </x:c>
      <x:c r="M13" s="12" t="str">
        <x:v>NO</x:v>
      </x:c>
      <x:c r="N13" s="12" t="str">
        <x:v>PASS</x:v>
      </x:c>
      <x:c r="O13" s="12" t="str">
        <x:v>CONTEMPORANEOUS_ATTRIBUTION</x:v>
      </x:c>
      <x:c r="P13" s="12" t="str">
        <x:v>PASS</x:v>
      </x:c>
      <x:c r="Q13" s="12" t="str">
        <x:v>Checked for NVIDIA/NVDA identity, exact earnings event, displayed publication date, timing window and prohibited-source origin.</x:v>
      </x:c>
    </x:row>
    <x:row r="14">
      <x:c r="A14" s="12" t="str">
        <x:v>2017-05-09</x:v>
      </x:c>
      <x:c r="B14" s="12" t="str">
        <x:v>NVDA</x:v>
      </x:c>
      <x:c r="C14" s="12" t="str">
        <x:v>prior</x:v>
      </x:c>
      <x:c r="D14" s="12" t="str">
        <x:v>2017-02-09</x:v>
      </x:c>
      <x:c r="E14" s="12" t="n">
        <x:v>-89</x:v>
      </x:c>
      <x:c r="F14" s="12" t="str">
        <x:v>SEC / NVIDIA</x:v>
      </x:c>
      <x:c r="G14" s="12" t="str">
        <x:v>NVIDIA Announces Financial Results for Fourth Quarter and Fiscal 2017</x:v>
      </x:c>
      <x:c r="H14" s="12" t="str">
        <x:v>https://www.sec.gov/Archives/edgar/data/1045810/000104581017000016/0001045810-17-000016-index.html</x:v>
      </x:c>
      <x:c r="I14" s="12" t="str">
        <x:v>OPENED/VERIFIED</x:v>
      </x:c>
      <x:c r="J14" s="12" t="str">
        <x:v>PASS</x:v>
      </x:c>
      <x:c r="K14" s="12" t="str">
        <x:v>PASS</x:v>
      </x:c>
      <x:c r="L14" s="12" t="str">
        <x:v>PASS</x:v>
      </x:c>
      <x:c r="M14" s="12" t="str">
        <x:v>NO</x:v>
      </x:c>
      <x:c r="N14" s="12" t="str">
        <x:v>PASS</x:v>
      </x:c>
      <x:c r="O14" s="12" t="str">
        <x:v>FACTUAL</x:v>
      </x:c>
      <x:c r="P14" s="12" t="str">
        <x:v>PASS</x:v>
      </x:c>
      <x:c r="Q14" s="12" t="str">
        <x:v>Checked for NVIDIA/NVDA identity, exact earnings event, displayed publication date, timing window and prohibited-source origin.</x:v>
      </x:c>
    </x:row>
    <x:row r="15">
      <x:c r="A15" s="12" t="str">
        <x:v>2017-05-09</x:v>
      </x:c>
      <x:c r="B15" s="12" t="str">
        <x:v>NVDA</x:v>
      </x:c>
      <x:c r="C15" s="12" t="str">
        <x:v>release</x:v>
      </x:c>
      <x:c r="D15" s="12" t="str">
        <x:v>2017-05-09</x:v>
      </x:c>
      <x:c r="E15" s="12" t="n">
        <x:v>0</x:v>
      </x:c>
      <x:c r="F15" s="12" t="str">
        <x:v>NVIDIA Investor Relations</x:v>
      </x:c>
      <x:c r="G15" s="12" t="str">
        <x:v>NVIDIA Announces Financial Results for First Quarter Fiscal 2018</x:v>
      </x:c>
      <x:c r="H15" s="12" t="str">
        <x:v>https://investor.nvidia.com/news/press-release-details/2017/NVIDIA-Announces-Financial-Results-for-First-Quarter-Fiscal-2018/default.aspx</x:v>
      </x:c>
      <x:c r="I15" s="12" t="str">
        <x:v>OPENED/VERIFIED</x:v>
      </x:c>
      <x:c r="J15" s="12" t="str">
        <x:v>PASS</x:v>
      </x:c>
      <x:c r="K15" s="12" t="str">
        <x:v>PASS</x:v>
      </x:c>
      <x:c r="L15" s="12" t="str">
        <x:v>PASS</x:v>
      </x:c>
      <x:c r="M15" s="12" t="str">
        <x:v>NO</x:v>
      </x:c>
      <x:c r="N15" s="12" t="str">
        <x:v>PASS</x:v>
      </x:c>
      <x:c r="O15" s="12" t="str">
        <x:v>FACTUAL</x:v>
      </x:c>
      <x:c r="P15" s="12" t="str">
        <x:v>PASS</x:v>
      </x:c>
      <x:c r="Q15" s="12" t="str">
        <x:v>Checked for NVIDIA/NVDA identity, exact earnings event, displayed publication date, timing window and prohibited-source origin.</x:v>
      </x:c>
    </x:row>
    <x:row r="16">
      <x:c r="A16" s="12" t="str">
        <x:v>2017-05-09</x:v>
      </x:c>
      <x:c r="B16" s="12" t="str">
        <x:v>NVDA</x:v>
      </x:c>
      <x:c r="C16" s="12" t="str">
        <x:v>reaction</x:v>
      </x:c>
      <x:c r="D16" s="12" t="str">
        <x:v>2017-05-10</x:v>
      </x:c>
      <x:c r="E16" s="12" t="n">
        <x:v>1</x:v>
      </x:c>
      <x:c r="F16" s="12" t="str">
        <x:v>The Motley Fool</x:v>
      </x:c>
      <x:c r="G16" s="12" t="str">
        <x:v>Why NVIDIA Corp. Jumped Today</x:v>
      </x:c>
      <x:c r="H16" s="12" t="str">
        <x:v>https://www.fool.com/investing/2017/05/10/why-nvidia-corp-jumped-today.aspx</x:v>
      </x:c>
      <x:c r="I16" s="12" t="str">
        <x:v>OPENED/VERIFIED</x:v>
      </x:c>
      <x:c r="J16" s="12" t="str">
        <x:v>PASS</x:v>
      </x:c>
      <x:c r="K16" s="12" t="str">
        <x:v>PASS</x:v>
      </x:c>
      <x:c r="L16" s="12" t="str">
        <x:v>PASS</x:v>
      </x:c>
      <x:c r="M16" s="12" t="str">
        <x:v>NO</x:v>
      </x:c>
      <x:c r="N16" s="12" t="str">
        <x:v>PASS</x:v>
      </x:c>
      <x:c r="O16" s="12" t="str">
        <x:v>CONTEMPORANEOUS_ATTRIBUTION</x:v>
      </x:c>
      <x:c r="P16" s="12" t="str">
        <x:v>PASS</x:v>
      </x:c>
      <x:c r="Q16" s="12" t="str">
        <x:v>Checked for NVIDIA/NVDA identity, exact earnings event, displayed publication date, timing window and prohibited-source origin.</x:v>
      </x:c>
    </x:row>
    <x:row r="17">
      <x:c r="A17" s="12" t="str">
        <x:v>2017-08-10</x:v>
      </x:c>
      <x:c r="B17" s="12" t="str">
        <x:v>NVDA</x:v>
      </x:c>
      <x:c r="C17" s="12" t="str">
        <x:v>prior</x:v>
      </x:c>
      <x:c r="D17" s="12" t="str">
        <x:v>2017-05-09</x:v>
      </x:c>
      <x:c r="E17" s="12" t="n">
        <x:v>-93</x:v>
      </x:c>
      <x:c r="F17" s="12" t="str">
        <x:v>NVIDIA Investor Relations</x:v>
      </x:c>
      <x:c r="G17" s="12" t="str">
        <x:v>NVIDIA Announces Financial Results for First Quarter Fiscal 2018</x:v>
      </x:c>
      <x:c r="H17" s="12" t="str">
        <x:v>https://investor.nvidia.com/news/press-release-details/2017/NVIDIA-Announces-Financial-Results-for-First-Quarter-Fiscal-2018/default.aspx</x:v>
      </x:c>
      <x:c r="I17" s="12" t="str">
        <x:v>OPENED/VERIFIED</x:v>
      </x:c>
      <x:c r="J17" s="12" t="str">
        <x:v>PASS</x:v>
      </x:c>
      <x:c r="K17" s="12" t="str">
        <x:v>PASS</x:v>
      </x:c>
      <x:c r="L17" s="12" t="str">
        <x:v>PASS</x:v>
      </x:c>
      <x:c r="M17" s="12" t="str">
        <x:v>NO</x:v>
      </x:c>
      <x:c r="N17" s="12" t="str">
        <x:v>PASS</x:v>
      </x:c>
      <x:c r="O17" s="12" t="str">
        <x:v>FACTUAL</x:v>
      </x:c>
      <x:c r="P17" s="12" t="str">
        <x:v>PASS</x:v>
      </x:c>
      <x:c r="Q17" s="12" t="str">
        <x:v>Checked for NVIDIA/NVDA identity, exact earnings event, displayed publication date, timing window and prohibited-source origin.</x:v>
      </x:c>
    </x:row>
    <x:row r="18">
      <x:c r="A18" s="12" t="str">
        <x:v>2017-08-10</x:v>
      </x:c>
      <x:c r="B18" s="12" t="str">
        <x:v>NVDA</x:v>
      </x:c>
      <x:c r="C18" s="12" t="str">
        <x:v>release</x:v>
      </x:c>
      <x:c r="D18" s="12" t="str">
        <x:v>2017-08-10</x:v>
      </x:c>
      <x:c r="E18" s="12" t="n">
        <x:v>0</x:v>
      </x:c>
      <x:c r="F18" s="12" t="str">
        <x:v>NVIDIA Investor Relations</x:v>
      </x:c>
      <x:c r="G18" s="12" t="str">
        <x:v>NVIDIA Announces Financial Results for Second Quarter Fiscal 2018</x:v>
      </x:c>
      <x:c r="H18" s="12" t="str">
        <x:v>https://investor.nvidia.com/news/press-release-details/2017/NVIDIA-Announces-Financial-Results-for-Second-Quarter-Fiscal-2018/default.aspx</x:v>
      </x:c>
      <x:c r="I18" s="12" t="str">
        <x:v>OPENED/VERIFIED</x:v>
      </x:c>
      <x:c r="J18" s="12" t="str">
        <x:v>PASS</x:v>
      </x:c>
      <x:c r="K18" s="12" t="str">
        <x:v>PASS</x:v>
      </x:c>
      <x:c r="L18" s="12" t="str">
        <x:v>PASS</x:v>
      </x:c>
      <x:c r="M18" s="12" t="str">
        <x:v>NO</x:v>
      </x:c>
      <x:c r="N18" s="12" t="str">
        <x:v>PASS</x:v>
      </x:c>
      <x:c r="O18" s="12" t="str">
        <x:v>FACTUAL</x:v>
      </x:c>
      <x:c r="P18" s="12" t="str">
        <x:v>PASS</x:v>
      </x:c>
      <x:c r="Q18" s="12" t="str">
        <x:v>Checked for NVIDIA/NVDA identity, exact earnings event, displayed publication date, timing window and prohibited-source origin.</x:v>
      </x:c>
    </x:row>
    <x:row r="19">
      <x:c r="A19" s="12" t="str">
        <x:v>2017-08-10</x:v>
      </x:c>
      <x:c r="B19" s="12" t="str">
        <x:v>NVDA</x:v>
      </x:c>
      <x:c r="C19" s="12" t="str">
        <x:v>reaction</x:v>
      </x:c>
      <x:c r="D19" s="12" t="str">
        <x:v>2017-08-11</x:v>
      </x:c>
      <x:c r="E19" s="12" t="n">
        <x:v>1</x:v>
      </x:c>
      <x:c r="F19" s="12" t="str">
        <x:v>The Motley Fool</x:v>
      </x:c>
      <x:c r="G19" s="12" t="str">
        <x:v>Why NVIDIA, Dillard's, and Fossil Group Slumped Today</x:v>
      </x:c>
      <x:c r="H19" s="12" t="str">
        <x:v>https://www.fool.com/investing/2017/08/11/why-nvidia-dillards-and-fossil-group-slumped-today.aspx</x:v>
      </x:c>
      <x:c r="I19" s="12" t="str">
        <x:v>OPENED/VERIFIED</x:v>
      </x:c>
      <x:c r="J19" s="12" t="str">
        <x:v>PASS</x:v>
      </x:c>
      <x:c r="K19" s="12" t="str">
        <x:v>PASS</x:v>
      </x:c>
      <x:c r="L19" s="12" t="str">
        <x:v>PASS</x:v>
      </x:c>
      <x:c r="M19" s="12" t="str">
        <x:v>NO</x:v>
      </x:c>
      <x:c r="N19" s="12" t="str">
        <x:v>PASS</x:v>
      </x:c>
      <x:c r="O19" s="12" t="str">
        <x:v>CONTEMPORANEOUS_ATTRIBUTION</x:v>
      </x:c>
      <x:c r="P19" s="12" t="str">
        <x:v>PASS</x:v>
      </x:c>
      <x:c r="Q19" s="12" t="str">
        <x:v>Checked for NVIDIA/NVDA identity, exact earnings event, displayed publication date, timing window and prohibited-source origin.</x:v>
      </x:c>
    </x:row>
    <x:row r="20">
      <x:c r="A20" s="12" t="str">
        <x:v>2017-11-09</x:v>
      </x:c>
      <x:c r="B20" s="12" t="str">
        <x:v>NVDA</x:v>
      </x:c>
      <x:c r="C20" s="12" t="str">
        <x:v>prior</x:v>
      </x:c>
      <x:c r="D20" s="12" t="str">
        <x:v>2017-08-10</x:v>
      </x:c>
      <x:c r="E20" s="12" t="n">
        <x:v>-91</x:v>
      </x:c>
      <x:c r="F20" s="12" t="str">
        <x:v>NVIDIA Investor Relations</x:v>
      </x:c>
      <x:c r="G20" s="12" t="str">
        <x:v>NVIDIA Announces Financial Results for Second Quarter Fiscal 2018</x:v>
      </x:c>
      <x:c r="H20" s="12" t="str">
        <x:v>https://investor.nvidia.com/news/press-release-details/2017/NVIDIA-Announces-Financial-Results-for-Second-Quarter-Fiscal-2018/default.aspx</x:v>
      </x:c>
      <x:c r="I20" s="12" t="str">
        <x:v>OPENED/VERIFIED</x:v>
      </x:c>
      <x:c r="J20" s="12" t="str">
        <x:v>PASS</x:v>
      </x:c>
      <x:c r="K20" s="12" t="str">
        <x:v>PASS</x:v>
      </x:c>
      <x:c r="L20" s="12" t="str">
        <x:v>PASS</x:v>
      </x:c>
      <x:c r="M20" s="12" t="str">
        <x:v>NO</x:v>
      </x:c>
      <x:c r="N20" s="12" t="str">
        <x:v>PASS</x:v>
      </x:c>
      <x:c r="O20" s="12" t="str">
        <x:v>FACTUAL</x:v>
      </x:c>
      <x:c r="P20" s="12" t="str">
        <x:v>PASS</x:v>
      </x:c>
      <x:c r="Q20" s="12" t="str">
        <x:v>Checked for NVIDIA/NVDA identity, exact earnings event, displayed publication date, timing window and prohibited-source origin.</x:v>
      </x:c>
    </x:row>
    <x:row r="21">
      <x:c r="A21" s="12" t="str">
        <x:v>2017-11-09</x:v>
      </x:c>
      <x:c r="B21" s="12" t="str">
        <x:v>NVDA</x:v>
      </x:c>
      <x:c r="C21" s="12" t="str">
        <x:v>release</x:v>
      </x:c>
      <x:c r="D21" s="12" t="str">
        <x:v>2017-11-09</x:v>
      </x:c>
      <x:c r="E21" s="12" t="n">
        <x:v>0</x:v>
      </x:c>
      <x:c r="F21" s="12" t="str">
        <x:v>SEC / NVIDIA</x:v>
      </x:c>
      <x:c r="G21" s="12" t="str">
        <x:v>NVIDIA Announces Financial Results for Third Quarter Fiscal 2018</x:v>
      </x:c>
      <x:c r="H21" s="12" t="str">
        <x:v>https://www.sec.gov/Archives/edgar/data/1045810/000104581017000164/0001045810-17-000164-index.html</x:v>
      </x:c>
      <x:c r="I21" s="12" t="str">
        <x:v>OPENED/VERIFIED</x:v>
      </x:c>
      <x:c r="J21" s="12" t="str">
        <x:v>PASS</x:v>
      </x:c>
      <x:c r="K21" s="12" t="str">
        <x:v>PASS</x:v>
      </x:c>
      <x:c r="L21" s="12" t="str">
        <x:v>PASS</x:v>
      </x:c>
      <x:c r="M21" s="12" t="str">
        <x:v>NO</x:v>
      </x:c>
      <x:c r="N21" s="12" t="str">
        <x:v>PASS</x:v>
      </x:c>
      <x:c r="O21" s="12" t="str">
        <x:v>FACTUAL</x:v>
      </x:c>
      <x:c r="P21" s="12" t="str">
        <x:v>PASS</x:v>
      </x:c>
      <x:c r="Q21" s="12" t="str">
        <x:v>Checked for NVIDIA/NVDA identity, exact earnings event, displayed publication date, timing window and prohibited-source origin.</x:v>
      </x:c>
    </x:row>
    <x:row r="22">
      <x:c r="A22" s="12" t="str">
        <x:v>2017-11-09</x:v>
      </x:c>
      <x:c r="B22" s="12" t="str">
        <x:v>NVDA</x:v>
      </x:c>
      <x:c r="C22" s="12" t="str">
        <x:v>reaction</x:v>
      </x:c>
      <x:c r="D22" s="12" t="str">
        <x:v>2017-11-10</x:v>
      </x:c>
      <x:c r="E22" s="12" t="n">
        <x:v>1</x:v>
      </x:c>
      <x:c r="F22" s="12" t="str">
        <x:v>The Motley Fool</x:v>
      </x:c>
      <x:c r="G22" s="12" t="str">
        <x:v>NVIDIA Earnings: 4 Key Takeaways From the Strong Artificial Intelligence-Fueled Results</x:v>
      </x:c>
      <x:c r="H22" s="12" t="str">
        <x:v>https://www.fool.com/investing/2017/11/10/nvidia-earnings-4-key-takeaways-from-the-strong-ar.aspx</x:v>
      </x:c>
      <x:c r="I22" s="12" t="str">
        <x:v>OPENED/VERIFIED</x:v>
      </x:c>
      <x:c r="J22" s="12" t="str">
        <x:v>PASS</x:v>
      </x:c>
      <x:c r="K22" s="12" t="str">
        <x:v>PASS</x:v>
      </x:c>
      <x:c r="L22" s="12" t="str">
        <x:v>PASS</x:v>
      </x:c>
      <x:c r="M22" s="12" t="str">
        <x:v>NO</x:v>
      </x:c>
      <x:c r="N22" s="12" t="str">
        <x:v>PASS</x:v>
      </x:c>
      <x:c r="O22" s="12" t="str">
        <x:v>CONTEMPORANEOUS_ATTRIBUTION</x:v>
      </x:c>
      <x:c r="P22" s="12" t="str">
        <x:v>PASS</x:v>
      </x:c>
      <x:c r="Q22" s="12" t="str">
        <x:v>Checked for NVIDIA/NVDA identity, exact earnings event, displayed publication date, timing window and prohibited-source origin.</x:v>
      </x:c>
    </x:row>
    <x:row r="23">
      <x:c r="A23" s="12" t="str">
        <x:v>2018-02-08</x:v>
      </x:c>
      <x:c r="B23" s="12" t="str">
        <x:v>NVDA</x:v>
      </x:c>
      <x:c r="C23" s="12" t="str">
        <x:v>prior</x:v>
      </x:c>
      <x:c r="D23" s="12" t="str">
        <x:v>2017-11-09</x:v>
      </x:c>
      <x:c r="E23" s="12" t="n">
        <x:v>-91</x:v>
      </x:c>
      <x:c r="F23" s="12" t="str">
        <x:v>SEC / NVIDIA</x:v>
      </x:c>
      <x:c r="G23" s="12" t="str">
        <x:v>NVIDIA Announces Financial Results for Third Quarter Fiscal 2018</x:v>
      </x:c>
      <x:c r="H23" s="12" t="str">
        <x:v>https://www.sec.gov/Archives/edgar/data/1045810/000104581017000164/0001045810-17-000164-index.html</x:v>
      </x:c>
      <x:c r="I23" s="12" t="str">
        <x:v>OPENED/VERIFIED</x:v>
      </x:c>
      <x:c r="J23" s="12" t="str">
        <x:v>PASS</x:v>
      </x:c>
      <x:c r="K23" s="12" t="str">
        <x:v>PASS</x:v>
      </x:c>
      <x:c r="L23" s="12" t="str">
        <x:v>PASS</x:v>
      </x:c>
      <x:c r="M23" s="12" t="str">
        <x:v>NO</x:v>
      </x:c>
      <x:c r="N23" s="12" t="str">
        <x:v>PASS</x:v>
      </x:c>
      <x:c r="O23" s="12" t="str">
        <x:v>FACTUAL</x:v>
      </x:c>
      <x:c r="P23" s="12" t="str">
        <x:v>PASS</x:v>
      </x:c>
      <x:c r="Q23" s="12" t="str">
        <x:v>Checked for NVIDIA/NVDA identity, exact earnings event, displayed publication date, timing window and prohibited-source origin.</x:v>
      </x:c>
    </x:row>
    <x:row r="24">
      <x:c r="A24" s="12" t="str">
        <x:v>2018-02-08</x:v>
      </x:c>
      <x:c r="B24" s="12" t="str">
        <x:v>NVDA</x:v>
      </x:c>
      <x:c r="C24" s="12" t="str">
        <x:v>release</x:v>
      </x:c>
      <x:c r="D24" s="12" t="str">
        <x:v>2018-02-08</x:v>
      </x:c>
      <x:c r="E24" s="12" t="n">
        <x:v>0</x:v>
      </x:c>
      <x:c r="F24" s="12" t="str">
        <x:v>SEC / NVIDIA</x:v>
      </x:c>
      <x:c r="G24" s="12" t="str">
        <x:v>NVIDIA Announces Financial Results for Fourth Quarter and Fiscal 2018</x:v>
      </x:c>
      <x:c r="H24" s="12" t="str">
        <x:v>https://www.sec.gov/Archives/edgar/data/1045810/000104581018000004/0001045810-18-000004-index.html</x:v>
      </x:c>
      <x:c r="I24" s="12" t="str">
        <x:v>OPENED/VERIFIED</x:v>
      </x:c>
      <x:c r="J24" s="12" t="str">
        <x:v>PASS</x:v>
      </x:c>
      <x:c r="K24" s="12" t="str">
        <x:v>PASS</x:v>
      </x:c>
      <x:c r="L24" s="12" t="str">
        <x:v>PASS</x:v>
      </x:c>
      <x:c r="M24" s="12" t="str">
        <x:v>NO</x:v>
      </x:c>
      <x:c r="N24" s="12" t="str">
        <x:v>PASS</x:v>
      </x:c>
      <x:c r="O24" s="12" t="str">
        <x:v>FACTUAL</x:v>
      </x:c>
      <x:c r="P24" s="12" t="str">
        <x:v>PASS</x:v>
      </x:c>
      <x:c r="Q24" s="12" t="str">
        <x:v>Checked for NVIDIA/NVDA identity, exact earnings event, displayed publication date, timing window and prohibited-source origin.</x:v>
      </x:c>
    </x:row>
    <x:row r="25">
      <x:c r="A25" s="12" t="str">
        <x:v>2018-02-08</x:v>
      </x:c>
      <x:c r="B25" s="12" t="str">
        <x:v>NVDA</x:v>
      </x:c>
      <x:c r="C25" s="12" t="str">
        <x:v>reaction</x:v>
      </x:c>
      <x:c r="D25" s="12" t="str">
        <x:v>2018-02-08</x:v>
      </x:c>
      <x:c r="E25" s="12" t="n">
        <x:v>0</x:v>
      </x:c>
      <x:c r="F25" s="12" t="str">
        <x:v>TechCrunch</x:v>
      </x:c>
      <x:c r="G25" s="12" t="str">
        <x:v>Nvidia up 10% after Q4 earnings beat, says cryptocurrency demand 'exceeded expectations'</x:v>
      </x:c>
      <x:c r="H25" s="12" t="str">
        <x:v>https://techcrunch.com/2018/02/08/nvidia-up-10-after-q4-earnings-beat-says-cryptocurrency-demand-exceeded-expectations/</x:v>
      </x:c>
      <x:c r="I25" s="12" t="str">
        <x:v>OPENED/VERIFIED</x:v>
      </x:c>
      <x:c r="J25" s="12" t="str">
        <x:v>PASS</x:v>
      </x:c>
      <x:c r="K25" s="12" t="str">
        <x:v>PASS</x:v>
      </x:c>
      <x:c r="L25" s="12" t="str">
        <x:v>PASS</x:v>
      </x:c>
      <x:c r="M25" s="12" t="str">
        <x:v>NO</x:v>
      </x:c>
      <x:c r="N25" s="12" t="str">
        <x:v>PASS</x:v>
      </x:c>
      <x:c r="O25" s="12" t="str">
        <x:v>CONTEMPORANEOUS_ATTRIBUTION</x:v>
      </x:c>
      <x:c r="P25" s="12" t="str">
        <x:v>PASS</x:v>
      </x:c>
      <x:c r="Q25" s="12" t="str">
        <x:v>Checked for NVIDIA/NVDA identity, exact earnings event, displayed publication date, timing window and prohibited-source origin.</x:v>
      </x:c>
    </x:row>
    <x:row r="26">
      <x:c r="A26" s="12" t="str">
        <x:v>2018-05-10</x:v>
      </x:c>
      <x:c r="B26" s="12" t="str">
        <x:v>NVDA</x:v>
      </x:c>
      <x:c r="C26" s="12" t="str">
        <x:v>prior</x:v>
      </x:c>
      <x:c r="D26" s="12" t="str">
        <x:v>2018-02-08</x:v>
      </x:c>
      <x:c r="E26" s="12" t="n">
        <x:v>-91</x:v>
      </x:c>
      <x:c r="F26" s="12" t="str">
        <x:v>SEC / NVIDIA</x:v>
      </x:c>
      <x:c r="G26" s="12" t="str">
        <x:v>NVIDIA Announces Financial Results for Fourth Quarter and Fiscal 2018</x:v>
      </x:c>
      <x:c r="H26" s="12" t="str">
        <x:v>https://www.sec.gov/Archives/edgar/data/1045810/000104581018000004/0001045810-18-000004-index.html</x:v>
      </x:c>
      <x:c r="I26" s="12" t="str">
        <x:v>OPENED/VERIFIED</x:v>
      </x:c>
      <x:c r="J26" s="12" t="str">
        <x:v>PASS</x:v>
      </x:c>
      <x:c r="K26" s="12" t="str">
        <x:v>PASS</x:v>
      </x:c>
      <x:c r="L26" s="12" t="str">
        <x:v>PASS</x:v>
      </x:c>
      <x:c r="M26" s="12" t="str">
        <x:v>NO</x:v>
      </x:c>
      <x:c r="N26" s="12" t="str">
        <x:v>PASS</x:v>
      </x:c>
      <x:c r="O26" s="12" t="str">
        <x:v>FACTUAL</x:v>
      </x:c>
      <x:c r="P26" s="12" t="str">
        <x:v>PASS</x:v>
      </x:c>
      <x:c r="Q26" s="12" t="str">
        <x:v>Checked for NVIDIA/NVDA identity, exact earnings event, displayed publication date, timing window and prohibited-source origin.</x:v>
      </x:c>
    </x:row>
    <x:row r="27">
      <x:c r="A27" s="12" t="str">
        <x:v>2018-05-10</x:v>
      </x:c>
      <x:c r="B27" s="12" t="str">
        <x:v>NVDA</x:v>
      </x:c>
      <x:c r="C27" s="12" t="str">
        <x:v>release</x:v>
      </x:c>
      <x:c r="D27" s="12" t="str">
        <x:v>2018-05-10</x:v>
      </x:c>
      <x:c r="E27" s="12" t="n">
        <x:v>0</x:v>
      </x:c>
      <x:c r="F27" s="12" t="str">
        <x:v>SEC / NVIDIA</x:v>
      </x:c>
      <x:c r="G27" s="12" t="str">
        <x:v>NVIDIA Announces Financial Results for First Quarter Fiscal 2019</x:v>
      </x:c>
      <x:c r="H27" s="12" t="str">
        <x:v>https://www.sec.gov/Archives/edgar/data/1045810/000104581018000052/form8-kq1fy19.htm</x:v>
      </x:c>
      <x:c r="I27" s="12" t="str">
        <x:v>OPENED/VERIFIED</x:v>
      </x:c>
      <x:c r="J27" s="12" t="str">
        <x:v>PASS</x:v>
      </x:c>
      <x:c r="K27" s="12" t="str">
        <x:v>PASS</x:v>
      </x:c>
      <x:c r="L27" s="12" t="str">
        <x:v>PASS</x:v>
      </x:c>
      <x:c r="M27" s="12" t="str">
        <x:v>NO</x:v>
      </x:c>
      <x:c r="N27" s="12" t="str">
        <x:v>PASS</x:v>
      </x:c>
      <x:c r="O27" s="12" t="str">
        <x:v>FACTUAL</x:v>
      </x:c>
      <x:c r="P27" s="12" t="str">
        <x:v>PASS</x:v>
      </x:c>
      <x:c r="Q27" s="12" t="str">
        <x:v>Checked for NVIDIA/NVDA identity, exact earnings event, displayed publication date, timing window and prohibited-source origin.</x:v>
      </x:c>
    </x:row>
    <x:row r="28">
      <x:c r="A28" s="12" t="str">
        <x:v>2018-05-10</x:v>
      </x:c>
      <x:c r="B28" s="12" t="str">
        <x:v>NVDA</x:v>
      </x:c>
      <x:c r="C28" s="12" t="str">
        <x:v>reaction</x:v>
      </x:c>
      <x:c r="D28" s="12" t="str">
        <x:v>2018-05-11</x:v>
      </x:c>
      <x:c r="E28" s="12" t="n">
        <x:v>1</x:v>
      </x:c>
      <x:c r="F28" s="12" t="str">
        <x:v>TheStreet</x:v>
      </x:c>
      <x:c r="G28" s="12" t="str">
        <x:v>Nvidia Slides In Spite of Beating Estimates: 7 Key Takeaways</x:v>
      </x:c>
      <x:c r="H28" s="12" t="str">
        <x:v>https://www.thestreet.com/investing/nvidia-slides-in-spite-of-beating-estimate-7-key-takeaways-14586825</x:v>
      </x:c>
      <x:c r="I28" s="12" t="str">
        <x:v>OPENED/VERIFIED</x:v>
      </x:c>
      <x:c r="J28" s="12" t="str">
        <x:v>PASS</x:v>
      </x:c>
      <x:c r="K28" s="12" t="str">
        <x:v>PASS</x:v>
      </x:c>
      <x:c r="L28" s="12" t="str">
        <x:v>PASS</x:v>
      </x:c>
      <x:c r="M28" s="12" t="str">
        <x:v>NO</x:v>
      </x:c>
      <x:c r="N28" s="12" t="str">
        <x:v>PASS</x:v>
      </x:c>
      <x:c r="O28" s="12" t="str">
        <x:v>CONTEMPORANEOUS_ATTRIBUTION</x:v>
      </x:c>
      <x:c r="P28" s="12" t="str">
        <x:v>PASS</x:v>
      </x:c>
      <x:c r="Q28" s="12" t="str">
        <x:v>Checked for NVIDIA/NVDA identity, exact earnings event, displayed publication date, timing window and prohibited-source origin.</x:v>
      </x:c>
    </x:row>
    <x:row r="29">
      <x:c r="A29" s="12" t="str">
        <x:v>2018-08-16</x:v>
      </x:c>
      <x:c r="B29" s="12" t="str">
        <x:v>NVDA</x:v>
      </x:c>
      <x:c r="C29" s="12" t="str">
        <x:v>prior</x:v>
      </x:c>
      <x:c r="D29" s="12" t="str">
        <x:v>2018-05-10</x:v>
      </x:c>
      <x:c r="E29" s="12" t="n">
        <x:v>-98</x:v>
      </x:c>
      <x:c r="F29" s="12" t="str">
        <x:v>SEC / NVIDIA</x:v>
      </x:c>
      <x:c r="G29" s="12" t="str">
        <x:v>NVIDIA Announces Financial Results for First Quarter Fiscal 2019</x:v>
      </x:c>
      <x:c r="H29" s="12" t="str">
        <x:v>https://www.sec.gov/Archives/edgar/data/1045810/000104581018000052/form8-kq1fy19.htm</x:v>
      </x:c>
      <x:c r="I29" s="12" t="str">
        <x:v>OPENED/VERIFIED</x:v>
      </x:c>
      <x:c r="J29" s="12" t="str">
        <x:v>PASS</x:v>
      </x:c>
      <x:c r="K29" s="12" t="str">
        <x:v>PASS</x:v>
      </x:c>
      <x:c r="L29" s="12" t="str">
        <x:v>PASS</x:v>
      </x:c>
      <x:c r="M29" s="12" t="str">
        <x:v>NO</x:v>
      </x:c>
      <x:c r="N29" s="12" t="str">
        <x:v>PASS</x:v>
      </x:c>
      <x:c r="O29" s="12" t="str">
        <x:v>FACTUAL</x:v>
      </x:c>
      <x:c r="P29" s="12" t="str">
        <x:v>PASS</x:v>
      </x:c>
      <x:c r="Q29" s="12" t="str">
        <x:v>Checked for NVIDIA/NVDA identity, exact earnings event, displayed publication date, timing window and prohibited-source origin.</x:v>
      </x:c>
    </x:row>
    <x:row r="30">
      <x:c r="A30" s="12" t="str">
        <x:v>2018-08-16</x:v>
      </x:c>
      <x:c r="B30" s="12" t="str">
        <x:v>NVDA</x:v>
      </x:c>
      <x:c r="C30" s="12" t="str">
        <x:v>release</x:v>
      </x:c>
      <x:c r="D30" s="12" t="str">
        <x:v>2018-08-16</x:v>
      </x:c>
      <x:c r="E30" s="12" t="n">
        <x:v>0</x:v>
      </x:c>
      <x:c r="F30" s="12" t="str">
        <x:v>SEC / NVIDIA</x:v>
      </x:c>
      <x:c r="G30" s="12" t="str">
        <x:v>NVIDIA Announces Financial Results for Second Quarter Fiscal 2019</x:v>
      </x:c>
      <x:c r="H30" s="12" t="str">
        <x:v>https://www.sec.gov/Archives/edgar/data/1045810/000104581018000113/q2fy19pr.htm</x:v>
      </x:c>
      <x:c r="I30" s="12" t="str">
        <x:v>OPENED/VERIFIED</x:v>
      </x:c>
      <x:c r="J30" s="12" t="str">
        <x:v>PASS</x:v>
      </x:c>
      <x:c r="K30" s="12" t="str">
        <x:v>PASS</x:v>
      </x:c>
      <x:c r="L30" s="12" t="str">
        <x:v>PASS</x:v>
      </x:c>
      <x:c r="M30" s="12" t="str">
        <x:v>NO</x:v>
      </x:c>
      <x:c r="N30" s="12" t="str">
        <x:v>PASS</x:v>
      </x:c>
      <x:c r="O30" s="12" t="str">
        <x:v>FACTUAL</x:v>
      </x:c>
      <x:c r="P30" s="12" t="str">
        <x:v>PASS</x:v>
      </x:c>
      <x:c r="Q30" s="12" t="str">
        <x:v>Checked for NVIDIA/NVDA identity, exact earnings event, displayed publication date, timing window and prohibited-source origin.</x:v>
      </x:c>
    </x:row>
    <x:row r="31">
      <x:c r="A31" s="12" t="str">
        <x:v>2018-08-16</x:v>
      </x:c>
      <x:c r="B31" s="12" t="str">
        <x:v>NVDA</x:v>
      </x:c>
      <x:c r="C31" s="12" t="str">
        <x:v>reaction</x:v>
      </x:c>
      <x:c r="D31" s="12" t="str">
        <x:v>2018-08-17</x:v>
      </x:c>
      <x:c r="E31" s="12" t="n">
        <x:v>1</x:v>
      </x:c>
      <x:c r="F31" s="12" t="str">
        <x:v>The Motley Fool</x:v>
      </x:c>
      <x:c r="G31" s="12" t="str">
        <x:v>NVIDIA Earnings Soar 91%, but Cryptocurrency Bust Spooks the Market</x:v>
      </x:c>
      <x:c r="H31" s="12" t="str">
        <x:v>https://www.fool.com/investing/2018/08/17/nvidia-earnings-soar-91-but-cryptocurrency-bust-sp.aspx</x:v>
      </x:c>
      <x:c r="I31" s="12" t="str">
        <x:v>OPENED/VERIFIED</x:v>
      </x:c>
      <x:c r="J31" s="12" t="str">
        <x:v>PASS</x:v>
      </x:c>
      <x:c r="K31" s="12" t="str">
        <x:v>PASS</x:v>
      </x:c>
      <x:c r="L31" s="12" t="str">
        <x:v>PASS</x:v>
      </x:c>
      <x:c r="M31" s="12" t="str">
        <x:v>NO</x:v>
      </x:c>
      <x:c r="N31" s="12" t="str">
        <x:v>PASS</x:v>
      </x:c>
      <x:c r="O31" s="12" t="str">
        <x:v>CONTEMPORANEOUS_ATTRIBUTION</x:v>
      </x:c>
      <x:c r="P31" s="12" t="str">
        <x:v>PASS</x:v>
      </x:c>
      <x:c r="Q31" s="12" t="str">
        <x:v>Checked for NVIDIA/NVDA identity, exact earnings event, displayed publication date, timing window and prohibited-source origin.</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4" hidden="0" customWidth="1"/>
    <x:col min="2" max="2" width="9" hidden="0" customWidth="1"/>
    <x:col min="3" max="3" width="13" hidden="0" customWidth="1"/>
    <x:col min="4" max="4" width="16" hidden="0" customWidth="1"/>
    <x:col min="5" max="5" width="20" hidden="0" customWidth="1"/>
    <x:col min="6" max="6" width="20" hidden="0" customWidth="1"/>
    <x:col min="7" max="7" width="20" hidden="0" customWidth="1"/>
    <x:col min="8" max="8" width="18" hidden="0" customWidth="1"/>
    <x:col min="9" max="9" width="14" hidden="0" customWidth="1"/>
    <x:col min="10" max="10" width="23" hidden="0" customWidth="1"/>
    <x:col min="11" max="11" width="14" hidden="0" customWidth="1"/>
  </x:cols>
  <x:sheetData>
    <x:row r="1">
      <x:c r="A1" s="5" t="str">
        <x:v>earnings_date</x:v>
      </x:c>
      <x:c r="B1" s="5" t="str">
        <x:v>ticker</x:v>
      </x:c>
      <x:c r="C1" s="5" t="str">
        <x:v>ret_1day_pct</x:v>
      </x:c>
      <x:c r="D1" s="5" t="str">
        <x:v>ret_1daypost_pct</x:v>
      </x:c>
      <x:c r="E1" s="5" t="str">
        <x:v>reaction_basis</x:v>
      </x:c>
      <x:c r="F1" s="5" t="str">
        <x:v>computed_direction</x:v>
      </x:c>
      <x:c r="G1" s="5" t="str">
        <x:v>narrative_direction</x:v>
      </x:c>
      <x:c r="H1" s="5" t="str">
        <x:v>direction_match</x:v>
      </x:c>
      <x:c r="I1" s="5" t="str">
        <x:v>source_count</x:v>
      </x:c>
      <x:c r="J1" s="5" t="str">
        <x:v>source_audit_pass_count</x:v>
      </x:c>
      <x:c r="K1" s="5" t="str">
        <x:v>qa_status</x:v>
      </x:c>
    </x:row>
    <x:row r="2">
      <x:c r="A2" t="str">
        <x:v>2016-05-12</x:v>
      </x:c>
      <x:c r="B2" t="str">
        <x:v>NVDA</x:v>
      </x:c>
      <x:c r="C2" s="20" t="n">
        <x:v>-1.28</x:v>
      </x:c>
      <x:c r="D2" s="20" t="n">
        <x:v>16.01</x:v>
      </x:c>
      <x:c r="E2" t="str">
        <x:v>ret_1daypost_pct</x:v>
      </x:c>
      <x:c r="F2" t="str">
        <x:f>IF(D2&gt;0.1,"UP",IF(D2&lt;-0.1,"DOWN","FLAT"))</x:f>
        <x:v>UP</x:v>
      </x:c>
      <x:c r="G2" t="str">
        <x:v>UP</x:v>
      </x:c>
      <x:c r="H2" t="str">
        <x:f>IF(F2=G2,"PASS","FAIL")</x:f>
        <x:v>PASS</x:v>
      </x:c>
      <x:c r="I2" t="n">
        <x:v>3</x:v>
      </x:c>
      <x:c r="J2" t="n">
        <x:f>COUNTIFS('Source Audit'!$A:$A,A2,'Source Audit'!$P:$P,"PASS")</x:f>
        <x:v>3</x:v>
      </x:c>
      <x:c r="K2" t="str">
        <x:f>IF(AND(H2="PASS",J2=I2),"PASS","FAIL")</x:f>
        <x:v>PASS</x:v>
      </x:c>
    </x:row>
    <x:row r="3">
      <x:c r="A3" t="str">
        <x:v>2016-08-11</x:v>
      </x:c>
      <x:c r="B3" t="str">
        <x:v>NVDA</x:v>
      </x:c>
      <x:c r="C3" s="20" t="n">
        <x:v>1.55</x:v>
      </x:c>
      <x:c r="D3" s="20" t="n">
        <x:v>5.64</x:v>
      </x:c>
      <x:c r="E3" t="str">
        <x:v>ret_1daypost_pct</x:v>
      </x:c>
      <x:c r="F3" t="str">
        <x:f>IF(D3&gt;0.1,"UP",IF(D3&lt;-0.1,"DOWN","FLAT"))</x:f>
        <x:v>UP</x:v>
      </x:c>
      <x:c r="G3" t="str">
        <x:v>UP</x:v>
      </x:c>
      <x:c r="H3" t="str">
        <x:f>IF(F3=G3,"PASS","FAIL")</x:f>
        <x:v>PASS</x:v>
      </x:c>
      <x:c r="I3" t="n">
        <x:v>3</x:v>
      </x:c>
      <x:c r="J3" t="n">
        <x:f>COUNTIFS('Source Audit'!$A:$A,A3,'Source Audit'!$P:$P,"PASS")</x:f>
        <x:v>3</x:v>
      </x:c>
      <x:c r="K3" t="str">
        <x:f>IF(AND(H3="PASS",J3=I3),"PASS","FAIL")</x:f>
        <x:v>PASS</x:v>
      </x:c>
    </x:row>
    <x:row r="4">
      <x:c r="A4" t="str">
        <x:v>2016-11-10</x:v>
      </x:c>
      <x:c r="B4" t="str">
        <x:v>NVDA</x:v>
      </x:c>
      <x:c r="C4" s="20" t="n">
        <x:v>-3.33</x:v>
      </x:c>
      <x:c r="D4" s="20" t="n">
        <x:v>29.78</x:v>
      </x:c>
      <x:c r="E4" t="str">
        <x:v>ret_1daypost_pct</x:v>
      </x:c>
      <x:c r="F4" t="str">
        <x:f>IF(D4&gt;0.1,"UP",IF(D4&lt;-0.1,"DOWN","FLAT"))</x:f>
        <x:v>UP</x:v>
      </x:c>
      <x:c r="G4" t="str">
        <x:v>UP</x:v>
      </x:c>
      <x:c r="H4" t="str">
        <x:f>IF(F4=G4,"PASS","FAIL")</x:f>
        <x:v>PASS</x:v>
      </x:c>
      <x:c r="I4" t="n">
        <x:v>3</x:v>
      </x:c>
      <x:c r="J4" t="n">
        <x:f>COUNTIFS('Source Audit'!$A:$A,A4,'Source Audit'!$P:$P,"PASS")</x:f>
        <x:v>3</x:v>
      </x:c>
      <x:c r="K4" t="str">
        <x:f>IF(AND(H4="PASS",J4=I4),"PASS","FAIL")</x:f>
        <x:v>PASS</x:v>
      </x:c>
    </x:row>
    <x:row r="5">
      <x:c r="A5" t="str">
        <x:v>2017-02-09</x:v>
      </x:c>
      <x:c r="B5" t="str">
        <x:v>NVDA</x:v>
      </x:c>
      <x:c r="C5" s="20" t="n">
        <x:v>-2.53</x:v>
      </x:c>
      <x:c r="D5" s="20" t="n">
        <x:v>-2.78</x:v>
      </x:c>
      <x:c r="E5" t="str">
        <x:v>ret_1daypost_pct</x:v>
      </x:c>
      <x:c r="F5" t="str">
        <x:f>IF(D5&gt;0.1,"UP",IF(D5&lt;-0.1,"DOWN","FLAT"))</x:f>
        <x:v>DOWN</x:v>
      </x:c>
      <x:c r="G5" t="str">
        <x:v>DOWN</x:v>
      </x:c>
      <x:c r="H5" t="str">
        <x:f>IF(F5=G5,"PASS","FAIL")</x:f>
        <x:v>PASS</x:v>
      </x:c>
      <x:c r="I5" t="n">
        <x:v>3</x:v>
      </x:c>
      <x:c r="J5" t="n">
        <x:f>COUNTIFS('Source Audit'!$A:$A,A5,'Source Audit'!$P:$P,"PASS")</x:f>
        <x:v>3</x:v>
      </x:c>
      <x:c r="K5" t="str">
        <x:f>IF(AND(H5="PASS",J5=I5),"PASS","FAIL")</x:f>
        <x:v>PASS</x:v>
      </x:c>
    </x:row>
    <x:row r="6">
      <x:c r="A6" t="str">
        <x:v>2017-05-09</x:v>
      </x:c>
      <x:c r="B6" t="str">
        <x:v>NVDA</x:v>
      </x:c>
      <x:c r="C6" s="20" t="n">
        <x:v>0.26</x:v>
      </x:c>
      <x:c r="D6" s="20" t="n">
        <x:v>17.57</x:v>
      </x:c>
      <x:c r="E6" t="str">
        <x:v>ret_1daypost_pct</x:v>
      </x:c>
      <x:c r="F6" t="str">
        <x:f>IF(D6&gt;0.1,"UP",IF(D6&lt;-0.1,"DOWN","FLAT"))</x:f>
        <x:v>UP</x:v>
      </x:c>
      <x:c r="G6" t="str">
        <x:v>UP</x:v>
      </x:c>
      <x:c r="H6" t="str">
        <x:f>IF(F6=G6,"PASS","FAIL")</x:f>
        <x:v>PASS</x:v>
      </x:c>
      <x:c r="I6" t="n">
        <x:v>3</x:v>
      </x:c>
      <x:c r="J6" t="n">
        <x:f>COUNTIFS('Source Audit'!$A:$A,A6,'Source Audit'!$P:$P,"PASS")</x:f>
        <x:v>3</x:v>
      </x:c>
      <x:c r="K6" t="str">
        <x:f>IF(AND(H6="PASS",J6=I6),"PASS","FAIL")</x:f>
        <x:v>PASS</x:v>
      </x:c>
    </x:row>
    <x:row r="7">
      <x:c r="A7" t="str">
        <x:v>2017-08-10</x:v>
      </x:c>
      <x:c r="B7" t="str">
        <x:v>NVDA</x:v>
      </x:c>
      <x:c r="C7" s="20" t="n">
        <x:v>-2.84</x:v>
      </x:c>
      <x:c r="D7" s="20" t="n">
        <x:v>-5.48</x:v>
      </x:c>
      <x:c r="E7" t="str">
        <x:v>ret_1daypost_pct</x:v>
      </x:c>
      <x:c r="F7" t="str">
        <x:f>IF(D7&gt;0.1,"UP",IF(D7&lt;-0.1,"DOWN","FLAT"))</x:f>
        <x:v>DOWN</x:v>
      </x:c>
      <x:c r="G7" t="str">
        <x:v>DOWN</x:v>
      </x:c>
      <x:c r="H7" t="str">
        <x:f>IF(F7=G7,"PASS","FAIL")</x:f>
        <x:v>PASS</x:v>
      </x:c>
      <x:c r="I7" t="n">
        <x:v>3</x:v>
      </x:c>
      <x:c r="J7" t="n">
        <x:f>COUNTIFS('Source Audit'!$A:$A,A7,'Source Audit'!$P:$P,"PASS")</x:f>
        <x:v>3</x:v>
      </x:c>
      <x:c r="K7" t="str">
        <x:f>IF(AND(H7="PASS",J7=I7),"PASS","FAIL")</x:f>
        <x:v>PASS</x:v>
      </x:c>
    </x:row>
    <x:row r="8">
      <x:c r="A8" t="str">
        <x:v>2017-11-09</x:v>
      </x:c>
      <x:c r="B8" t="str">
        <x:v>NVDA</x:v>
      </x:c>
      <x:c r="C8" s="20" t="n">
        <x:v>-1.48</x:v>
      </x:c>
      <x:c r="D8" s="20" t="n">
        <x:v>5.3</x:v>
      </x:c>
      <x:c r="E8" t="str">
        <x:v>ret_1daypost_pct</x:v>
      </x:c>
      <x:c r="F8" t="str">
        <x:f>IF(D8&gt;0.1,"UP",IF(D8&lt;-0.1,"DOWN","FLAT"))</x:f>
        <x:v>UP</x:v>
      </x:c>
      <x:c r="G8" t="str">
        <x:v>UP</x:v>
      </x:c>
      <x:c r="H8" t="str">
        <x:f>IF(F8=G8,"PASS","FAIL")</x:f>
        <x:v>PASS</x:v>
      </x:c>
      <x:c r="I8" t="n">
        <x:v>3</x:v>
      </x:c>
      <x:c r="J8" t="n">
        <x:f>COUNTIFS('Source Audit'!$A:$A,A8,'Source Audit'!$P:$P,"PASS")</x:f>
        <x:v>3</x:v>
      </x:c>
      <x:c r="K8" t="str">
        <x:f>IF(AND(H8="PASS",J8=I8),"PASS","FAIL")</x:f>
        <x:v>PASS</x:v>
      </x:c>
    </x:row>
    <x:row r="9">
      <x:c r="A9" t="str">
        <x:v>2018-02-08</x:v>
      </x:c>
      <x:c r="B9" t="str">
        <x:v>NVDA</x:v>
      </x:c>
      <x:c r="C9" s="20" t="n">
        <x:v>-1.46</x:v>
      </x:c>
      <x:c r="D9" s="20" t="n">
        <x:v>5.47</x:v>
      </x:c>
      <x:c r="E9" t="str">
        <x:v>ret_1daypost_pct</x:v>
      </x:c>
      <x:c r="F9" t="str">
        <x:f>IF(D9&gt;0.1,"UP",IF(D9&lt;-0.1,"DOWN","FLAT"))</x:f>
        <x:v>UP</x:v>
      </x:c>
      <x:c r="G9" t="str">
        <x:v>UP</x:v>
      </x:c>
      <x:c r="H9" t="str">
        <x:f>IF(F9=G9,"PASS","FAIL")</x:f>
        <x:v>PASS</x:v>
      </x:c>
      <x:c r="I9" t="n">
        <x:v>3</x:v>
      </x:c>
      <x:c r="J9" t="n">
        <x:f>COUNTIFS('Source Audit'!$A:$A,A9,'Source Audit'!$P:$P,"PASS")</x:f>
        <x:v>3</x:v>
      </x:c>
      <x:c r="K9" t="str">
        <x:f>IF(AND(H9="PASS",J9=I9),"PASS","FAIL")</x:f>
        <x:v>PASS</x:v>
      </x:c>
    </x:row>
    <x:row r="10">
      <x:c r="A10" t="str">
        <x:v>2018-05-10</x:v>
      </x:c>
      <x:c r="B10" t="str">
        <x:v>NVDA</x:v>
      </x:c>
      <x:c r="C10" s="20" t="n">
        <x:v>0.84</x:v>
      </x:c>
      <x:c r="D10" s="20" t="n">
        <x:v>-2.31</x:v>
      </x:c>
      <x:c r="E10" t="str">
        <x:v>ret_1daypost_pct</x:v>
      </x:c>
      <x:c r="F10" t="str">
        <x:f>IF(D10&gt;0.1,"UP",IF(D10&lt;-0.1,"DOWN","FLAT"))</x:f>
        <x:v>DOWN</x:v>
      </x:c>
      <x:c r="G10" t="str">
        <x:v>DOWN</x:v>
      </x:c>
      <x:c r="H10" t="str">
        <x:f>IF(F10=G10,"PASS","FAIL")</x:f>
        <x:v>PASS</x:v>
      </x:c>
      <x:c r="I10" t="n">
        <x:v>3</x:v>
      </x:c>
      <x:c r="J10" t="n">
        <x:f>COUNTIFS('Source Audit'!$A:$A,A10,'Source Audit'!$P:$P,"PASS")</x:f>
        <x:v>3</x:v>
      </x:c>
      <x:c r="K10" t="str">
        <x:f>IF(AND(H10="PASS",J10=I10),"PASS","FAIL")</x:f>
        <x:v>PASS</x:v>
      </x:c>
    </x:row>
    <x:row r="11">
      <x:c r="A11" t="str">
        <x:v>2018-08-16</x:v>
      </x:c>
      <x:c r="B11" t="str">
        <x:v>NVDA</x:v>
      </x:c>
      <x:c r="C11" s="20" t="n">
        <x:v>-1.43</x:v>
      </x:c>
      <x:c r="D11" s="20" t="n">
        <x:v>-5.29</x:v>
      </x:c>
      <x:c r="E11" t="str">
        <x:v>ret_1daypost_pct</x:v>
      </x:c>
      <x:c r="F11" t="str">
        <x:f>IF(D11&gt;0.1,"UP",IF(D11&lt;-0.1,"DOWN","FLAT"))</x:f>
        <x:v>DOWN</x:v>
      </x:c>
      <x:c r="G11" t="str">
        <x:v>DOWN</x:v>
      </x:c>
      <x:c r="H11" t="str">
        <x:f>IF(F11=G11,"PASS","FAIL")</x:f>
        <x:v>PASS</x:v>
      </x:c>
      <x:c r="I11" t="n">
        <x:v>3</x:v>
      </x:c>
      <x:c r="J11" t="n">
        <x:f>COUNTIFS('Source Audit'!$A:$A,A11,'Source Audit'!$P:$P,"PASS")</x:f>
        <x:v>3</x:v>
      </x:c>
      <x:c r="K11" t="str">
        <x:f>IF(AND(H11="PASS",J11=I11),"PASS","FAIL")</x:f>
        <x:v>PASS</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30" hidden="0" customWidth="1"/>
    <x:col min="2" max="2" width="110" hidden="0" customWidth="1"/>
  </x:cols>
  <x:sheetData>
    <x:row r="1">
      <x:c r="A1" s="5" t="str">
        <x:v>Item</x:v>
      </x:c>
      <x:c r="B1" s="5" t="str">
        <x:v>Rule</x:v>
      </x:c>
    </x:row>
    <x:row r="2">
      <x:c r="A2" s="12" t="str">
        <x:v>Rebuild status</x:v>
      </x:c>
      <x:c r="B2" s="12" t="str">
        <x:v>NVDA rebuilt from scratch under the corrected verification protocol.</x:v>
      </x:c>
    </x:row>
    <x:row r="3">
      <x:c r="A3" s="12" t="str">
        <x:v>Identity source</x:v>
      </x:c>
      <x:c r="B3" s="12" t="str">
        <x:v>Ticker/company, exact earnings dates and return fields come directly from group_observations.csv.</x:v>
      </x:c>
    </x:row>
    <x:row r="4">
      <x:c r="A4" s="12" t="str">
        <x:v>Reaction basis</x:v>
      </x:c>
      <x:c r="B4" s="12" t="str">
        <x:v>NVIDIA released these results after the U.S. market close; ret_1daypost_pct is therefore the primary full-session earnings reaction.</x:v>
      </x:c>
    </x:row>
    <x:row r="5">
      <x:c r="A5" s="12" t="str">
        <x:v>Narrative</x:v>
      </x:c>
      <x:c r="B5" s="12" t="str">
        <x:v>Short Prior Context, detailed Current Earnings Release, and three concise event-specific Possible Drivers. No long return-path paragraph.</x:v>
      </x:c>
    </x:row>
    <x:row r="6">
      <x:c r="A6" s="12" t="str">
        <x:v>Sources</x:v>
      </x:c>
      <x:c r="B6" s="12" t="str">
        <x:v>SEC / NVIDIA Investor Relations anchors factual results. Each event includes one verified contemporaneous reaction article.</x:v>
      </x:c>
    </x:row>
    <x:row r="7">
      <x:c r="A7" s="12" t="str">
        <x:v>Timing</x:v>
      </x:c>
      <x:c r="B7" s="12" t="str">
        <x:v>Prior = -100..-1 calendar days; release = day 0; reaction = day 0..+3.</x:v>
      </x:c>
    </x:row>
    <x:row r="8">
      <x:c r="A8" s="12" t="str">
        <x:v>Restrictions</x:v>
      </x:c>
      <x:c r="B8" s="12" t="str">
        <x:v>No WSJ, Reuters, Dow Jones or MarketWatch-syndicated source is included.</x:v>
      </x:c>
    </x:row>
    <x:row r="9">
      <x:c r="A9" s="12" t="str">
        <x:v>QA</x:v>
      </x:c>
      <x:c r="B9" s="12" t="str">
        <x:v>Event QA mechanically recomputes direction from ret_1daypost_pct and requires exactly three PASS source rows per event.</x:v>
      </x:c>
    </x:row>
  </x:sheetData>
  <x:pageMargins left="0.7" right="0.7" top="0.75" bottom="0.75" header="0.3" footer="0.3"/>
</x:worksheet>
</file>