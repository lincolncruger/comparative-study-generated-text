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0af4752c7042b3" /></Relationships>
</file>

<file path=xl/workbook.xml><?xml version="1.0" encoding="utf-8"?>
<x:workbook xmlns:x="http://schemas.openxmlformats.org/spreadsheetml/2006/main">
  <x:sheets>
    <x:sheet xmlns:r="http://schemas.openxmlformats.org/officeDocument/2006/relationships" name="AMZN" sheetId="1" r:id="R3b100a1ccf344932"/>
    <x:sheet xmlns:r="http://schemas.openxmlformats.org/officeDocument/2006/relationships" name="Source Audit" sheetId="2" r:id="R4158c5478e4b40c7"/>
    <x:sheet xmlns:r="http://schemas.openxmlformats.org/officeDocument/2006/relationships" name="Event QA" sheetId="3" r:id="R57f0731b27e444a3"/>
    <x:sheet xmlns:r="http://schemas.openxmlformats.org/officeDocument/2006/relationships" name="Methodology" sheetId="4" r:id="Ra13b7eca8c224d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b7bf090ea546b7" /><Relationship Type="http://schemas.openxmlformats.org/officeDocument/2006/relationships/theme" Target="/xl/theme/theme1.xml" Id="R2e00d0a31f5b476b" /><Relationship Type="http://schemas.openxmlformats.org/officeDocument/2006/relationships/sharedStrings" Target="/xl/sharedStrings.xml" Id="Ra534109cf8274cbd" /><Relationship Type="http://schemas.openxmlformats.org/officeDocument/2006/relationships/worksheet" Target="/xl/worksheets/sheet1.xml" Id="R3b100a1ccf344932" /><Relationship Type="http://schemas.openxmlformats.org/officeDocument/2006/relationships/worksheet" Target="/xl/worksheets/sheet2.xml" Id="R4158c5478e4b40c7" /><Relationship Type="http://schemas.openxmlformats.org/officeDocument/2006/relationships/worksheet" Target="/xl/worksheets/sheet3.xml" Id="R57f0731b27e444a3" /><Relationship Type="http://schemas.openxmlformats.org/officeDocument/2006/relationships/worksheet" Target="/xl/worksheets/sheet4.xml" Id="Ra13b7eca8c224d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2" hidden="0" customWidth="1"/>
    <x:col min="15" max="15" width="62" hidden="0" customWidth="1"/>
    <x:col min="16" max="16" width="62" hidden="0" customWidth="1"/>
    <x:col min="17" max="17" width="76"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AMZN</x:v>
      </x:c>
      <x:c r="C2" s="15" t="str">
        <x:v>Amazon</x:v>
      </x:c>
      <x:c r="D2" s="15" t="str">
        <x:v>2016q2</x:v>
      </x:c>
      <x:c r="E2" s="15" t="str">
        <x:v>2016-04-28</x:v>
      </x:c>
      <x:c r="F2" s="18" t="n">
        <x:v>0.1</x:v>
      </x:c>
      <x:c r="G2" s="18" t="n">
        <x:v>10.01</x:v>
      </x:c>
      <x:c r="H2" s="18" t="n">
        <x:v>10.13</x:v>
      </x:c>
      <x:c r="I2" s="18" t="n">
        <x:v>7.99</x:v>
      </x:c>
      <x:c r="J2" s="18" t="n">
        <x:v>10.44</x:v>
      </x:c>
      <x:c r="K2" s="15" t="str">
        <x:v>ret_1daypost_pct</x:v>
      </x:c>
      <x:c r="L2" s="15" t="str">
        <x:v>UP</x:v>
      </x:c>
      <x:c r="M2" s="15" t="str">
        <x:v>## Prior Context
The January quarter had disappointed investors despite record profit because both revenue and EPS missed expectations. Going into April, the key question was whether Amazon could keep accelerating revenue while proving that AWS and the North American retail business could generate enough operating profit to offset continued investment.
### Verified prior source
2016-01-28 | Amazon | Amazon.com Announces Fourth Quarter Sales up 22% to $35.7 Billion | https://ir.aboutamazon.com/news-release/news-release-details/2016/Amazoncom-Announces-Fourth-Quarter-Sales-up-22-to-357-Billion/default.aspx
## Current Earnings Release
Amazon reported **$29.1 billion of revenue**, up 28% year over year, and **$1.07 of EPS**. Both were far above contemporaneous expectations of roughly $28.0 billion of revenue and $0.58 EPS. The profit surprise was especially important because Amazon had historically prioritized growth over near-term earnings.
The most important mix shift came from **AWS**. AWS revenue rose about **64% to $2.57 billion**, while segment operating income reached roughly **$604 million**, exceeding North America retail operating income despite AWS being much smaller in revenue. North America also improved materially, showing that profitability was no longer coming from only one segment. Q2 revenue guidance of **$28.0–$30.5 billion** kept growth expectations strong.
### Verified release source
2016-04-28 | Amazon | Amazon.com Announces First Quarter Sales up 28% to $29.1 Billion | https://ir.aboutamazon.com/news-release/news-release-details/2016/Amazoncom-Announces-First-Quarter-Sales-up-28-to-291-Billion/default.aspx
## Possible Drivers
**First-order driver.** A large revenue/EPS beat showed that Amazon could sustain rapid growth while producing materially more profit than expected.
**Second-order driver.** AWS became the clearest incremental earnings engine, with very high growth and disproportionate operating profit.
**Third-order driver.** Better North America profitability suggested operating leverage was broadening beyond AWS.
### Verified reaction source
2016-04-28 | TechCrunch | Amazon’s Web Services are shining in its latest earnings beat | https://techcrunch.com/2016/04/28/amazon-is-spiking-after-posting-a-huge-earnings-beat/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2" s="15" t="str">
        <x:v>2016-01-28 | Amazon | Amazon.com Announces Fourth Quarter Sales up 22% to $35.7 Billion | https://ir.aboutamazon.com/news-release/news-release-details/2016/Amazoncom-Announces-Fourth-Quarter-Sales-up-22-to-357-Billion/default.aspx</x:v>
      </x:c>
      <x:c r="O2" s="15" t="str">
        <x:v>2016-04-28 | Amazon | Amazon.com Announces First Quarter Sales up 28% to $29.1 Billion | https://ir.aboutamazon.com/news-release/news-release-details/2016/Amazoncom-Announces-First-Quarter-Sales-up-28-to-291-Billion/default.aspx</x:v>
      </x:c>
      <x:c r="P2" s="15" t="str">
        <x:v>2016-04-28 | TechCrunch | Amazon’s Web Services are shining in its latest earnings beat | https://techcrunch.com/2016/04/28/amazon-is-spiking-after-posting-a-huge-earnings-beat/</x:v>
      </x:c>
      <x:c r="Q2" s="15" t="str">
        <x:v>2016-01-28 | Amazon | Amazon.com Announces Fourth Quarter Sales up 22% to $35.7 Billion | https://ir.aboutamazon.com/news-release/news-release-details/2016/Amazoncom-Announces-Fourth-Quarter-Sales-up-22-to-357-Billion/default.aspx
2016-04-28 | Amazon | Amazon.com Announces First Quarter Sales up 28% to $29.1 Billion | https://ir.aboutamazon.com/news-release/news-release-details/2016/Amazoncom-Announces-First-Quarter-Sales-up-28-to-291-Billion/default.aspx
2016-04-28 | TechCrunch | Amazon’s Web Services are shining in its latest earnings beat | https://techcrunch.com/2016/04/28/amazon-is-spiking-after-posting-a-huge-earnings-beat/</x:v>
      </x:c>
      <x:c r="R2" s="15" t="n">
        <x:v>3</x:v>
      </x:c>
      <x:c r="S2" s="15" t="str">
        <x:v>PASS</x:v>
      </x:c>
    </x:row>
    <x:row r="3" ht="340" customHeight="1">
      <x:c r="A3" s="15" t="n">
        <x:v>1</x:v>
      </x:c>
      <x:c r="B3" s="15" t="str">
        <x:v>AMZN</x:v>
      </x:c>
      <x:c r="C3" s="15" t="str">
        <x:v>Amazon</x:v>
      </x:c>
      <x:c r="D3" s="15" t="str">
        <x:v>2016q3</x:v>
      </x:c>
      <x:c r="E3" s="15" t="str">
        <x:v>2016-07-28</x:v>
      </x:c>
      <x:c r="F3" s="18" t="n">
        <x:v>2</x:v>
      </x:c>
      <x:c r="G3" s="18" t="n">
        <x:v>0.56</x:v>
      </x:c>
      <x:c r="H3" s="18" t="n">
        <x:v>2.57</x:v>
      </x:c>
      <x:c r="I3" s="18" t="n">
        <x:v>2.85</x:v>
      </x:c>
      <x:c r="J3" s="18" t="n">
        <x:v>4.06</x:v>
      </x:c>
      <x:c r="K3" s="15" t="str">
        <x:v>ret_1daypost_pct</x:v>
      </x:c>
      <x:c r="L3" s="15" t="str">
        <x:v>UP</x:v>
      </x:c>
      <x:c r="M3" s="15" t="str">
        <x:v>## Prior Context
The April report had reset the Amazon story around two simultaneous engines: high-growth retail and a rapidly scaling, highly profitable AWS business. Q2 therefore tested whether that profitability was durable rather than a one-quarter surprise.
### Verified prior source
2016-04-28 | Amazon | Amazon.com Announces First Quarter Sales up 28% to $29.1 Billion | https://ir.aboutamazon.com/news-release/news-release-details/2016/Amazoncom-Announces-First-Quarter-Sales-up-28-to-291-Billion/default.aspx
## Current Earnings Release
Amazon delivered **$30.4 billion of revenue**, up 31%, and **$1.78 of EPS**, versus only $0.19 a year earlier. Operating income rose to **$1.3 billion**, well above Amazon’s own prior high-end guidance of $975 million. Trailing-twelve-month operating cash flow and free cash flow also increased sharply.
AWS again led the economics: cloud revenue grew **59%**, and the segment accounted for roughly **41% of operating income**. North American and international retail sales both grew around 30%. The one caution was Q3 operating-income guidance of only **$50–$650 million**, signaling that Amazon intended to reinvest aggressively rather than maximize near-term profit.
### Verified release source
2016-07-28 | Amazon | Amazon.com Announces Second Quarter Sales up 31% to $30.4 Billion | https://ir.aboutamazon.com/news-release/news-release-details/2016/Amazoncom-Announces-Second-Quarter-Sales-up-31-to-304-Billion/default.aspx
## Possible Drivers
**First-order driver.** Profitability again exceeded expectations, confirming that the April earnings surge was not a one-off.
**Second-order driver.** AWS remained the highest-quality growth engine and an increasingly large share of operating income.
**Third-order driver.** Cautious Q3 profit guidance limited the upside by reminding investors that Amazon would continue reinvesting heavily.
### Verified reaction source
2016-07-29 | The Motley Fool | Amazon.com, Inc. Earnings: It's All About Web Services | https://www.fool.com/investing/2016/07/29/amazoncom-inc-earnings-its-all-about-web-services.aspx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3" s="15" t="str">
        <x:v>2016-04-28 | Amazon | Amazon.com Announces First Quarter Sales up 28% to $29.1 Billion | https://ir.aboutamazon.com/news-release/news-release-details/2016/Amazoncom-Announces-First-Quarter-Sales-up-28-to-291-Billion/default.aspx</x:v>
      </x:c>
      <x:c r="O3" s="15" t="str">
        <x:v>2016-07-28 | Amazon | Amazon.com Announces Second Quarter Sales up 31% to $30.4 Billion | https://ir.aboutamazon.com/news-release/news-release-details/2016/Amazoncom-Announces-Second-Quarter-Sales-up-31-to-304-Billion/default.aspx</x:v>
      </x:c>
      <x:c r="P3" s="15" t="str">
        <x:v>2016-07-29 | The Motley Fool | Amazon.com, Inc. Earnings: It's All About Web Services | https://www.fool.com/investing/2016/07/29/amazoncom-inc-earnings-its-all-about-web-services.aspx</x:v>
      </x:c>
      <x:c r="Q3" s="15" t="str">
        <x:v>2016-04-28 | Amazon | Amazon.com Announces First Quarter Sales up 28% to $29.1 Billion | https://ir.aboutamazon.com/news-release/news-release-details/2016/Amazoncom-Announces-First-Quarter-Sales-up-28-to-291-Billion/default.aspx
2016-07-28 | Amazon | Amazon.com Announces Second Quarter Sales up 31% to $30.4 Billion | https://ir.aboutamazon.com/news-release/news-release-details/2016/Amazoncom-Announces-Second-Quarter-Sales-up-31-to-304-Billion/default.aspx
2016-07-29 | The Motley Fool | Amazon.com, Inc. Earnings: It's All About Web Services | https://www.fool.com/investing/2016/07/29/amazoncom-inc-earnings-its-all-about-web-services.aspx</x:v>
      </x:c>
      <x:c r="R3" s="15" t="n">
        <x:v>3</x:v>
      </x:c>
      <x:c r="S3" s="15" t="str">
        <x:v>PASS</x:v>
      </x:c>
    </x:row>
    <x:row r="4" ht="340" customHeight="1">
      <x:c r="A4" s="15" t="n">
        <x:v>2</x:v>
      </x:c>
      <x:c r="B4" s="15" t="str">
        <x:v>AMZN</x:v>
      </x:c>
      <x:c r="C4" s="15" t="str">
        <x:v>Amazon</x:v>
      </x:c>
      <x:c r="D4" s="15" t="str">
        <x:v>2016q4</x:v>
      </x:c>
      <x:c r="E4" s="15" t="str">
        <x:v>2016-10-27</x:v>
      </x:c>
      <x:c r="F4" s="18" t="n">
        <x:v>-0.12</x:v>
      </x:c>
      <x:c r="G4" s="18" t="n">
        <x:v>-4.88</x:v>
      </x:c>
      <x:c r="H4" s="18" t="n">
        <x:v>-4.99</x:v>
      </x:c>
      <x:c r="I4" s="18" t="n">
        <x:v>-6.16</x:v>
      </x:c>
      <x:c r="J4" s="18" t="n">
        <x:v>-4.45</x:v>
      </x:c>
      <x:c r="K4" s="15" t="str">
        <x:v>ret_1daypost_pct</x:v>
      </x:c>
      <x:c r="L4" s="15" t="str">
        <x:v>DOWN</x:v>
      </x:c>
      <x:c r="M4" s="15" t="str">
        <x:v>## Prior Context
Amazon entered Q3 after two unusually profitable quarters, so investors had begun expecting both very high revenue growth and improving earnings. That raised the bar just as Amazon was spending heavily on fulfillment, video, India and AWS infrastructure.
### Verified prior source
2016-07-28 | Amazon | Amazon.com Announces Second Quarter Sales up 31% to $30.4 Billion | https://ir.aboutamazon.com/news-release/news-release-details/2016/Amazoncom-Announces-Second-Quarter-Sales-up-31-to-304-Billion/default.aspx
## Current Earnings Release
Q3 revenue rose **29% to $32.7 billion**, broadly consistent with expectations, while AWS revenue jumped **55% to $3.23 billion**. Operating cash flow and free cash flow remained strong, and AWS operating income continued to grow rapidly.
The disappointment was the bottom line. EPS of **$0.52** was well below consensus near $0.78, while North America operating margin fell sharply from Q2 as spending accelerated. More importantly, Amazon guided Q4 operating income to a very wide **$0–$1.25 billion** range, below what the market had been expecting. The report therefore changed the near-term story from “rapid growth plus expanding profit” back toward “rapid growth funded by heavy reinvestment.”
### Verified release source
2016-10-27 | Amazon | Amazon.com Announces Third Quarter Sales up 29% to $32.7 Billion | https://ir.aboutamazon.com/news-release/news-release-details/2016/Amazoncom-Announces-Third-Quarter-Sales-up-29-to-327-Billion/default.aspx
## Possible Drivers
**First-order driver.** The negative reaction came from a large EPS miss and weaker-than-expected holiday-quarter profit guidance.
**Second-order driver.** Higher fulfillment, content and infrastructure investment compressed North America profitability.
**Third-order driver.** AWS remained very strong, but its profit growth could not fully offset the renewed spending cycle.
### Verified reaction source
2016-10-28 | The Motley Fool | Amazon.com Inc. Earnings: AWS Takes the Lead Again | https://www.fool.com/investing/2016/10/28/amazoncom-inc-earnings-aws-takes-the-lead-again.aspx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4" s="15" t="str">
        <x:v>2016-07-28 | Amazon | Amazon.com Announces Second Quarter Sales up 31% to $30.4 Billion | https://ir.aboutamazon.com/news-release/news-release-details/2016/Amazoncom-Announces-Second-Quarter-Sales-up-31-to-304-Billion/default.aspx</x:v>
      </x:c>
      <x:c r="O4" s="15" t="str">
        <x:v>2016-10-27 | Amazon | Amazon.com Announces Third Quarter Sales up 29% to $32.7 Billion | https://ir.aboutamazon.com/news-release/news-release-details/2016/Amazoncom-Announces-Third-Quarter-Sales-up-29-to-327-Billion/default.aspx</x:v>
      </x:c>
      <x:c r="P4" s="15" t="str">
        <x:v>2016-10-28 | The Motley Fool | Amazon.com Inc. Earnings: AWS Takes the Lead Again | https://www.fool.com/investing/2016/10/28/amazoncom-inc-earnings-aws-takes-the-lead-again.aspx</x:v>
      </x:c>
      <x:c r="Q4" s="15" t="str">
        <x:v>2016-07-28 | Amazon | Amazon.com Announces Second Quarter Sales up 31% to $30.4 Billion | https://ir.aboutamazon.com/news-release/news-release-details/2016/Amazoncom-Announces-Second-Quarter-Sales-up-31-to-304-Billion/default.aspx
2016-10-27 | Amazon | Amazon.com Announces Third Quarter Sales up 29% to $32.7 Billion | https://ir.aboutamazon.com/news-release/news-release-details/2016/Amazoncom-Announces-Third-Quarter-Sales-up-29-to-327-Billion/default.aspx
2016-10-28 | The Motley Fool | Amazon.com Inc. Earnings: AWS Takes the Lead Again | https://www.fool.com/investing/2016/10/28/amazoncom-inc-earnings-aws-takes-the-lead-again.aspx</x:v>
      </x:c>
      <x:c r="R4" s="15" t="n">
        <x:v>3</x:v>
      </x:c>
      <x:c r="S4" s="15" t="str">
        <x:v>PASS</x:v>
      </x:c>
    </x:row>
    <x:row r="5" ht="340" customHeight="1">
      <x:c r="A5" s="15" t="n">
        <x:v>3</x:v>
      </x:c>
      <x:c r="B5" s="15" t="str">
        <x:v>AMZN</x:v>
      </x:c>
      <x:c r="C5" s="15" t="str">
        <x:v>Amazon</x:v>
      </x:c>
      <x:c r="D5" s="15" t="str">
        <x:v>2017q1</x:v>
      </x:c>
      <x:c r="E5" s="15" t="str">
        <x:v>2017-02-02</x:v>
      </x:c>
      <x:c r="F5" s="18" t="n">
        <x:v>0.85</x:v>
      </x:c>
      <x:c r="G5" s="18" t="n">
        <x:v>-4.32</x:v>
      </x:c>
      <x:c r="H5" s="18" t="n">
        <x:v>-3.51</x:v>
      </x:c>
      <x:c r="I5" s="18" t="n">
        <x:v>-2.49</x:v>
      </x:c>
      <x:c r="J5" s="18" t="n">
        <x:v>-1.9</x:v>
      </x:c>
      <x:c r="K5" s="15" t="str">
        <x:v>ret_1daypost_pct</x:v>
      </x:c>
      <x:c r="L5" s="15" t="str">
        <x:v>DOWN</x:v>
      </x:c>
      <x:c r="M5" s="15" t="str">
        <x:v>## Prior Context
The October selloff had already shown that investors would penalize Amazon when reinvestment overwhelmed the income statement. By February, the stock had recovered and expectations were again high, especially for holiday retail revenue and AWS growth.
### Verified prior source
2016-10-27 | Amazon | Amazon.com Announces Third Quarter Sales up 29% to $32.7 Billion | https://ir.aboutamazon.com/news-release/news-release-details/2016/Amazoncom-Announces-Third-Quarter-Sales-up-29-to-327-Billion/default.aspx
## Current Earnings Release
Amazon reported holiday-quarter revenue of **$43.7 billion**, up 22%, and EPS of **$1.54**. EPS exceeded consensus near $1.35, but revenue was below the roughly $44.7 billion analysts expected. AWS continued to grow rapidly and Amazon finished 2016 with substantially higher annual operating income and net income.
The problem was the forward growth signal. Amazon guided Q1 revenue to **$33.25–$35.75 billion**, which implied slower growth than investors had hoped for. Because the shares had rallied strongly into the print, a modest top-line miss carried more weight than the better-than-expected EPS.
### Verified release source
2017-02-02 | Amazon | Amazon.com Announces Fourth Quarter Sales up 22% to $43.7 Billion | https://ir.aboutamazon.com/news-release/news-release-details/2017/Amazoncom-Announces-Fourth-Quarter-Sales-up-22-to-437-Billion/default.aspx
## Possible Drivers
**First-order driver.** Revenue missed expectations and the Q1 sales outlook was softer than the market wanted.
**Second-order driver.** EPS was better than expected, so the concern was growth quality rather than current profitability.
**Third-order driver.** High expectations after the pre-earnings rally amplified the impact of the top-line disappointment.
### Verified reaction source
2017-02-02 | TechCrunch | Amazon fumbles earnings amidst high expectations | https://techcrunch.com/2017/02/02/amazon-fumbles-earnings-amidst-high-expectations/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5" s="15" t="str">
        <x:v>2016-10-27 | Amazon | Amazon.com Announces Third Quarter Sales up 29% to $32.7 Billion | https://ir.aboutamazon.com/news-release/news-release-details/2016/Amazoncom-Announces-Third-Quarter-Sales-up-29-to-327-Billion/default.aspx</x:v>
      </x:c>
      <x:c r="O5" s="15" t="str">
        <x:v>2017-02-02 | Amazon | Amazon.com Announces Fourth Quarter Sales up 22% to $43.7 Billion | https://ir.aboutamazon.com/news-release/news-release-details/2017/Amazoncom-Announces-Fourth-Quarter-Sales-up-22-to-437-Billion/default.aspx</x:v>
      </x:c>
      <x:c r="P5" s="15" t="str">
        <x:v>2017-02-02 | TechCrunch | Amazon fumbles earnings amidst high expectations | https://techcrunch.com/2017/02/02/amazon-fumbles-earnings-amidst-high-expectations/</x:v>
      </x:c>
      <x:c r="Q5" s="15" t="str">
        <x:v>2016-10-27 | Amazon | Amazon.com Announces Third Quarter Sales up 29% to $32.7 Billion | https://ir.aboutamazon.com/news-release/news-release-details/2016/Amazoncom-Announces-Third-Quarter-Sales-up-29-to-327-Billion/default.aspx
2017-02-02 | Amazon | Amazon.com Announces Fourth Quarter Sales up 22% to $43.7 Billion | https://ir.aboutamazon.com/news-release/news-release-details/2017/Amazoncom-Announces-Fourth-Quarter-Sales-up-22-to-437-Billion/default.aspx
2017-02-02 | TechCrunch | Amazon fumbles earnings amidst high expectations | https://techcrunch.com/2017/02/02/amazon-fumbles-earnings-amidst-high-expectations/</x:v>
      </x:c>
      <x:c r="R5" s="15" t="n">
        <x:v>3</x:v>
      </x:c>
      <x:c r="S5" s="15" t="str">
        <x:v>PASS</x:v>
      </x:c>
    </x:row>
    <x:row r="6" ht="340" customHeight="1">
      <x:c r="A6" s="15" t="n">
        <x:v>4</x:v>
      </x:c>
      <x:c r="B6" s="15" t="str">
        <x:v>AMZN</x:v>
      </x:c>
      <x:c r="C6" s="15" t="str">
        <x:v>Amazon</x:v>
      </x:c>
      <x:c r="D6" s="15" t="str">
        <x:v>2017q2</x:v>
      </x:c>
      <x:c r="E6" s="15" t="str">
        <x:v>2017-04-27</x:v>
      </x:c>
      <x:c r="F6" s="18" t="n">
        <x:v>1</x:v>
      </x:c>
      <x:c r="G6" s="18" t="n">
        <x:v>0.98</x:v>
      </x:c>
      <x:c r="H6" s="18" t="n">
        <x:v>1.99</x:v>
      </x:c>
      <x:c r="I6" s="18" t="n">
        <x:v>2.19</x:v>
      </x:c>
      <x:c r="J6" s="18" t="n">
        <x:v>4.39</x:v>
      </x:c>
      <x:c r="K6" s="15" t="str">
        <x:v>ret_1daypost_pct</x:v>
      </x:c>
      <x:c r="L6" s="15" t="str">
        <x:v>UP</x:v>
      </x:c>
      <x:c r="M6" s="15" t="str">
        <x:v>## Prior Context
After February’s revenue miss, Amazon needed to show that the slowdown was not becoming structural. Investors were also watching whether AWS margins could remain strong despite price cuts and infrastructure expansion.
### Verified prior source
2017-02-02 | Amazon | Amazon.com Announces Fourth Quarter Sales up 22% to $43.7 Billion | https://ir.aboutamazon.com/news-release/news-release-details/2017/Amazoncom-Announces-Fourth-Quarter-Sales-up-22-to-437-Billion/default.aspx
## Current Earnings Release
Q1 revenue increased **23% to $35.7 billion** and EPS rose to **$1.48** from $1.07. Amazon comfortably exceeded its own revenue and operating-income guidance. AWS revenue rose **43%**, while AWS operating income increased even faster to about **$890 million**.
North America remained profitable, while International losses widened as Amazon invested heavily in India and other markets. That mix mattered: the company was showing strong consolidated earnings despite deliberately subsidizing long-term international growth. Q2 guidance still implied lower operating income year over year, keeping reinvestment risk visible.
### Verified release source
2017-04-27 | Amazon | Amazon.com Announces First Quarter Sales up 23% to $35.7 Billion | https://ir.aboutamazon.com/news-release/news-release-details/2017/Amazoncom-Announces-First-Quarter-Sales-up-23-to-357-Billion/default.aspx
## Possible Drivers
**First-order driver.** Amazon beat its own revenue and operating-profit targets by a wide margin.
**Second-order driver.** AWS profit growth outpaced revenue growth, demonstrating resilient cloud economics despite price competition.
**Third-order driver.** International losses remained the main drag as Amazon funded expansion in India and other markets.
### Verified reaction source
2017-04-28 | The Motley Fool | How Amazon.com, Inc. Crushed Its Own Q1 Targets | https://www.fool.com/investing/2017/04/28/how-amazoncom-inc-crushed-its-own-q1-targets.aspx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6" s="15" t="str">
        <x:v>2017-02-02 | Amazon | Amazon.com Announces Fourth Quarter Sales up 22% to $43.7 Billion | https://ir.aboutamazon.com/news-release/news-release-details/2017/Amazoncom-Announces-Fourth-Quarter-Sales-up-22-to-437-Billion/default.aspx</x:v>
      </x:c>
      <x:c r="O6" s="15" t="str">
        <x:v>2017-04-27 | Amazon | Amazon.com Announces First Quarter Sales up 23% to $35.7 Billion | https://ir.aboutamazon.com/news-release/news-release-details/2017/Amazoncom-Announces-First-Quarter-Sales-up-23-to-357-Billion/default.aspx</x:v>
      </x:c>
      <x:c r="P6" s="15" t="str">
        <x:v>2017-04-28 | The Motley Fool | How Amazon.com, Inc. Crushed Its Own Q1 Targets | https://www.fool.com/investing/2017/04/28/how-amazoncom-inc-crushed-its-own-q1-targets.aspx</x:v>
      </x:c>
      <x:c r="Q6" s="15" t="str">
        <x:v>2017-02-02 | Amazon | Amazon.com Announces Fourth Quarter Sales up 22% to $43.7 Billion | https://ir.aboutamazon.com/news-release/news-release-details/2017/Amazoncom-Announces-Fourth-Quarter-Sales-up-22-to-437-Billion/default.aspx
2017-04-27 | Amazon | Amazon.com Announces First Quarter Sales up 23% to $35.7 Billion | https://ir.aboutamazon.com/news-release/news-release-details/2017/Amazoncom-Announces-First-Quarter-Sales-up-23-to-357-Billion/default.aspx
2017-04-28 | The Motley Fool | How Amazon.com, Inc. Crushed Its Own Q1 Targets | https://www.fool.com/investing/2017/04/28/how-amazoncom-inc-crushed-its-own-q1-targets.aspx</x:v>
      </x:c>
      <x:c r="R6" s="15" t="n">
        <x:v>3</x:v>
      </x:c>
      <x:c r="S6" s="15" t="str">
        <x:v>PASS</x:v>
      </x:c>
    </x:row>
    <x:row r="7" ht="340" customHeight="1">
      <x:c r="A7" s="15" t="n">
        <x:v>5</x:v>
      </x:c>
      <x:c r="B7" s="15" t="str">
        <x:v>AMZN</x:v>
      </x:c>
      <x:c r="C7" s="15" t="str">
        <x:v>Amazon</x:v>
      </x:c>
      <x:c r="D7" s="15" t="str">
        <x:v>2017q3</x:v>
      </x:c>
      <x:c r="E7" s="15" t="str">
        <x:v>2017-07-27</x:v>
      </x:c>
      <x:c r="F7" s="18" t="n">
        <x:v>-0.44</x:v>
      </x:c>
      <x:c r="G7" s="18" t="n">
        <x:v>-2.38</x:v>
      </x:c>
      <x:c r="H7" s="18" t="n">
        <x:v>-2.8</x:v>
      </x:c>
      <x:c r="I7" s="18" t="n">
        <x:v>-1.58</x:v>
      </x:c>
      <x:c r="J7" s="18" t="n">
        <x:v>-4.03</x:v>
      </x:c>
      <x:c r="K7" s="15" t="str">
        <x:v>ret_1daypost_pct</x:v>
      </x:c>
      <x:c r="L7" s="15" t="str">
        <x:v>DOWN</x:v>
      </x:c>
      <x:c r="M7" s="15" t="str">
        <x:v>## Prior Context
Revenue growth remained strong, but Amazon was entering another major investment phase across fulfillment, video, Alexa, India and AWS capacity. The market therefore needed to decide how much near-term profit compression it was willing to tolerate for future growth.
### Verified prior source
2017-04-27 | Amazon | Amazon.com Announces First Quarter Sales up 23% to $35.7 Billion | https://ir.aboutamazon.com/news-release/news-release-details/2017/Amazoncom-Announces-First-Quarter-Sales-up-23-to-357-Billion/default.aspx
## Current Earnings Release
Q2 revenue increased **25% to $38.0 billion**, above expectations and above the top end of Amazon’s prior guidance. But net income fell nearly 80% to **$197 million**, or only **$0.40 per share**, versus analyst expectations around $1.41.
The earnings shortfall was not caused by weak demand. North America revenue grew strongly and AWS revenue rose **42%** to about $4.1 billion. Instead, Amazon sharply increased spending on fulfillment capacity, logistics, digital video, Alexa, India and AWS infrastructure. AWS operating income of about **$916 million** also fell slightly short of expectations. Q3 operating-income guidance allowed for a loss, confirming that investment intensity would remain elevated.
### Verified release source
2017-07-27 | Amazon | Amazon.com Announces Second Quarter Sales up 25% to $38.0 Billion | https://ir.aboutamazon.com/news-release/news-release-details/2017/Amazoncom-Announces-Second-Quarter-Sales-up-25-to-380-Billion/default.aspx
## Possible Drivers
**First-order driver.** The stock fell because EPS missed by roughly $1 per share despite strong revenue growth.
**Second-order driver.** Heavy reinvestment—not weak demand—was the main reason consolidated profit collapsed.
**Third-order driver.** AWS remained strong, but even cloud profit was slightly below the market’s elevated expectations.
### Verified reaction source
2017-07-28 | The Motley Fool | Not Even AWS Could Save Amazon.com's Bottom Line | https://www.fool.com/investing/2017/07/28/not-even-aws-could-save-amazoncoms-bottom-line.aspx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7" s="15" t="str">
        <x:v>2017-04-27 | Amazon | Amazon.com Announces First Quarter Sales up 23% to $35.7 Billion | https://ir.aboutamazon.com/news-release/news-release-details/2017/Amazoncom-Announces-First-Quarter-Sales-up-23-to-357-Billion/default.aspx</x:v>
      </x:c>
      <x:c r="O7" s="15" t="str">
        <x:v>2017-07-27 | Amazon | Amazon.com Announces Second Quarter Sales up 25% to $38.0 Billion | https://ir.aboutamazon.com/news-release/news-release-details/2017/Amazoncom-Announces-Second-Quarter-Sales-up-25-to-380-Billion/default.aspx</x:v>
      </x:c>
      <x:c r="P7" s="15" t="str">
        <x:v>2017-07-28 | The Motley Fool | Not Even AWS Could Save Amazon.com's Bottom Line | https://www.fool.com/investing/2017/07/28/not-even-aws-could-save-amazoncoms-bottom-line.aspx</x:v>
      </x:c>
      <x:c r="Q7" s="15" t="str">
        <x:v>2017-04-27 | Amazon | Amazon.com Announces First Quarter Sales up 23% to $35.7 Billion | https://ir.aboutamazon.com/news-release/news-release-details/2017/Amazoncom-Announces-First-Quarter-Sales-up-23-to-357-Billion/default.aspx
2017-07-27 | Amazon | Amazon.com Announces Second Quarter Sales up 25% to $38.0 Billion | https://ir.aboutamazon.com/news-release/news-release-details/2017/Amazoncom-Announces-Second-Quarter-Sales-up-25-to-380-Billion/default.aspx
2017-07-28 | The Motley Fool | Not Even AWS Could Save Amazon.com's Bottom Line | https://www.fool.com/investing/2017/07/28/not-even-aws-could-save-amazoncoms-bottom-line.aspx</x:v>
      </x:c>
      <x:c r="R7" s="15" t="n">
        <x:v>3</x:v>
      </x:c>
      <x:c r="S7" s="15" t="str">
        <x:v>PASS</x:v>
      </x:c>
    </x:row>
    <x:row r="8" ht="340" customHeight="1">
      <x:c r="A8" s="15" t="n">
        <x:v>6</x:v>
      </x:c>
      <x:c r="B8" s="15" t="str">
        <x:v>AMZN</x:v>
      </x:c>
      <x:c r="C8" s="15" t="str">
        <x:v>Amazon</x:v>
      </x:c>
      <x:c r="D8" s="15" t="str">
        <x:v>2017q4</x:v>
      </x:c>
      <x:c r="E8" s="15" t="str">
        <x:v>2017-10-26</x:v>
      </x:c>
      <x:c r="F8" s="18" t="n">
        <x:v>-0.2</x:v>
      </x:c>
      <x:c r="G8" s="18" t="n">
        <x:v>12.46</x:v>
      </x:c>
      <x:c r="H8" s="18" t="n">
        <x:v>12.23</x:v>
      </x:c>
      <x:c r="I8" s="18" t="n">
        <x:v>12.5</x:v>
      </x:c>
      <x:c r="J8" s="18" t="n">
        <x:v>13.09</x:v>
      </x:c>
      <x:c r="K8" s="15" t="str">
        <x:v>ret_1daypost_pct</x:v>
      </x:c>
      <x:c r="L8" s="15" t="str">
        <x:v>UP</x:v>
      </x:c>
      <x:c r="M8" s="15" t="str">
        <x:v>## Prior Context
After the July profit miss, expectations for near-term earnings had been cut sharply. Amazon also closed the Whole Foods acquisition during Q3, adding a new physical-retail channel just as the market was questioning how much investment would be required to sustain growth.
### Verified prior source
2017-07-27 | Amazon | Amazon.com Announces Second Quarter Sales up 25% to $38.0 Billion | https://ir.aboutamazon.com/news-release/news-release-details/2017/Amazoncom-Announces-Second-Quarter-Sales-up-25-to-380-Billion/default.aspx
## Current Earnings Release
Q3 net sales jumped **34% to $43.7 billion**. Whole Foods contributed about $1.3 billion, but even excluding Whole Foods and currency effects, Amazon still landed above its prior revenue-guidance range. EPS was **$0.52**, dramatically above the tiny consensus expectation of roughly $0.03.
The report also improved the forward picture. Amazon’s Q4 sales guidance had a midpoint around **$68 billion**, well above the roughly $59 billion analysts had expected, although part of the difference reflected Whole Foods. AWS revenue increased about **42%**, and Amazon exceeded its operating-profit target despite continued heavy investment.
### Verified release source
2017-10-26 | Amazon | Amazon.com Announces Third Quarter Sales up 34% to $43.7 Billion | https://ir.aboutamazon.com/news-release/news-release-details/2017/Amazoncom-Announces-Third-Quarter-Sales-up-34-to-437-Billion/default.aspx
## Possible Drivers
**First-order driver.** A massive earnings surprise and stronger-than-expected sales drove the sharp positive repricing.
**Second-order driver.** Whole Foods added scale, but the core Amazon business also exceeded prior guidance.
**Third-order driver.** Strong holiday-quarter guidance suggested the investment cycle was translating into faster growth.
### Verified reaction source
2017-10-27 | The Motley Fool | Why Amazon.com Shares Are Soaring Today | https://www.fool.com/investing/2017/10/27/why-amazoncom-shares-are-soaring-today.aspx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8" s="15" t="str">
        <x:v>2017-07-27 | Amazon | Amazon.com Announces Second Quarter Sales up 25% to $38.0 Billion | https://ir.aboutamazon.com/news-release/news-release-details/2017/Amazoncom-Announces-Second-Quarter-Sales-up-25-to-380-Billion/default.aspx</x:v>
      </x:c>
      <x:c r="O8" s="15" t="str">
        <x:v>2017-10-26 | Amazon | Amazon.com Announces Third Quarter Sales up 34% to $43.7 Billion | https://ir.aboutamazon.com/news-release/news-release-details/2017/Amazoncom-Announces-Third-Quarter-Sales-up-34-to-437-Billion/default.aspx</x:v>
      </x:c>
      <x:c r="P8" s="15" t="str">
        <x:v>2017-10-27 | The Motley Fool | Why Amazon.com Shares Are Soaring Today | https://www.fool.com/investing/2017/10/27/why-amazoncom-shares-are-soaring-today.aspx</x:v>
      </x:c>
      <x:c r="Q8" s="15" t="str">
        <x:v>2017-07-27 | Amazon | Amazon.com Announces Second Quarter Sales up 25% to $38.0 Billion | https://ir.aboutamazon.com/news-release/news-release-details/2017/Amazoncom-Announces-Second-Quarter-Sales-up-25-to-380-Billion/default.aspx
2017-10-26 | Amazon | Amazon.com Announces Third Quarter Sales up 34% to $43.7 Billion | https://ir.aboutamazon.com/news-release/news-release-details/2017/Amazoncom-Announces-Third-Quarter-Sales-up-34-to-437-Billion/default.aspx
2017-10-27 | The Motley Fool | Why Amazon.com Shares Are Soaring Today | https://www.fool.com/investing/2017/10/27/why-amazoncom-shares-are-soaring-today.aspx</x:v>
      </x:c>
      <x:c r="R8" s="15" t="n">
        <x:v>3</x:v>
      </x:c>
      <x:c r="S8" s="15" t="str">
        <x:v>PASS</x:v>
      </x:c>
    </x:row>
    <x:row r="9" ht="340" customHeight="1">
      <x:c r="A9" s="15" t="n">
        <x:v>7</x:v>
      </x:c>
      <x:c r="B9" s="15" t="str">
        <x:v>AMZN</x:v>
      </x:c>
      <x:c r="C9" s="15" t="str">
        <x:v>Amazon</x:v>
      </x:c>
      <x:c r="D9" s="15" t="str">
        <x:v>2018q1</x:v>
      </x:c>
      <x:c r="E9" s="15" t="str">
        <x:v>2018-02-01</x:v>
      </x:c>
      <x:c r="F9" s="18" t="n">
        <x:v>-4.17</x:v>
      </x:c>
      <x:c r="G9" s="18" t="n">
        <x:v>4.96</x:v>
      </x:c>
      <x:c r="H9" s="18" t="n">
        <x:v>0.58</x:v>
      </x:c>
      <x:c r="I9" s="18" t="n">
        <x:v>1.48</x:v>
      </x:c>
      <x:c r="J9" s="18" t="n">
        <x:v>4.83</x:v>
      </x:c>
      <x:c r="K9" s="15" t="str">
        <x:v>ret_1daypost_pct</x:v>
      </x:c>
      <x:c r="L9" s="15" t="str">
        <x:v>UP</x:v>
      </x:c>
      <x:c r="M9" s="15" t="str">
        <x:v>## Prior Context
The October quarter had restored confidence that Amazon could exceed expectations even while integrating Whole Foods. Holiday results therefore had to confirm that the combination of core e-commerce, AWS and the new physical-store business could sustain unusually high growth.
### Verified prior source
2017-10-26 | Amazon | Amazon.com Announces Third Quarter Sales up 34% to $43.7 Billion | https://ir.aboutamazon.com/news-release/news-release-details/2017/Amazoncom-Announces-Third-Quarter-Sales-up-34-to-437-Billion/default.aspx
## Current Earnings Release
Holiday-quarter revenue rose **38% to $60.5 billion**, near the high end of Amazon’s guidance and above consensus. Operating income increased **69%**, and adjusted EPS excluding a one-time tax benefit was about **$2.19**, above expectations near $1.85.
AWS remained central to the quality of the result, while Whole Foods contributed a full quarter of physical-store revenue. Amazon also guided Q1 revenue to **$47.75–$50.75 billion**, implying 34%–42% growth. The combination of very high sales growth and a step-up in underlying operating profit weakened the longstanding argument that Amazon could grow only by suppressing earnings.
### Verified release source
2018-02-01 | Amazon | Amazon.com Announces Fourth Quarter Sales up 38% to $60.5 Billion | https://ir.aboutamazon.com/news-release/news-release-details/2018/Amazoncom-Announces-Fourth-Quarter-Sales-up-38-to-605-Billion/default.aspx
## Possible Drivers
**First-order driver.** Revenue and adjusted earnings both beat expectations, producing a high-quality holiday-quarter surprise.
**Second-order driver.** Operating income accelerated, showing better profit conversion at scale.
**Third-order driver.** Strong Q1 sales guidance kept the growth trajectory unusually high even after Whole Foods entered the base.
### Verified reaction source
2018-02-02 | The Motley Fool | Why Amazon.com, Inc. Shares Jumped 8% Higher Today | https://www.fool.com/investing/2018/02/02/why-amazoncom-inc-shares-jumped-8-higher-today.aspx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9" s="15" t="str">
        <x:v>2017-10-26 | Amazon | Amazon.com Announces Third Quarter Sales up 34% to $43.7 Billion | https://ir.aboutamazon.com/news-release/news-release-details/2017/Amazoncom-Announces-Third-Quarter-Sales-up-34-to-437-Billion/default.aspx</x:v>
      </x:c>
      <x:c r="O9" s="15" t="str">
        <x:v>2018-02-01 | Amazon | Amazon.com Announces Fourth Quarter Sales up 38% to $60.5 Billion | https://ir.aboutamazon.com/news-release/news-release-details/2018/Amazoncom-Announces-Fourth-Quarter-Sales-up-38-to-605-Billion/default.aspx</x:v>
      </x:c>
      <x:c r="P9" s="15" t="str">
        <x:v>2018-02-02 | The Motley Fool | Why Amazon.com, Inc. Shares Jumped 8% Higher Today | https://www.fool.com/investing/2018/02/02/why-amazoncom-inc-shares-jumped-8-higher-today.aspx</x:v>
      </x:c>
      <x:c r="Q9" s="15" t="str">
        <x:v>2017-10-26 | Amazon | Amazon.com Announces Third Quarter Sales up 34% to $43.7 Billion | https://ir.aboutamazon.com/news-release/news-release-details/2017/Amazoncom-Announces-Third-Quarter-Sales-up-34-to-437-Billion/default.aspx
2018-02-01 | Amazon | Amazon.com Announces Fourth Quarter Sales up 38% to $60.5 Billion | https://ir.aboutamazon.com/news-release/news-release-details/2018/Amazoncom-Announces-Fourth-Quarter-Sales-up-38-to-605-Billion/default.aspx
2018-02-02 | The Motley Fool | Why Amazon.com, Inc. Shares Jumped 8% Higher Today | https://www.fool.com/investing/2018/02/02/why-amazoncom-inc-shares-jumped-8-higher-today.aspx</x:v>
      </x:c>
      <x:c r="R9" s="15" t="n">
        <x:v>3</x:v>
      </x:c>
      <x:c r="S9" s="15" t="str">
        <x:v>PASS</x:v>
      </x:c>
    </x:row>
    <x:row r="10" ht="340" customHeight="1">
      <x:c r="A10" s="15" t="n">
        <x:v>8</x:v>
      </x:c>
      <x:c r="B10" s="15" t="str">
        <x:v>AMZN</x:v>
      </x:c>
      <x:c r="C10" s="15" t="str">
        <x:v>Amazon</x:v>
      </x:c>
      <x:c r="D10" s="15" t="str">
        <x:v>2018q2</x:v>
      </x:c>
      <x:c r="E10" s="15" t="str">
        <x:v>2018-04-26</x:v>
      </x:c>
      <x:c r="F10" s="18" t="n">
        <x:v>3.06</x:v>
      </x:c>
      <x:c r="G10" s="18" t="n">
        <x:v>3.53</x:v>
      </x:c>
      <x:c r="H10" s="18" t="n">
        <x:v>6.69</x:v>
      </x:c>
      <x:c r="I10" s="18" t="n">
        <x:v>6.62</x:v>
      </x:c>
      <x:c r="J10" s="18" t="n">
        <x:v>7.82</x:v>
      </x:c>
      <x:c r="K10" s="15" t="str">
        <x:v>ret_1daypost_pct</x:v>
      </x:c>
      <x:c r="L10" s="15" t="str">
        <x:v>UP</x:v>
      </x:c>
      <x:c r="M10" s="15" t="str">
        <x:v>## Prior Context
Amazon had just delivered a record holiday profit while sustaining extremely high sales growth. The April print therefore tested whether the improvement in profitability was becoming structural rather than simply seasonal.
### Verified prior source
2018-02-01 | Amazon | Amazon.com Announces Fourth Quarter Sales up 38% to $60.5 Billion | https://ir.aboutamazon.com/news-release/news-release-details/2018/Amazoncom-Announces-Fourth-Quarter-Sales-up-38-to-605-Billion/default.aspx
## Current Earnings Release
Q1 revenue surged **43% to $51.0 billion**, above both Amazon’s guidance and Wall Street expectations near $49.9 billion. EPS reached **$3.27**, more than double consensus near $1.27. Operating income rose **92% to $1.9 billion**, almost twice the high end of Amazon’s own guidance.
AWS revenue accelerated to **49% growth**, while North America sales increased 46%. Third-party seller services and subscription revenue also grew very rapidly, improving the mix toward higher-margin services. Amazon then guided Q2 operating income to **$1.1–$1.9 billion**, well above the prior-year $628 million. The quarter showed genuine operating leverage alongside continued top-line acceleration.
### Verified release source
2018-04-26 | Amazon | Amazon.com Announces First Quarter Sales up 43% to $51.0 Billion | https://ir.aboutamazon.com/news-release/news-release-details/2018/Amazoncom-Announces-First-Quarter-Sales-up-43-to-510-Billion/default.aspx
## Possible Drivers
**First-order driver.** Amazon demolished both earnings and revenue expectations while also exceeding its own profit guidance.
**Second-order driver.** AWS growth accelerated and remained the most important source of operating profit.
**Third-order driver.** Higher-margin seller and subscription services improved the quality of the retail revenue mix.
### Verified reaction source
2018-04-27 | The Motley Fool | Amazon Earnings Demolish Expectations: 6 Metrics You Should See | https://www.fool.com/investing/2018/04/27/amazon-earnings-demolish-expectations-6-metrics-yo.aspx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10" s="15" t="str">
        <x:v>2018-02-01 | Amazon | Amazon.com Announces Fourth Quarter Sales up 38% to $60.5 Billion | https://ir.aboutamazon.com/news-release/news-release-details/2018/Amazoncom-Announces-Fourth-Quarter-Sales-up-38-to-605-Billion/default.aspx</x:v>
      </x:c>
      <x:c r="O10" s="15" t="str">
        <x:v>2018-04-26 | Amazon | Amazon.com Announces First Quarter Sales up 43% to $51.0 Billion | https://ir.aboutamazon.com/news-release/news-release-details/2018/Amazoncom-Announces-First-Quarter-Sales-up-43-to-510-Billion/default.aspx</x:v>
      </x:c>
      <x:c r="P10" s="15" t="str">
        <x:v>2018-04-27 | The Motley Fool | Amazon Earnings Demolish Expectations: 6 Metrics You Should See | https://www.fool.com/investing/2018/04/27/amazon-earnings-demolish-expectations-6-metrics-yo.aspx</x:v>
      </x:c>
      <x:c r="Q10" s="15" t="str">
        <x:v>2018-02-01 | Amazon | Amazon.com Announces Fourth Quarter Sales up 38% to $60.5 Billion | https://ir.aboutamazon.com/news-release/news-release-details/2018/Amazoncom-Announces-Fourth-Quarter-Sales-up-38-to-605-Billion/default.aspx
2018-04-26 | Amazon | Amazon.com Announces First Quarter Sales up 43% to $51.0 Billion | https://ir.aboutamazon.com/news-release/news-release-details/2018/Amazoncom-Announces-First-Quarter-Sales-up-43-to-510-Billion/default.aspx
2018-04-27 | The Motley Fool | Amazon Earnings Demolish Expectations: 6 Metrics You Should See | https://www.fool.com/investing/2018/04/27/amazon-earnings-demolish-expectations-6-metrics-yo.aspx</x:v>
      </x:c>
      <x:c r="R10" s="15" t="n">
        <x:v>3</x:v>
      </x:c>
      <x:c r="S10" s="15" t="str">
        <x:v>PASS</x:v>
      </x:c>
    </x:row>
    <x:row r="11" ht="340" customHeight="1">
      <x:c r="A11" s="15" t="n">
        <x:v>9</x:v>
      </x:c>
      <x:c r="B11" s="15" t="str">
        <x:v>AMZN</x:v>
      </x:c>
      <x:c r="C11" s="15" t="str">
        <x:v>Amazon</x:v>
      </x:c>
      <x:c r="D11" s="15" t="str">
        <x:v>2018q3</x:v>
      </x:c>
      <x:c r="E11" s="15" t="str">
        <x:v>2018-07-26</x:v>
      </x:c>
      <x:c r="F11" s="18" t="n">
        <x:v>-2.83</x:v>
      </x:c>
      <x:c r="G11" s="18" t="n">
        <x:v>1.28</x:v>
      </x:c>
      <x:c r="H11" s="18" t="n">
        <x:v>-1.59</x:v>
      </x:c>
      <x:c r="I11" s="18" t="n">
        <x:v>-0.55</x:v>
      </x:c>
      <x:c r="J11" s="18" t="n">
        <x:v>-2.72</x:v>
      </x:c>
      <x:c r="K11" s="15" t="str">
        <x:v>ret_1daypost_pct</x:v>
      </x:c>
      <x:c r="L11" s="15" t="str">
        <x:v>UP</x:v>
      </x:c>
      <x:c r="M11" s="15" t="str">
        <x:v>## Prior Context
After two consecutive quarters of unusually strong profit conversion, investors were beginning to value Amazon not only for revenue growth but also for its ability to expand margins through AWS, advertising and third-party services.
### Verified prior source
2018-04-26 | Amazon | Amazon.com Announces First Quarter Sales up 43% to $51.0 Billion | https://ir.aboutamazon.com/news-release/news-release-details/2018/Amazoncom-Announces-First-Quarter-Sales-up-43-to-510-Billion/default.aspx
## Current Earnings Release
Q2 revenue increased **39% to $52.9 billion**, slightly below consensus but still above the midpoint of Amazon’s guidance. The key surprise was profitability: operating income rose to **$3.0 billion** from $628 million a year earlier, while EPS surged to **$5.07**, more than double Wall Street expectations.
AWS revenue increased **49% to $6.1 billion**, maintaining its acceleration, while higher-margin advertising and third-party services were also scaling rapidly. Amazon guided Q3 operating income to **$1.4–$2.4 billion**, representing several-fold growth from the prior year. The print therefore reinforced a structural shift: Amazon was still growing near 40%, but the marginal dollar of growth was becoming substantially more profitable.
### Verified release source
2018-07-26 | Amazon | Amazon.com Announces Second Quarter Sales up 39% to $52.9 Billion | https://ir.aboutamazon.com/news-release/news-release-details/2018/Amazoncom-Announces-Second-Quarter-Sales-up-39-to-529-Billion/default.aspx
## Possible Drivers
**First-order driver.** A huge earnings and operating-profit beat outweighed the small revenue shortfall.
**Second-order driver.** AWS continued accelerating and remained the primary profit engine.
**Third-order driver.** Advertising and third-party services increasingly improved consolidated margins.
### Verified reaction source
2018-07-27 | The Motley Fool | Amazon Earnings Trounce Expectations (Again!): 6 Metrics You Should See | https://www.fool.com/investing/2018/07/27/amazon-earnings-trounce-expectations-again-6-metri.aspx
## Verification Status
All included pages were opened and checked for Amazon/AMZN identity, the correct earnings event, publication date, timing window, and source-origin restrictions. No Reuters, Dow Jones, WSJ, or MarketWatch-syndicated article is included. Attribution strength: **EXPLICIT**.
</x:v>
      </x:c>
      <x:c r="N11" s="15" t="str">
        <x:v>2018-04-26 | Amazon | Amazon.com Announces First Quarter Sales up 43% to $51.0 Billion | https://ir.aboutamazon.com/news-release/news-release-details/2018/Amazoncom-Announces-First-Quarter-Sales-up-43-to-510-Billion/default.aspx</x:v>
      </x:c>
      <x:c r="O11" s="15" t="str">
        <x:v>2018-07-26 | Amazon | Amazon.com Announces Second Quarter Sales up 39% to $52.9 Billion | https://ir.aboutamazon.com/news-release/news-release-details/2018/Amazoncom-Announces-Second-Quarter-Sales-up-39-to-529-Billion/default.aspx</x:v>
      </x:c>
      <x:c r="P11" s="15" t="str">
        <x:v>2018-07-27 | The Motley Fool | Amazon Earnings Trounce Expectations (Again!): 6 Metrics You Should See | https://www.fool.com/investing/2018/07/27/amazon-earnings-trounce-expectations-again-6-metri.aspx</x:v>
      </x:c>
      <x:c r="Q11" s="15" t="str">
        <x:v>2018-04-26 | Amazon | Amazon.com Announces First Quarter Sales up 43% to $51.0 Billion | https://ir.aboutamazon.com/news-release/news-release-details/2018/Amazoncom-Announces-First-Quarter-Sales-up-43-to-510-Billion/default.aspx
2018-07-26 | Amazon | Amazon.com Announces Second Quarter Sales up 39% to $52.9 Billion | https://ir.aboutamazon.com/news-release/news-release-details/2018/Amazoncom-Announces-Second-Quarter-Sales-up-39-to-529-Billion/default.aspx
2018-07-27 | The Motley Fool | Amazon Earnings Trounce Expectations (Again!): 6 Metrics You Should See | https://www.fool.com/investing/2018/07/27/amazon-earnings-trounce-expectations-again-6-metri.aspx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2" hidden="0" customWidth="1"/>
    <x:col min="7" max="7" width="58" hidden="0" customWidth="1"/>
    <x:col min="8" max="8" width="90"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2" hidden="0" customWidth="1"/>
    <x:col min="16" max="16" width="14" hidden="0" customWidth="1"/>
    <x:col min="17" max="17" width="72"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2016-04-28</x:v>
      </x:c>
      <x:c r="B2" s="12" t="str">
        <x:v>AMZN</x:v>
      </x:c>
      <x:c r="C2" s="12" t="str">
        <x:v>prior</x:v>
      </x:c>
      <x:c r="D2" s="12" t="str">
        <x:v>2016-01-28</x:v>
      </x:c>
      <x:c r="E2" s="12" t="n">
        <x:v>-91</x:v>
      </x:c>
      <x:c r="F2" s="12" t="str">
        <x:v>Amazon</x:v>
      </x:c>
      <x:c r="G2" s="12" t="str">
        <x:v>Amazon.com Announces Fourth Quarter Sales up 22% to $35.7 Billion</x:v>
      </x:c>
      <x:c r="H2" s="12" t="str">
        <x:v>https://ir.aboutamazon.com/news-release/news-release-details/2016/Amazoncom-Announces-Fourth-Quarter-Sales-up-22-to-357-Billion/default.aspx</x:v>
      </x:c>
      <x:c r="I2" s="12" t="str">
        <x:v>OPENED_OK</x:v>
      </x:c>
      <x:c r="J2" s="12" t="str">
        <x:v>PASS</x:v>
      </x:c>
      <x:c r="K2" s="12" t="str">
        <x:v>PASS</x:v>
      </x:c>
      <x:c r="L2" s="12" t="str">
        <x:v>PASS</x:v>
      </x:c>
      <x:c r="M2" s="12" t="str">
        <x:v>NO</x:v>
      </x:c>
      <x:c r="N2" s="12" t="str">
        <x:v>PASS</x:v>
      </x:c>
      <x:c r="O2" s="12" t="str">
        <x:v>FACTUAL</x:v>
      </x:c>
      <x:c r="P2" s="12" t="str">
        <x:v>PASS</x:v>
      </x:c>
      <x:c r="Q2" s="12" t="str">
        <x:v>Page opened successfully and was checked for Amazon/AMZN identity, exact earnings event, displayed publication date, timing role, and prohibited-source origin.</x:v>
      </x:c>
    </x:row>
    <x:row r="3">
      <x:c r="A3" s="12" t="str">
        <x:v>2016-04-28</x:v>
      </x:c>
      <x:c r="B3" s="12" t="str">
        <x:v>AMZN</x:v>
      </x:c>
      <x:c r="C3" s="12" t="str">
        <x:v>release</x:v>
      </x:c>
      <x:c r="D3" s="12" t="str">
        <x:v>2016-04-28</x:v>
      </x:c>
      <x:c r="E3" s="12" t="n">
        <x:v>0</x:v>
      </x:c>
      <x:c r="F3" s="12" t="str">
        <x:v>Amazon</x:v>
      </x:c>
      <x:c r="G3" s="12" t="str">
        <x:v>Amazon.com Announces First Quarter Sales up 28% to $29.1 Billion</x:v>
      </x:c>
      <x:c r="H3" s="12" t="str">
        <x:v>https://ir.aboutamazon.com/news-release/news-release-details/2016/Amazoncom-Announces-First-Quarter-Sales-up-28-to-291-Billion/default.aspx</x:v>
      </x:c>
      <x:c r="I3" s="12" t="str">
        <x:v>OPENED_OK</x:v>
      </x:c>
      <x:c r="J3" s="12" t="str">
        <x:v>PASS</x:v>
      </x:c>
      <x:c r="K3" s="12" t="str">
        <x:v>PASS</x:v>
      </x:c>
      <x:c r="L3" s="12" t="str">
        <x:v>PASS</x:v>
      </x:c>
      <x:c r="M3" s="12" t="str">
        <x:v>NO</x:v>
      </x:c>
      <x:c r="N3" s="12" t="str">
        <x:v>PASS</x:v>
      </x:c>
      <x:c r="O3" s="12" t="str">
        <x:v>FACTUAL</x:v>
      </x:c>
      <x:c r="P3" s="12" t="str">
        <x:v>PASS</x:v>
      </x:c>
      <x:c r="Q3" s="12" t="str">
        <x:v>Page opened successfully and was checked for Amazon/AMZN identity, exact earnings event, displayed publication date, timing role, and prohibited-source origin.</x:v>
      </x:c>
    </x:row>
    <x:row r="4">
      <x:c r="A4" s="12" t="str">
        <x:v>2016-04-28</x:v>
      </x:c>
      <x:c r="B4" s="12" t="str">
        <x:v>AMZN</x:v>
      </x:c>
      <x:c r="C4" s="12" t="str">
        <x:v>reaction</x:v>
      </x:c>
      <x:c r="D4" s="12" t="str">
        <x:v>2016-04-28</x:v>
      </x:c>
      <x:c r="E4" s="12" t="n">
        <x:v>0</x:v>
      </x:c>
      <x:c r="F4" s="12" t="str">
        <x:v>TechCrunch</x:v>
      </x:c>
      <x:c r="G4" s="12" t="str">
        <x:v>Amazon’s Web Services are shining in its latest earnings beat</x:v>
      </x:c>
      <x:c r="H4" s="12" t="str">
        <x:v>https://techcrunch.com/2016/04/28/amazon-is-spiking-after-posting-a-huge-earnings-beat/</x:v>
      </x:c>
      <x:c r="I4" s="12" t="str">
        <x:v>OPENED_OK</x:v>
      </x:c>
      <x:c r="J4" s="12" t="str">
        <x:v>PASS</x:v>
      </x:c>
      <x:c r="K4" s="12" t="str">
        <x:v>PASS</x:v>
      </x:c>
      <x:c r="L4" s="12" t="str">
        <x:v>PASS</x:v>
      </x:c>
      <x:c r="M4" s="12" t="str">
        <x:v>NO</x:v>
      </x:c>
      <x:c r="N4" s="12" t="str">
        <x:v>PASS</x:v>
      </x:c>
      <x:c r="O4" s="12" t="str">
        <x:v>EXPLICIT</x:v>
      </x:c>
      <x:c r="P4" s="12" t="str">
        <x:v>PASS</x:v>
      </x:c>
      <x:c r="Q4" s="12" t="str">
        <x:v>Page opened successfully and was checked for Amazon/AMZN identity, exact earnings event, displayed publication date, timing role, and prohibited-source origin.</x:v>
      </x:c>
    </x:row>
    <x:row r="5">
      <x:c r="A5" s="12" t="str">
        <x:v>2016-07-28</x:v>
      </x:c>
      <x:c r="B5" s="12" t="str">
        <x:v>AMZN</x:v>
      </x:c>
      <x:c r="C5" s="12" t="str">
        <x:v>prior</x:v>
      </x:c>
      <x:c r="D5" s="12" t="str">
        <x:v>2016-04-28</x:v>
      </x:c>
      <x:c r="E5" s="12" t="n">
        <x:v>-91</x:v>
      </x:c>
      <x:c r="F5" s="12" t="str">
        <x:v>Amazon</x:v>
      </x:c>
      <x:c r="G5" s="12" t="str">
        <x:v>Amazon.com Announces First Quarter Sales up 28% to $29.1 Billion</x:v>
      </x:c>
      <x:c r="H5" s="12" t="str">
        <x:v>https://ir.aboutamazon.com/news-release/news-release-details/2016/Amazoncom-Announces-First-Quarter-Sales-up-28-to-291-Billion/default.aspx</x:v>
      </x:c>
      <x:c r="I5" s="12" t="str">
        <x:v>OPENED_OK</x:v>
      </x:c>
      <x:c r="J5" s="12" t="str">
        <x:v>PASS</x:v>
      </x:c>
      <x:c r="K5" s="12" t="str">
        <x:v>PASS</x:v>
      </x:c>
      <x:c r="L5" s="12" t="str">
        <x:v>PASS</x:v>
      </x:c>
      <x:c r="M5" s="12" t="str">
        <x:v>NO</x:v>
      </x:c>
      <x:c r="N5" s="12" t="str">
        <x:v>PASS</x:v>
      </x:c>
      <x:c r="O5" s="12" t="str">
        <x:v>FACTUAL</x:v>
      </x:c>
      <x:c r="P5" s="12" t="str">
        <x:v>PASS</x:v>
      </x:c>
      <x:c r="Q5" s="12" t="str">
        <x:v>Page opened successfully and was checked for Amazon/AMZN identity, exact earnings event, displayed publication date, timing role, and prohibited-source origin.</x:v>
      </x:c>
    </x:row>
    <x:row r="6">
      <x:c r="A6" s="12" t="str">
        <x:v>2016-07-28</x:v>
      </x:c>
      <x:c r="B6" s="12" t="str">
        <x:v>AMZN</x:v>
      </x:c>
      <x:c r="C6" s="12" t="str">
        <x:v>release</x:v>
      </x:c>
      <x:c r="D6" s="12" t="str">
        <x:v>2016-07-28</x:v>
      </x:c>
      <x:c r="E6" s="12" t="n">
        <x:v>0</x:v>
      </x:c>
      <x:c r="F6" s="12" t="str">
        <x:v>Amazon</x:v>
      </x:c>
      <x:c r="G6" s="12" t="str">
        <x:v>Amazon.com Announces Second Quarter Sales up 31% to $30.4 Billion</x:v>
      </x:c>
      <x:c r="H6" s="12" t="str">
        <x:v>https://ir.aboutamazon.com/news-release/news-release-details/2016/Amazoncom-Announces-Second-Quarter-Sales-up-31-to-304-Billion/default.aspx</x:v>
      </x:c>
      <x:c r="I6" s="12" t="str">
        <x:v>OPENED_OK</x:v>
      </x:c>
      <x:c r="J6" s="12" t="str">
        <x:v>PASS</x:v>
      </x:c>
      <x:c r="K6" s="12" t="str">
        <x:v>PASS</x:v>
      </x:c>
      <x:c r="L6" s="12" t="str">
        <x:v>PASS</x:v>
      </x:c>
      <x:c r="M6" s="12" t="str">
        <x:v>NO</x:v>
      </x:c>
      <x:c r="N6" s="12" t="str">
        <x:v>PASS</x:v>
      </x:c>
      <x:c r="O6" s="12" t="str">
        <x:v>FACTUAL</x:v>
      </x:c>
      <x:c r="P6" s="12" t="str">
        <x:v>PASS</x:v>
      </x:c>
      <x:c r="Q6" s="12" t="str">
        <x:v>Page opened successfully and was checked for Amazon/AMZN identity, exact earnings event, displayed publication date, timing role, and prohibited-source origin.</x:v>
      </x:c>
    </x:row>
    <x:row r="7">
      <x:c r="A7" s="12" t="str">
        <x:v>2016-07-28</x:v>
      </x:c>
      <x:c r="B7" s="12" t="str">
        <x:v>AMZN</x:v>
      </x:c>
      <x:c r="C7" s="12" t="str">
        <x:v>reaction</x:v>
      </x:c>
      <x:c r="D7" s="12" t="str">
        <x:v>2016-07-29</x:v>
      </x:c>
      <x:c r="E7" s="12" t="n">
        <x:v>1</x:v>
      </x:c>
      <x:c r="F7" s="12" t="str">
        <x:v>The Motley Fool</x:v>
      </x:c>
      <x:c r="G7" s="12" t="str">
        <x:v>Amazon.com, Inc. Earnings: It's All About Web Services</x:v>
      </x:c>
      <x:c r="H7" s="12" t="str">
        <x:v>https://www.fool.com/investing/2016/07/29/amazoncom-inc-earnings-its-all-about-web-services.aspx</x:v>
      </x:c>
      <x:c r="I7" s="12" t="str">
        <x:v>OPENED_OK</x:v>
      </x:c>
      <x:c r="J7" s="12" t="str">
        <x:v>PASS</x:v>
      </x:c>
      <x:c r="K7" s="12" t="str">
        <x:v>PASS</x:v>
      </x:c>
      <x:c r="L7" s="12" t="str">
        <x:v>PASS</x:v>
      </x:c>
      <x:c r="M7" s="12" t="str">
        <x:v>NO</x:v>
      </x:c>
      <x:c r="N7" s="12" t="str">
        <x:v>PASS</x:v>
      </x:c>
      <x:c r="O7" s="12" t="str">
        <x:v>EXPLICIT</x:v>
      </x:c>
      <x:c r="P7" s="12" t="str">
        <x:v>PASS</x:v>
      </x:c>
      <x:c r="Q7" s="12" t="str">
        <x:v>Page opened successfully and was checked for Amazon/AMZN identity, exact earnings event, displayed publication date, timing role, and prohibited-source origin.</x:v>
      </x:c>
    </x:row>
    <x:row r="8">
      <x:c r="A8" s="12" t="str">
        <x:v>2016-10-27</x:v>
      </x:c>
      <x:c r="B8" s="12" t="str">
        <x:v>AMZN</x:v>
      </x:c>
      <x:c r="C8" s="12" t="str">
        <x:v>prior</x:v>
      </x:c>
      <x:c r="D8" s="12" t="str">
        <x:v>2016-07-28</x:v>
      </x:c>
      <x:c r="E8" s="12" t="n">
        <x:v>-91</x:v>
      </x:c>
      <x:c r="F8" s="12" t="str">
        <x:v>Amazon</x:v>
      </x:c>
      <x:c r="G8" s="12" t="str">
        <x:v>Amazon.com Announces Second Quarter Sales up 31% to $30.4 Billion</x:v>
      </x:c>
      <x:c r="H8" s="12" t="str">
        <x:v>https://ir.aboutamazon.com/news-release/news-release-details/2016/Amazoncom-Announces-Second-Quarter-Sales-up-31-to-304-Billion/default.aspx</x:v>
      </x:c>
      <x:c r="I8" s="12" t="str">
        <x:v>OPENED_OK</x:v>
      </x:c>
      <x:c r="J8" s="12" t="str">
        <x:v>PASS</x:v>
      </x:c>
      <x:c r="K8" s="12" t="str">
        <x:v>PASS</x:v>
      </x:c>
      <x:c r="L8" s="12" t="str">
        <x:v>PASS</x:v>
      </x:c>
      <x:c r="M8" s="12" t="str">
        <x:v>NO</x:v>
      </x:c>
      <x:c r="N8" s="12" t="str">
        <x:v>PASS</x:v>
      </x:c>
      <x:c r="O8" s="12" t="str">
        <x:v>FACTUAL</x:v>
      </x:c>
      <x:c r="P8" s="12" t="str">
        <x:v>PASS</x:v>
      </x:c>
      <x:c r="Q8" s="12" t="str">
        <x:v>Page opened successfully and was checked for Amazon/AMZN identity, exact earnings event, displayed publication date, timing role, and prohibited-source origin.</x:v>
      </x:c>
    </x:row>
    <x:row r="9">
      <x:c r="A9" s="12" t="str">
        <x:v>2016-10-27</x:v>
      </x:c>
      <x:c r="B9" s="12" t="str">
        <x:v>AMZN</x:v>
      </x:c>
      <x:c r="C9" s="12" t="str">
        <x:v>release</x:v>
      </x:c>
      <x:c r="D9" s="12" t="str">
        <x:v>2016-10-27</x:v>
      </x:c>
      <x:c r="E9" s="12" t="n">
        <x:v>0</x:v>
      </x:c>
      <x:c r="F9" s="12" t="str">
        <x:v>Amazon</x:v>
      </x:c>
      <x:c r="G9" s="12" t="str">
        <x:v>Amazon.com Announces Third Quarter Sales up 29% to $32.7 Billion</x:v>
      </x:c>
      <x:c r="H9" s="12" t="str">
        <x:v>https://ir.aboutamazon.com/news-release/news-release-details/2016/Amazoncom-Announces-Third-Quarter-Sales-up-29-to-327-Billion/default.aspx</x:v>
      </x:c>
      <x:c r="I9" s="12" t="str">
        <x:v>OPENED_OK</x:v>
      </x:c>
      <x:c r="J9" s="12" t="str">
        <x:v>PASS</x:v>
      </x:c>
      <x:c r="K9" s="12" t="str">
        <x:v>PASS</x:v>
      </x:c>
      <x:c r="L9" s="12" t="str">
        <x:v>PASS</x:v>
      </x:c>
      <x:c r="M9" s="12" t="str">
        <x:v>NO</x:v>
      </x:c>
      <x:c r="N9" s="12" t="str">
        <x:v>PASS</x:v>
      </x:c>
      <x:c r="O9" s="12" t="str">
        <x:v>FACTUAL</x:v>
      </x:c>
      <x:c r="P9" s="12" t="str">
        <x:v>PASS</x:v>
      </x:c>
      <x:c r="Q9" s="12" t="str">
        <x:v>Page opened successfully and was checked for Amazon/AMZN identity, exact earnings event, displayed publication date, timing role, and prohibited-source origin.</x:v>
      </x:c>
    </x:row>
    <x:row r="10">
      <x:c r="A10" s="12" t="str">
        <x:v>2016-10-27</x:v>
      </x:c>
      <x:c r="B10" s="12" t="str">
        <x:v>AMZN</x:v>
      </x:c>
      <x:c r="C10" s="12" t="str">
        <x:v>reaction</x:v>
      </x:c>
      <x:c r="D10" s="12" t="str">
        <x:v>2016-10-28</x:v>
      </x:c>
      <x:c r="E10" s="12" t="n">
        <x:v>1</x:v>
      </x:c>
      <x:c r="F10" s="12" t="str">
        <x:v>The Motley Fool</x:v>
      </x:c>
      <x:c r="G10" s="12" t="str">
        <x:v>Amazon.com Inc. Earnings: AWS Takes the Lead Again</x:v>
      </x:c>
      <x:c r="H10" s="12" t="str">
        <x:v>https://www.fool.com/investing/2016/10/28/amazoncom-inc-earnings-aws-takes-the-lead-again.aspx</x:v>
      </x:c>
      <x:c r="I10" s="12" t="str">
        <x:v>OPENED_OK</x:v>
      </x:c>
      <x:c r="J10" s="12" t="str">
        <x:v>PASS</x:v>
      </x:c>
      <x:c r="K10" s="12" t="str">
        <x:v>PASS</x:v>
      </x:c>
      <x:c r="L10" s="12" t="str">
        <x:v>PASS</x:v>
      </x:c>
      <x:c r="M10" s="12" t="str">
        <x:v>NO</x:v>
      </x:c>
      <x:c r="N10" s="12" t="str">
        <x:v>PASS</x:v>
      </x:c>
      <x:c r="O10" s="12" t="str">
        <x:v>EXPLICIT</x:v>
      </x:c>
      <x:c r="P10" s="12" t="str">
        <x:v>PASS</x:v>
      </x:c>
      <x:c r="Q10" s="12" t="str">
        <x:v>Page opened successfully and was checked for Amazon/AMZN identity, exact earnings event, displayed publication date, timing role, and prohibited-source origin.</x:v>
      </x:c>
    </x:row>
    <x:row r="11">
      <x:c r="A11" s="12" t="str">
        <x:v>2017-02-02</x:v>
      </x:c>
      <x:c r="B11" s="12" t="str">
        <x:v>AMZN</x:v>
      </x:c>
      <x:c r="C11" s="12" t="str">
        <x:v>prior</x:v>
      </x:c>
      <x:c r="D11" s="12" t="str">
        <x:v>2016-10-27</x:v>
      </x:c>
      <x:c r="E11" s="12" t="n">
        <x:v>-98</x:v>
      </x:c>
      <x:c r="F11" s="12" t="str">
        <x:v>Amazon</x:v>
      </x:c>
      <x:c r="G11" s="12" t="str">
        <x:v>Amazon.com Announces Third Quarter Sales up 29% to $32.7 Billion</x:v>
      </x:c>
      <x:c r="H11" s="12" t="str">
        <x:v>https://ir.aboutamazon.com/news-release/news-release-details/2016/Amazoncom-Announces-Third-Quarter-Sales-up-29-to-327-Billion/default.aspx</x:v>
      </x:c>
      <x:c r="I11" s="12" t="str">
        <x:v>OPENED_OK</x:v>
      </x:c>
      <x:c r="J11" s="12" t="str">
        <x:v>PASS</x:v>
      </x:c>
      <x:c r="K11" s="12" t="str">
        <x:v>PASS</x:v>
      </x:c>
      <x:c r="L11" s="12" t="str">
        <x:v>PASS</x:v>
      </x:c>
      <x:c r="M11" s="12" t="str">
        <x:v>NO</x:v>
      </x:c>
      <x:c r="N11" s="12" t="str">
        <x:v>PASS</x:v>
      </x:c>
      <x:c r="O11" s="12" t="str">
        <x:v>FACTUAL</x:v>
      </x:c>
      <x:c r="P11" s="12" t="str">
        <x:v>PASS</x:v>
      </x:c>
      <x:c r="Q11" s="12" t="str">
        <x:v>Page opened successfully and was checked for Amazon/AMZN identity, exact earnings event, displayed publication date, timing role, and prohibited-source origin.</x:v>
      </x:c>
    </x:row>
    <x:row r="12">
      <x:c r="A12" s="12" t="str">
        <x:v>2017-02-02</x:v>
      </x:c>
      <x:c r="B12" s="12" t="str">
        <x:v>AMZN</x:v>
      </x:c>
      <x:c r="C12" s="12" t="str">
        <x:v>release</x:v>
      </x:c>
      <x:c r="D12" s="12" t="str">
        <x:v>2017-02-02</x:v>
      </x:c>
      <x:c r="E12" s="12" t="n">
        <x:v>0</x:v>
      </x:c>
      <x:c r="F12" s="12" t="str">
        <x:v>Amazon</x:v>
      </x:c>
      <x:c r="G12" s="12" t="str">
        <x:v>Amazon.com Announces Fourth Quarter Sales up 22% to $43.7 Billion</x:v>
      </x:c>
      <x:c r="H12" s="12" t="str">
        <x:v>https://ir.aboutamazon.com/news-release/news-release-details/2017/Amazoncom-Announces-Fourth-Quarter-Sales-up-22-to-437-Billion/default.aspx</x:v>
      </x:c>
      <x:c r="I12" s="12" t="str">
        <x:v>OPENED_OK</x:v>
      </x:c>
      <x:c r="J12" s="12" t="str">
        <x:v>PASS</x:v>
      </x:c>
      <x:c r="K12" s="12" t="str">
        <x:v>PASS</x:v>
      </x:c>
      <x:c r="L12" s="12" t="str">
        <x:v>PASS</x:v>
      </x:c>
      <x:c r="M12" s="12" t="str">
        <x:v>NO</x:v>
      </x:c>
      <x:c r="N12" s="12" t="str">
        <x:v>PASS</x:v>
      </x:c>
      <x:c r="O12" s="12" t="str">
        <x:v>FACTUAL</x:v>
      </x:c>
      <x:c r="P12" s="12" t="str">
        <x:v>PASS</x:v>
      </x:c>
      <x:c r="Q12" s="12" t="str">
        <x:v>Page opened successfully and was checked for Amazon/AMZN identity, exact earnings event, displayed publication date, timing role, and prohibited-source origin.</x:v>
      </x:c>
    </x:row>
    <x:row r="13">
      <x:c r="A13" s="12" t="str">
        <x:v>2017-02-02</x:v>
      </x:c>
      <x:c r="B13" s="12" t="str">
        <x:v>AMZN</x:v>
      </x:c>
      <x:c r="C13" s="12" t="str">
        <x:v>reaction</x:v>
      </x:c>
      <x:c r="D13" s="12" t="str">
        <x:v>2017-02-02</x:v>
      </x:c>
      <x:c r="E13" s="12" t="n">
        <x:v>0</x:v>
      </x:c>
      <x:c r="F13" s="12" t="str">
        <x:v>TechCrunch</x:v>
      </x:c>
      <x:c r="G13" s="12" t="str">
        <x:v>Amazon fumbles earnings amidst high expectations</x:v>
      </x:c>
      <x:c r="H13" s="12" t="str">
        <x:v>https://techcrunch.com/2017/02/02/amazon-fumbles-earnings-amidst-high-expectations/</x:v>
      </x:c>
      <x:c r="I13" s="12" t="str">
        <x:v>OPENED_OK</x:v>
      </x:c>
      <x:c r="J13" s="12" t="str">
        <x:v>PASS</x:v>
      </x:c>
      <x:c r="K13" s="12" t="str">
        <x:v>PASS</x:v>
      </x:c>
      <x:c r="L13" s="12" t="str">
        <x:v>PASS</x:v>
      </x:c>
      <x:c r="M13" s="12" t="str">
        <x:v>NO</x:v>
      </x:c>
      <x:c r="N13" s="12" t="str">
        <x:v>PASS</x:v>
      </x:c>
      <x:c r="O13" s="12" t="str">
        <x:v>EXPLICIT</x:v>
      </x:c>
      <x:c r="P13" s="12" t="str">
        <x:v>PASS</x:v>
      </x:c>
      <x:c r="Q13" s="12" t="str">
        <x:v>Page opened successfully and was checked for Amazon/AMZN identity, exact earnings event, displayed publication date, timing role, and prohibited-source origin.</x:v>
      </x:c>
    </x:row>
    <x:row r="14">
      <x:c r="A14" s="12" t="str">
        <x:v>2017-04-27</x:v>
      </x:c>
      <x:c r="B14" s="12" t="str">
        <x:v>AMZN</x:v>
      </x:c>
      <x:c r="C14" s="12" t="str">
        <x:v>prior</x:v>
      </x:c>
      <x:c r="D14" s="12" t="str">
        <x:v>2017-02-02</x:v>
      </x:c>
      <x:c r="E14" s="12" t="n">
        <x:v>-84</x:v>
      </x:c>
      <x:c r="F14" s="12" t="str">
        <x:v>Amazon</x:v>
      </x:c>
      <x:c r="G14" s="12" t="str">
        <x:v>Amazon.com Announces Fourth Quarter Sales up 22% to $43.7 Billion</x:v>
      </x:c>
      <x:c r="H14" s="12" t="str">
        <x:v>https://ir.aboutamazon.com/news-release/news-release-details/2017/Amazoncom-Announces-Fourth-Quarter-Sales-up-22-to-437-Billion/default.aspx</x:v>
      </x:c>
      <x:c r="I14" s="12" t="str">
        <x:v>OPENED_OK</x:v>
      </x:c>
      <x:c r="J14" s="12" t="str">
        <x:v>PASS</x:v>
      </x:c>
      <x:c r="K14" s="12" t="str">
        <x:v>PASS</x:v>
      </x:c>
      <x:c r="L14" s="12" t="str">
        <x:v>PASS</x:v>
      </x:c>
      <x:c r="M14" s="12" t="str">
        <x:v>NO</x:v>
      </x:c>
      <x:c r="N14" s="12" t="str">
        <x:v>PASS</x:v>
      </x:c>
      <x:c r="O14" s="12" t="str">
        <x:v>FACTUAL</x:v>
      </x:c>
      <x:c r="P14" s="12" t="str">
        <x:v>PASS</x:v>
      </x:c>
      <x:c r="Q14" s="12" t="str">
        <x:v>Page opened successfully and was checked for Amazon/AMZN identity, exact earnings event, displayed publication date, timing role, and prohibited-source origin.</x:v>
      </x:c>
    </x:row>
    <x:row r="15">
      <x:c r="A15" s="12" t="str">
        <x:v>2017-04-27</x:v>
      </x:c>
      <x:c r="B15" s="12" t="str">
        <x:v>AMZN</x:v>
      </x:c>
      <x:c r="C15" s="12" t="str">
        <x:v>release</x:v>
      </x:c>
      <x:c r="D15" s="12" t="str">
        <x:v>2017-04-27</x:v>
      </x:c>
      <x:c r="E15" s="12" t="n">
        <x:v>0</x:v>
      </x:c>
      <x:c r="F15" s="12" t="str">
        <x:v>Amazon</x:v>
      </x:c>
      <x:c r="G15" s="12" t="str">
        <x:v>Amazon.com Announces First Quarter Sales up 23% to $35.7 Billion</x:v>
      </x:c>
      <x:c r="H15" s="12" t="str">
        <x:v>https://ir.aboutamazon.com/news-release/news-release-details/2017/Amazoncom-Announces-First-Quarter-Sales-up-23-to-357-Billion/default.aspx</x:v>
      </x:c>
      <x:c r="I15" s="12" t="str">
        <x:v>OPENED_OK</x:v>
      </x:c>
      <x:c r="J15" s="12" t="str">
        <x:v>PASS</x:v>
      </x:c>
      <x:c r="K15" s="12" t="str">
        <x:v>PASS</x:v>
      </x:c>
      <x:c r="L15" s="12" t="str">
        <x:v>PASS</x:v>
      </x:c>
      <x:c r="M15" s="12" t="str">
        <x:v>NO</x:v>
      </x:c>
      <x:c r="N15" s="12" t="str">
        <x:v>PASS</x:v>
      </x:c>
      <x:c r="O15" s="12" t="str">
        <x:v>FACTUAL</x:v>
      </x:c>
      <x:c r="P15" s="12" t="str">
        <x:v>PASS</x:v>
      </x:c>
      <x:c r="Q15" s="12" t="str">
        <x:v>Page opened successfully and was checked for Amazon/AMZN identity, exact earnings event, displayed publication date, timing role, and prohibited-source origin.</x:v>
      </x:c>
    </x:row>
    <x:row r="16">
      <x:c r="A16" s="12" t="str">
        <x:v>2017-04-27</x:v>
      </x:c>
      <x:c r="B16" s="12" t="str">
        <x:v>AMZN</x:v>
      </x:c>
      <x:c r="C16" s="12" t="str">
        <x:v>reaction</x:v>
      </x:c>
      <x:c r="D16" s="12" t="str">
        <x:v>2017-04-28</x:v>
      </x:c>
      <x:c r="E16" s="12" t="n">
        <x:v>1</x:v>
      </x:c>
      <x:c r="F16" s="12" t="str">
        <x:v>The Motley Fool</x:v>
      </x:c>
      <x:c r="G16" s="12" t="str">
        <x:v>How Amazon.com, Inc. Crushed Its Own Q1 Targets</x:v>
      </x:c>
      <x:c r="H16" s="12" t="str">
        <x:v>https://www.fool.com/investing/2017/04/28/how-amazoncom-inc-crushed-its-own-q1-targets.aspx</x:v>
      </x:c>
      <x:c r="I16" s="12" t="str">
        <x:v>OPENED_OK</x:v>
      </x:c>
      <x:c r="J16" s="12" t="str">
        <x:v>PASS</x:v>
      </x:c>
      <x:c r="K16" s="12" t="str">
        <x:v>PASS</x:v>
      </x:c>
      <x:c r="L16" s="12" t="str">
        <x:v>PASS</x:v>
      </x:c>
      <x:c r="M16" s="12" t="str">
        <x:v>NO</x:v>
      </x:c>
      <x:c r="N16" s="12" t="str">
        <x:v>PASS</x:v>
      </x:c>
      <x:c r="O16" s="12" t="str">
        <x:v>EXPLICIT</x:v>
      </x:c>
      <x:c r="P16" s="12" t="str">
        <x:v>PASS</x:v>
      </x:c>
      <x:c r="Q16" s="12" t="str">
        <x:v>Page opened successfully and was checked for Amazon/AMZN identity, exact earnings event, displayed publication date, timing role, and prohibited-source origin.</x:v>
      </x:c>
    </x:row>
    <x:row r="17">
      <x:c r="A17" s="12" t="str">
        <x:v>2017-07-27</x:v>
      </x:c>
      <x:c r="B17" s="12" t="str">
        <x:v>AMZN</x:v>
      </x:c>
      <x:c r="C17" s="12" t="str">
        <x:v>prior</x:v>
      </x:c>
      <x:c r="D17" s="12" t="str">
        <x:v>2017-04-27</x:v>
      </x:c>
      <x:c r="E17" s="12" t="n">
        <x:v>-91</x:v>
      </x:c>
      <x:c r="F17" s="12" t="str">
        <x:v>Amazon</x:v>
      </x:c>
      <x:c r="G17" s="12" t="str">
        <x:v>Amazon.com Announces First Quarter Sales up 23% to $35.7 Billion</x:v>
      </x:c>
      <x:c r="H17" s="12" t="str">
        <x:v>https://ir.aboutamazon.com/news-release/news-release-details/2017/Amazoncom-Announces-First-Quarter-Sales-up-23-to-357-Billion/default.aspx</x:v>
      </x:c>
      <x:c r="I17" s="12" t="str">
        <x:v>OPENED_OK</x:v>
      </x:c>
      <x:c r="J17" s="12" t="str">
        <x:v>PASS</x:v>
      </x:c>
      <x:c r="K17" s="12" t="str">
        <x:v>PASS</x:v>
      </x:c>
      <x:c r="L17" s="12" t="str">
        <x:v>PASS</x:v>
      </x:c>
      <x:c r="M17" s="12" t="str">
        <x:v>NO</x:v>
      </x:c>
      <x:c r="N17" s="12" t="str">
        <x:v>PASS</x:v>
      </x:c>
      <x:c r="O17" s="12" t="str">
        <x:v>FACTUAL</x:v>
      </x:c>
      <x:c r="P17" s="12" t="str">
        <x:v>PASS</x:v>
      </x:c>
      <x:c r="Q17" s="12" t="str">
        <x:v>Page opened successfully and was checked for Amazon/AMZN identity, exact earnings event, displayed publication date, timing role, and prohibited-source origin.</x:v>
      </x:c>
    </x:row>
    <x:row r="18">
      <x:c r="A18" s="12" t="str">
        <x:v>2017-07-27</x:v>
      </x:c>
      <x:c r="B18" s="12" t="str">
        <x:v>AMZN</x:v>
      </x:c>
      <x:c r="C18" s="12" t="str">
        <x:v>release</x:v>
      </x:c>
      <x:c r="D18" s="12" t="str">
        <x:v>2017-07-27</x:v>
      </x:c>
      <x:c r="E18" s="12" t="n">
        <x:v>0</x:v>
      </x:c>
      <x:c r="F18" s="12" t="str">
        <x:v>Amazon</x:v>
      </x:c>
      <x:c r="G18" s="12" t="str">
        <x:v>Amazon.com Announces Second Quarter Sales up 25% to $38.0 Billion</x:v>
      </x:c>
      <x:c r="H18" s="12" t="str">
        <x:v>https://ir.aboutamazon.com/news-release/news-release-details/2017/Amazoncom-Announces-Second-Quarter-Sales-up-25-to-380-Billion/default.aspx</x:v>
      </x:c>
      <x:c r="I18" s="12" t="str">
        <x:v>OPENED_OK</x:v>
      </x:c>
      <x:c r="J18" s="12" t="str">
        <x:v>PASS</x:v>
      </x:c>
      <x:c r="K18" s="12" t="str">
        <x:v>PASS</x:v>
      </x:c>
      <x:c r="L18" s="12" t="str">
        <x:v>PASS</x:v>
      </x:c>
      <x:c r="M18" s="12" t="str">
        <x:v>NO</x:v>
      </x:c>
      <x:c r="N18" s="12" t="str">
        <x:v>PASS</x:v>
      </x:c>
      <x:c r="O18" s="12" t="str">
        <x:v>FACTUAL</x:v>
      </x:c>
      <x:c r="P18" s="12" t="str">
        <x:v>PASS</x:v>
      </x:c>
      <x:c r="Q18" s="12" t="str">
        <x:v>Page opened successfully and was checked for Amazon/AMZN identity, exact earnings event, displayed publication date, timing role, and prohibited-source origin.</x:v>
      </x:c>
    </x:row>
    <x:row r="19">
      <x:c r="A19" s="12" t="str">
        <x:v>2017-07-27</x:v>
      </x:c>
      <x:c r="B19" s="12" t="str">
        <x:v>AMZN</x:v>
      </x:c>
      <x:c r="C19" s="12" t="str">
        <x:v>reaction</x:v>
      </x:c>
      <x:c r="D19" s="12" t="str">
        <x:v>2017-07-28</x:v>
      </x:c>
      <x:c r="E19" s="12" t="n">
        <x:v>1</x:v>
      </x:c>
      <x:c r="F19" s="12" t="str">
        <x:v>The Motley Fool</x:v>
      </x:c>
      <x:c r="G19" s="12" t="str">
        <x:v>Not Even AWS Could Save Amazon.com's Bottom Line</x:v>
      </x:c>
      <x:c r="H19" s="12" t="str">
        <x:v>https://www.fool.com/investing/2017/07/28/not-even-aws-could-save-amazoncoms-bottom-line.aspx</x:v>
      </x:c>
      <x:c r="I19" s="12" t="str">
        <x:v>OPENED_OK</x:v>
      </x:c>
      <x:c r="J19" s="12" t="str">
        <x:v>PASS</x:v>
      </x:c>
      <x:c r="K19" s="12" t="str">
        <x:v>PASS</x:v>
      </x:c>
      <x:c r="L19" s="12" t="str">
        <x:v>PASS</x:v>
      </x:c>
      <x:c r="M19" s="12" t="str">
        <x:v>NO</x:v>
      </x:c>
      <x:c r="N19" s="12" t="str">
        <x:v>PASS</x:v>
      </x:c>
      <x:c r="O19" s="12" t="str">
        <x:v>EXPLICIT</x:v>
      </x:c>
      <x:c r="P19" s="12" t="str">
        <x:v>PASS</x:v>
      </x:c>
      <x:c r="Q19" s="12" t="str">
        <x:v>Page opened successfully and was checked for Amazon/AMZN identity, exact earnings event, displayed publication date, timing role, and prohibited-source origin.</x:v>
      </x:c>
    </x:row>
    <x:row r="20">
      <x:c r="A20" s="12" t="str">
        <x:v>2017-10-26</x:v>
      </x:c>
      <x:c r="B20" s="12" t="str">
        <x:v>AMZN</x:v>
      </x:c>
      <x:c r="C20" s="12" t="str">
        <x:v>prior</x:v>
      </x:c>
      <x:c r="D20" s="12" t="str">
        <x:v>2017-07-27</x:v>
      </x:c>
      <x:c r="E20" s="12" t="n">
        <x:v>-91</x:v>
      </x:c>
      <x:c r="F20" s="12" t="str">
        <x:v>Amazon</x:v>
      </x:c>
      <x:c r="G20" s="12" t="str">
        <x:v>Amazon.com Announces Second Quarter Sales up 25% to $38.0 Billion</x:v>
      </x:c>
      <x:c r="H20" s="12" t="str">
        <x:v>https://ir.aboutamazon.com/news-release/news-release-details/2017/Amazoncom-Announces-Second-Quarter-Sales-up-25-to-380-Billion/default.aspx</x:v>
      </x:c>
      <x:c r="I20" s="12" t="str">
        <x:v>OPENED_OK</x:v>
      </x:c>
      <x:c r="J20" s="12" t="str">
        <x:v>PASS</x:v>
      </x:c>
      <x:c r="K20" s="12" t="str">
        <x:v>PASS</x:v>
      </x:c>
      <x:c r="L20" s="12" t="str">
        <x:v>PASS</x:v>
      </x:c>
      <x:c r="M20" s="12" t="str">
        <x:v>NO</x:v>
      </x:c>
      <x:c r="N20" s="12" t="str">
        <x:v>PASS</x:v>
      </x:c>
      <x:c r="O20" s="12" t="str">
        <x:v>FACTUAL</x:v>
      </x:c>
      <x:c r="P20" s="12" t="str">
        <x:v>PASS</x:v>
      </x:c>
      <x:c r="Q20" s="12" t="str">
        <x:v>Page opened successfully and was checked for Amazon/AMZN identity, exact earnings event, displayed publication date, timing role, and prohibited-source origin.</x:v>
      </x:c>
    </x:row>
    <x:row r="21">
      <x:c r="A21" s="12" t="str">
        <x:v>2017-10-26</x:v>
      </x:c>
      <x:c r="B21" s="12" t="str">
        <x:v>AMZN</x:v>
      </x:c>
      <x:c r="C21" s="12" t="str">
        <x:v>release</x:v>
      </x:c>
      <x:c r="D21" s="12" t="str">
        <x:v>2017-10-26</x:v>
      </x:c>
      <x:c r="E21" s="12" t="n">
        <x:v>0</x:v>
      </x:c>
      <x:c r="F21" s="12" t="str">
        <x:v>Amazon</x:v>
      </x:c>
      <x:c r="G21" s="12" t="str">
        <x:v>Amazon.com Announces Third Quarter Sales up 34% to $43.7 Billion</x:v>
      </x:c>
      <x:c r="H21" s="12" t="str">
        <x:v>https://ir.aboutamazon.com/news-release/news-release-details/2017/Amazoncom-Announces-Third-Quarter-Sales-up-34-to-437-Billion/default.aspx</x:v>
      </x:c>
      <x:c r="I21" s="12" t="str">
        <x:v>OPENED_OK</x:v>
      </x:c>
      <x:c r="J21" s="12" t="str">
        <x:v>PASS</x:v>
      </x:c>
      <x:c r="K21" s="12" t="str">
        <x:v>PASS</x:v>
      </x:c>
      <x:c r="L21" s="12" t="str">
        <x:v>PASS</x:v>
      </x:c>
      <x:c r="M21" s="12" t="str">
        <x:v>NO</x:v>
      </x:c>
      <x:c r="N21" s="12" t="str">
        <x:v>PASS</x:v>
      </x:c>
      <x:c r="O21" s="12" t="str">
        <x:v>FACTUAL</x:v>
      </x:c>
      <x:c r="P21" s="12" t="str">
        <x:v>PASS</x:v>
      </x:c>
      <x:c r="Q21" s="12" t="str">
        <x:v>Page opened successfully and was checked for Amazon/AMZN identity, exact earnings event, displayed publication date, timing role, and prohibited-source origin.</x:v>
      </x:c>
    </x:row>
    <x:row r="22">
      <x:c r="A22" s="12" t="str">
        <x:v>2017-10-26</x:v>
      </x:c>
      <x:c r="B22" s="12" t="str">
        <x:v>AMZN</x:v>
      </x:c>
      <x:c r="C22" s="12" t="str">
        <x:v>reaction</x:v>
      </x:c>
      <x:c r="D22" s="12" t="str">
        <x:v>2017-10-27</x:v>
      </x:c>
      <x:c r="E22" s="12" t="n">
        <x:v>1</x:v>
      </x:c>
      <x:c r="F22" s="12" t="str">
        <x:v>The Motley Fool</x:v>
      </x:c>
      <x:c r="G22" s="12" t="str">
        <x:v>Why Amazon.com Shares Are Soaring Today</x:v>
      </x:c>
      <x:c r="H22" s="12" t="str">
        <x:v>https://www.fool.com/investing/2017/10/27/why-amazoncom-shares-are-soaring-today.aspx</x:v>
      </x:c>
      <x:c r="I22" s="12" t="str">
        <x:v>OPENED_OK</x:v>
      </x:c>
      <x:c r="J22" s="12" t="str">
        <x:v>PASS</x:v>
      </x:c>
      <x:c r="K22" s="12" t="str">
        <x:v>PASS</x:v>
      </x:c>
      <x:c r="L22" s="12" t="str">
        <x:v>PASS</x:v>
      </x:c>
      <x:c r="M22" s="12" t="str">
        <x:v>NO</x:v>
      </x:c>
      <x:c r="N22" s="12" t="str">
        <x:v>PASS</x:v>
      </x:c>
      <x:c r="O22" s="12" t="str">
        <x:v>EXPLICIT</x:v>
      </x:c>
      <x:c r="P22" s="12" t="str">
        <x:v>PASS</x:v>
      </x:c>
      <x:c r="Q22" s="12" t="str">
        <x:v>Page opened successfully and was checked for Amazon/AMZN identity, exact earnings event, displayed publication date, timing role, and prohibited-source origin.</x:v>
      </x:c>
    </x:row>
    <x:row r="23">
      <x:c r="A23" s="12" t="str">
        <x:v>2018-02-01</x:v>
      </x:c>
      <x:c r="B23" s="12" t="str">
        <x:v>AMZN</x:v>
      </x:c>
      <x:c r="C23" s="12" t="str">
        <x:v>prior</x:v>
      </x:c>
      <x:c r="D23" s="12" t="str">
        <x:v>2017-10-26</x:v>
      </x:c>
      <x:c r="E23" s="12" t="n">
        <x:v>-98</x:v>
      </x:c>
      <x:c r="F23" s="12" t="str">
        <x:v>Amazon</x:v>
      </x:c>
      <x:c r="G23" s="12" t="str">
        <x:v>Amazon.com Announces Third Quarter Sales up 34% to $43.7 Billion</x:v>
      </x:c>
      <x:c r="H23" s="12" t="str">
        <x:v>https://ir.aboutamazon.com/news-release/news-release-details/2017/Amazoncom-Announces-Third-Quarter-Sales-up-34-to-437-Billion/default.aspx</x:v>
      </x:c>
      <x:c r="I23" s="12" t="str">
        <x:v>OPENED_OK</x:v>
      </x:c>
      <x:c r="J23" s="12" t="str">
        <x:v>PASS</x:v>
      </x:c>
      <x:c r="K23" s="12" t="str">
        <x:v>PASS</x:v>
      </x:c>
      <x:c r="L23" s="12" t="str">
        <x:v>PASS</x:v>
      </x:c>
      <x:c r="M23" s="12" t="str">
        <x:v>NO</x:v>
      </x:c>
      <x:c r="N23" s="12" t="str">
        <x:v>PASS</x:v>
      </x:c>
      <x:c r="O23" s="12" t="str">
        <x:v>FACTUAL</x:v>
      </x:c>
      <x:c r="P23" s="12" t="str">
        <x:v>PASS</x:v>
      </x:c>
      <x:c r="Q23" s="12" t="str">
        <x:v>Page opened successfully and was checked for Amazon/AMZN identity, exact earnings event, displayed publication date, timing role, and prohibited-source origin.</x:v>
      </x:c>
    </x:row>
    <x:row r="24">
      <x:c r="A24" s="12" t="str">
        <x:v>2018-02-01</x:v>
      </x:c>
      <x:c r="B24" s="12" t="str">
        <x:v>AMZN</x:v>
      </x:c>
      <x:c r="C24" s="12" t="str">
        <x:v>release</x:v>
      </x:c>
      <x:c r="D24" s="12" t="str">
        <x:v>2018-02-01</x:v>
      </x:c>
      <x:c r="E24" s="12" t="n">
        <x:v>0</x:v>
      </x:c>
      <x:c r="F24" s="12" t="str">
        <x:v>Amazon</x:v>
      </x:c>
      <x:c r="G24" s="12" t="str">
        <x:v>Amazon.com Announces Fourth Quarter Sales up 38% to $60.5 Billion</x:v>
      </x:c>
      <x:c r="H24" s="12" t="str">
        <x:v>https://ir.aboutamazon.com/news-release/news-release-details/2018/Amazoncom-Announces-Fourth-Quarter-Sales-up-38-to-605-Billion/default.aspx</x:v>
      </x:c>
      <x:c r="I24" s="12" t="str">
        <x:v>OPENED_OK</x:v>
      </x:c>
      <x:c r="J24" s="12" t="str">
        <x:v>PASS</x:v>
      </x:c>
      <x:c r="K24" s="12" t="str">
        <x:v>PASS</x:v>
      </x:c>
      <x:c r="L24" s="12" t="str">
        <x:v>PASS</x:v>
      </x:c>
      <x:c r="M24" s="12" t="str">
        <x:v>NO</x:v>
      </x:c>
      <x:c r="N24" s="12" t="str">
        <x:v>PASS</x:v>
      </x:c>
      <x:c r="O24" s="12" t="str">
        <x:v>FACTUAL</x:v>
      </x:c>
      <x:c r="P24" s="12" t="str">
        <x:v>PASS</x:v>
      </x:c>
      <x:c r="Q24" s="12" t="str">
        <x:v>Page opened successfully and was checked for Amazon/AMZN identity, exact earnings event, displayed publication date, timing role, and prohibited-source origin.</x:v>
      </x:c>
    </x:row>
    <x:row r="25">
      <x:c r="A25" s="12" t="str">
        <x:v>2018-02-01</x:v>
      </x:c>
      <x:c r="B25" s="12" t="str">
        <x:v>AMZN</x:v>
      </x:c>
      <x:c r="C25" s="12" t="str">
        <x:v>reaction</x:v>
      </x:c>
      <x:c r="D25" s="12" t="str">
        <x:v>2018-02-02</x:v>
      </x:c>
      <x:c r="E25" s="12" t="n">
        <x:v>1</x:v>
      </x:c>
      <x:c r="F25" s="12" t="str">
        <x:v>The Motley Fool</x:v>
      </x:c>
      <x:c r="G25" s="12" t="str">
        <x:v>Why Amazon.com, Inc. Shares Jumped 8% Higher Today</x:v>
      </x:c>
      <x:c r="H25" s="12" t="str">
        <x:v>https://www.fool.com/investing/2018/02/02/why-amazoncom-inc-shares-jumped-8-higher-today.aspx</x:v>
      </x:c>
      <x:c r="I25" s="12" t="str">
        <x:v>OPENED_OK</x:v>
      </x:c>
      <x:c r="J25" s="12" t="str">
        <x:v>PASS</x:v>
      </x:c>
      <x:c r="K25" s="12" t="str">
        <x:v>PASS</x:v>
      </x:c>
      <x:c r="L25" s="12" t="str">
        <x:v>PASS</x:v>
      </x:c>
      <x:c r="M25" s="12" t="str">
        <x:v>NO</x:v>
      </x:c>
      <x:c r="N25" s="12" t="str">
        <x:v>PASS</x:v>
      </x:c>
      <x:c r="O25" s="12" t="str">
        <x:v>EXPLICIT</x:v>
      </x:c>
      <x:c r="P25" s="12" t="str">
        <x:v>PASS</x:v>
      </x:c>
      <x:c r="Q25" s="12" t="str">
        <x:v>Page opened successfully and was checked for Amazon/AMZN identity, exact earnings event, displayed publication date, timing role, and prohibited-source origin.</x:v>
      </x:c>
    </x:row>
    <x:row r="26">
      <x:c r="A26" s="12" t="str">
        <x:v>2018-04-26</x:v>
      </x:c>
      <x:c r="B26" s="12" t="str">
        <x:v>AMZN</x:v>
      </x:c>
      <x:c r="C26" s="12" t="str">
        <x:v>prior</x:v>
      </x:c>
      <x:c r="D26" s="12" t="str">
        <x:v>2018-02-01</x:v>
      </x:c>
      <x:c r="E26" s="12" t="n">
        <x:v>-84</x:v>
      </x:c>
      <x:c r="F26" s="12" t="str">
        <x:v>Amazon</x:v>
      </x:c>
      <x:c r="G26" s="12" t="str">
        <x:v>Amazon.com Announces Fourth Quarter Sales up 38% to $60.5 Billion</x:v>
      </x:c>
      <x:c r="H26" s="12" t="str">
        <x:v>https://ir.aboutamazon.com/news-release/news-release-details/2018/Amazoncom-Announces-Fourth-Quarter-Sales-up-38-to-605-Billion/default.aspx</x:v>
      </x:c>
      <x:c r="I26" s="12" t="str">
        <x:v>OPENED_OK</x:v>
      </x:c>
      <x:c r="J26" s="12" t="str">
        <x:v>PASS</x:v>
      </x:c>
      <x:c r="K26" s="12" t="str">
        <x:v>PASS</x:v>
      </x:c>
      <x:c r="L26" s="12" t="str">
        <x:v>PASS</x:v>
      </x:c>
      <x:c r="M26" s="12" t="str">
        <x:v>NO</x:v>
      </x:c>
      <x:c r="N26" s="12" t="str">
        <x:v>PASS</x:v>
      </x:c>
      <x:c r="O26" s="12" t="str">
        <x:v>FACTUAL</x:v>
      </x:c>
      <x:c r="P26" s="12" t="str">
        <x:v>PASS</x:v>
      </x:c>
      <x:c r="Q26" s="12" t="str">
        <x:v>Page opened successfully and was checked for Amazon/AMZN identity, exact earnings event, displayed publication date, timing role, and prohibited-source origin.</x:v>
      </x:c>
    </x:row>
    <x:row r="27">
      <x:c r="A27" s="12" t="str">
        <x:v>2018-04-26</x:v>
      </x:c>
      <x:c r="B27" s="12" t="str">
        <x:v>AMZN</x:v>
      </x:c>
      <x:c r="C27" s="12" t="str">
        <x:v>release</x:v>
      </x:c>
      <x:c r="D27" s="12" t="str">
        <x:v>2018-04-26</x:v>
      </x:c>
      <x:c r="E27" s="12" t="n">
        <x:v>0</x:v>
      </x:c>
      <x:c r="F27" s="12" t="str">
        <x:v>Amazon</x:v>
      </x:c>
      <x:c r="G27" s="12" t="str">
        <x:v>Amazon.com Announces First Quarter Sales up 43% to $51.0 Billion</x:v>
      </x:c>
      <x:c r="H27" s="12" t="str">
        <x:v>https://ir.aboutamazon.com/news-release/news-release-details/2018/Amazoncom-Announces-First-Quarter-Sales-up-43-to-510-Billion/default.aspx</x:v>
      </x:c>
      <x:c r="I27" s="12" t="str">
        <x:v>OPENED_OK</x:v>
      </x:c>
      <x:c r="J27" s="12" t="str">
        <x:v>PASS</x:v>
      </x:c>
      <x:c r="K27" s="12" t="str">
        <x:v>PASS</x:v>
      </x:c>
      <x:c r="L27" s="12" t="str">
        <x:v>PASS</x:v>
      </x:c>
      <x:c r="M27" s="12" t="str">
        <x:v>NO</x:v>
      </x:c>
      <x:c r="N27" s="12" t="str">
        <x:v>PASS</x:v>
      </x:c>
      <x:c r="O27" s="12" t="str">
        <x:v>FACTUAL</x:v>
      </x:c>
      <x:c r="P27" s="12" t="str">
        <x:v>PASS</x:v>
      </x:c>
      <x:c r="Q27" s="12" t="str">
        <x:v>Page opened successfully and was checked for Amazon/AMZN identity, exact earnings event, displayed publication date, timing role, and prohibited-source origin.</x:v>
      </x:c>
    </x:row>
    <x:row r="28">
      <x:c r="A28" s="12" t="str">
        <x:v>2018-04-26</x:v>
      </x:c>
      <x:c r="B28" s="12" t="str">
        <x:v>AMZN</x:v>
      </x:c>
      <x:c r="C28" s="12" t="str">
        <x:v>reaction</x:v>
      </x:c>
      <x:c r="D28" s="12" t="str">
        <x:v>2018-04-27</x:v>
      </x:c>
      <x:c r="E28" s="12" t="n">
        <x:v>1</x:v>
      </x:c>
      <x:c r="F28" s="12" t="str">
        <x:v>The Motley Fool</x:v>
      </x:c>
      <x:c r="G28" s="12" t="str">
        <x:v>Amazon Earnings Demolish Expectations: 6 Metrics You Should See</x:v>
      </x:c>
      <x:c r="H28" s="12" t="str">
        <x:v>https://www.fool.com/investing/2018/04/27/amazon-earnings-demolish-expectations-6-metrics-yo.aspx</x:v>
      </x:c>
      <x:c r="I28" s="12" t="str">
        <x:v>OPENED_OK</x:v>
      </x:c>
      <x:c r="J28" s="12" t="str">
        <x:v>PASS</x:v>
      </x:c>
      <x:c r="K28" s="12" t="str">
        <x:v>PASS</x:v>
      </x:c>
      <x:c r="L28" s="12" t="str">
        <x:v>PASS</x:v>
      </x:c>
      <x:c r="M28" s="12" t="str">
        <x:v>NO</x:v>
      </x:c>
      <x:c r="N28" s="12" t="str">
        <x:v>PASS</x:v>
      </x:c>
      <x:c r="O28" s="12" t="str">
        <x:v>EXPLICIT</x:v>
      </x:c>
      <x:c r="P28" s="12" t="str">
        <x:v>PASS</x:v>
      </x:c>
      <x:c r="Q28" s="12" t="str">
        <x:v>Page opened successfully and was checked for Amazon/AMZN identity, exact earnings event, displayed publication date, timing role, and prohibited-source origin.</x:v>
      </x:c>
    </x:row>
    <x:row r="29">
      <x:c r="A29" s="12" t="str">
        <x:v>2018-07-26</x:v>
      </x:c>
      <x:c r="B29" s="12" t="str">
        <x:v>AMZN</x:v>
      </x:c>
      <x:c r="C29" s="12" t="str">
        <x:v>prior</x:v>
      </x:c>
      <x:c r="D29" s="12" t="str">
        <x:v>2018-04-26</x:v>
      </x:c>
      <x:c r="E29" s="12" t="n">
        <x:v>-91</x:v>
      </x:c>
      <x:c r="F29" s="12" t="str">
        <x:v>Amazon</x:v>
      </x:c>
      <x:c r="G29" s="12" t="str">
        <x:v>Amazon.com Announces First Quarter Sales up 43% to $51.0 Billion</x:v>
      </x:c>
      <x:c r="H29" s="12" t="str">
        <x:v>https://ir.aboutamazon.com/news-release/news-release-details/2018/Amazoncom-Announces-First-Quarter-Sales-up-43-to-510-Billion/default.aspx</x:v>
      </x:c>
      <x:c r="I29" s="12" t="str">
        <x:v>OPENED_OK</x:v>
      </x:c>
      <x:c r="J29" s="12" t="str">
        <x:v>PASS</x:v>
      </x:c>
      <x:c r="K29" s="12" t="str">
        <x:v>PASS</x:v>
      </x:c>
      <x:c r="L29" s="12" t="str">
        <x:v>PASS</x:v>
      </x:c>
      <x:c r="M29" s="12" t="str">
        <x:v>NO</x:v>
      </x:c>
      <x:c r="N29" s="12" t="str">
        <x:v>PASS</x:v>
      </x:c>
      <x:c r="O29" s="12" t="str">
        <x:v>FACTUAL</x:v>
      </x:c>
      <x:c r="P29" s="12" t="str">
        <x:v>PASS</x:v>
      </x:c>
      <x:c r="Q29" s="12" t="str">
        <x:v>Page opened successfully and was checked for Amazon/AMZN identity, exact earnings event, displayed publication date, timing role, and prohibited-source origin.</x:v>
      </x:c>
    </x:row>
    <x:row r="30">
      <x:c r="A30" s="12" t="str">
        <x:v>2018-07-26</x:v>
      </x:c>
      <x:c r="B30" s="12" t="str">
        <x:v>AMZN</x:v>
      </x:c>
      <x:c r="C30" s="12" t="str">
        <x:v>release</x:v>
      </x:c>
      <x:c r="D30" s="12" t="str">
        <x:v>2018-07-26</x:v>
      </x:c>
      <x:c r="E30" s="12" t="n">
        <x:v>0</x:v>
      </x:c>
      <x:c r="F30" s="12" t="str">
        <x:v>Amazon</x:v>
      </x:c>
      <x:c r="G30" s="12" t="str">
        <x:v>Amazon.com Announces Second Quarter Sales up 39% to $52.9 Billion</x:v>
      </x:c>
      <x:c r="H30" s="12" t="str">
        <x:v>https://ir.aboutamazon.com/news-release/news-release-details/2018/Amazoncom-Announces-Second-Quarter-Sales-up-39-to-529-Billion/default.aspx</x:v>
      </x:c>
      <x:c r="I30" s="12" t="str">
        <x:v>OPENED_OK</x:v>
      </x:c>
      <x:c r="J30" s="12" t="str">
        <x:v>PASS</x:v>
      </x:c>
      <x:c r="K30" s="12" t="str">
        <x:v>PASS</x:v>
      </x:c>
      <x:c r="L30" s="12" t="str">
        <x:v>PASS</x:v>
      </x:c>
      <x:c r="M30" s="12" t="str">
        <x:v>NO</x:v>
      </x:c>
      <x:c r="N30" s="12" t="str">
        <x:v>PASS</x:v>
      </x:c>
      <x:c r="O30" s="12" t="str">
        <x:v>FACTUAL</x:v>
      </x:c>
      <x:c r="P30" s="12" t="str">
        <x:v>PASS</x:v>
      </x:c>
      <x:c r="Q30" s="12" t="str">
        <x:v>Page opened successfully and was checked for Amazon/AMZN identity, exact earnings event, displayed publication date, timing role, and prohibited-source origin.</x:v>
      </x:c>
    </x:row>
    <x:row r="31">
      <x:c r="A31" s="12" t="str">
        <x:v>2018-07-26</x:v>
      </x:c>
      <x:c r="B31" s="12" t="str">
        <x:v>AMZN</x:v>
      </x:c>
      <x:c r="C31" s="12" t="str">
        <x:v>reaction</x:v>
      </x:c>
      <x:c r="D31" s="12" t="str">
        <x:v>2018-07-27</x:v>
      </x:c>
      <x:c r="E31" s="12" t="n">
        <x:v>1</x:v>
      </x:c>
      <x:c r="F31" s="12" t="str">
        <x:v>The Motley Fool</x:v>
      </x:c>
      <x:c r="G31" s="12" t="str">
        <x:v>Amazon Earnings Trounce Expectations (Again!): 6 Metrics You Should See</x:v>
      </x:c>
      <x:c r="H31" s="12" t="str">
        <x:v>https://www.fool.com/investing/2018/07/27/amazon-earnings-trounce-expectations-again-6-metri.aspx</x:v>
      </x:c>
      <x:c r="I31" s="12" t="str">
        <x:v>OPENED_OK</x:v>
      </x:c>
      <x:c r="J31" s="12" t="str">
        <x:v>PASS</x:v>
      </x:c>
      <x:c r="K31" s="12" t="str">
        <x:v>PASS</x:v>
      </x:c>
      <x:c r="L31" s="12" t="str">
        <x:v>PASS</x:v>
      </x:c>
      <x:c r="M31" s="12" t="str">
        <x:v>NO</x:v>
      </x:c>
      <x:c r="N31" s="12" t="str">
        <x:v>PASS</x:v>
      </x:c>
      <x:c r="O31" s="12" t="str">
        <x:v>EXPLICIT</x:v>
      </x:c>
      <x:c r="P31" s="12" t="str">
        <x:v>PASS</x:v>
      </x:c>
      <x:c r="Q31" s="12" t="str">
        <x:v>Page opened successfully and was checked for Amazon/AMZN identity, exact earnings event, displayed publication date, timing role,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2016-04-28</x:v>
      </x:c>
      <x:c r="B2" t="str">
        <x:v>AMZN</x:v>
      </x:c>
      <x:c r="C2" s="20" t="n">
        <x:v>0.1</x:v>
      </x:c>
      <x:c r="D2" s="20" t="n">
        <x:v>10.01</x:v>
      </x:c>
      <x:c r="E2" t="str">
        <x:v>ret_1daypost_pct</x:v>
      </x:c>
      <x:c r="F2" t="str">
        <x:f>IF(D2&gt;0.1,"UP",IF(D2&lt;-0.1,"DOWN","FLAT"))</x:f>
        <x:v>UP</x:v>
      </x:c>
      <x:c r="G2" t="str">
        <x:v>UP</x:v>
      </x:c>
      <x:c r="H2" t="str">
        <x:f>IF(F2=G2,"PASS","FAIL")</x:f>
        <x:v>PASS</x:v>
      </x:c>
      <x:c r="I2" t="n">
        <x:v>3</x:v>
      </x:c>
      <x:c r="J2" t="n">
        <x:f>COUNTIFS('Source Audit'!$A:$A,A2,'Source Audit'!$P:$P,"PASS")</x:f>
        <x:v>3</x:v>
      </x:c>
      <x:c r="K2" t="str">
        <x:f>IF(AND(H2="PASS",J2=I2),"PASS","FAIL")</x:f>
        <x:v>PASS</x:v>
      </x:c>
    </x:row>
    <x:row r="3">
      <x:c r="A3" t="str">
        <x:v>2016-07-28</x:v>
      </x:c>
      <x:c r="B3" t="str">
        <x:v>AMZN</x:v>
      </x:c>
      <x:c r="C3" s="20" t="n">
        <x:v>2</x:v>
      </x:c>
      <x:c r="D3" s="20" t="n">
        <x:v>0.56</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2016-10-27</x:v>
      </x:c>
      <x:c r="B4" t="str">
        <x:v>AMZN</x:v>
      </x:c>
      <x:c r="C4" s="20" t="n">
        <x:v>-0.12</x:v>
      </x:c>
      <x:c r="D4" s="20" t="n">
        <x:v>-4.88</x:v>
      </x:c>
      <x:c r="E4" t="str">
        <x:v>ret_1daypost_pct</x:v>
      </x:c>
      <x:c r="F4" t="str">
        <x:f>IF(D4&gt;0.1,"UP",IF(D4&lt;-0.1,"DOWN","FLAT"))</x:f>
        <x:v>DOWN</x:v>
      </x:c>
      <x:c r="G4" t="str">
        <x:v>DOWN</x:v>
      </x:c>
      <x:c r="H4" t="str">
        <x:f>IF(F4=G4,"PASS","FAIL")</x:f>
        <x:v>PASS</x:v>
      </x:c>
      <x:c r="I4" t="n">
        <x:v>3</x:v>
      </x:c>
      <x:c r="J4" t="n">
        <x:f>COUNTIFS('Source Audit'!$A:$A,A4,'Source Audit'!$P:$P,"PASS")</x:f>
        <x:v>3</x:v>
      </x:c>
      <x:c r="K4" t="str">
        <x:f>IF(AND(H4="PASS",J4=I4),"PASS","FAIL")</x:f>
        <x:v>PASS</x:v>
      </x:c>
    </x:row>
    <x:row r="5">
      <x:c r="A5" t="str">
        <x:v>2017-02-02</x:v>
      </x:c>
      <x:c r="B5" t="str">
        <x:v>AMZN</x:v>
      </x:c>
      <x:c r="C5" s="20" t="n">
        <x:v>0.85</x:v>
      </x:c>
      <x:c r="D5" s="20" t="n">
        <x:v>-4.32</x:v>
      </x:c>
      <x:c r="E5" t="str">
        <x:v>ret_1daypost_pct</x:v>
      </x:c>
      <x:c r="F5" t="str">
        <x:f>IF(D5&gt;0.1,"UP",IF(D5&lt;-0.1,"DOWN","FLAT"))</x:f>
        <x:v>DOWN</x:v>
      </x:c>
      <x:c r="G5" t="str">
        <x:v>DOWN</x:v>
      </x:c>
      <x:c r="H5" t="str">
        <x:f>IF(F5=G5,"PASS","FAIL")</x:f>
        <x:v>PASS</x:v>
      </x:c>
      <x:c r="I5" t="n">
        <x:v>3</x:v>
      </x:c>
      <x:c r="J5" t="n">
        <x:f>COUNTIFS('Source Audit'!$A:$A,A5,'Source Audit'!$P:$P,"PASS")</x:f>
        <x:v>3</x:v>
      </x:c>
      <x:c r="K5" t="str">
        <x:f>IF(AND(H5="PASS",J5=I5),"PASS","FAIL")</x:f>
        <x:v>PASS</x:v>
      </x:c>
    </x:row>
    <x:row r="6">
      <x:c r="A6" t="str">
        <x:v>2017-04-27</x:v>
      </x:c>
      <x:c r="B6" t="str">
        <x:v>AMZN</x:v>
      </x:c>
      <x:c r="C6" s="20" t="n">
        <x:v>1</x:v>
      </x:c>
      <x:c r="D6" s="20" t="n">
        <x:v>0.98</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2017-07-27</x:v>
      </x:c>
      <x:c r="B7" t="str">
        <x:v>AMZN</x:v>
      </x:c>
      <x:c r="C7" s="20" t="n">
        <x:v>-0.44</x:v>
      </x:c>
      <x:c r="D7" s="20" t="n">
        <x:v>-2.38</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2017-10-26</x:v>
      </x:c>
      <x:c r="B8" t="str">
        <x:v>AMZN</x:v>
      </x:c>
      <x:c r="C8" s="20" t="n">
        <x:v>-0.2</x:v>
      </x:c>
      <x:c r="D8" s="20" t="n">
        <x:v>12.46</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2018-02-01</x:v>
      </x:c>
      <x:c r="B9" t="str">
        <x:v>AMZN</x:v>
      </x:c>
      <x:c r="C9" s="20" t="n">
        <x:v>-4.17</x:v>
      </x:c>
      <x:c r="D9" s="20" t="n">
        <x:v>4.96</x:v>
      </x:c>
      <x:c r="E9" t="str">
        <x:v>ret_1daypost_pct</x:v>
      </x:c>
      <x:c r="F9" t="str">
        <x:f>IF(D9&gt;0.1,"UP",IF(D9&lt;-0.1,"DOWN","FLAT"))</x:f>
        <x:v>UP</x:v>
      </x:c>
      <x:c r="G9" t="str">
        <x:v>UP</x:v>
      </x:c>
      <x:c r="H9" t="str">
        <x:f>IF(F9=G9,"PASS","FAIL")</x:f>
        <x:v>PASS</x:v>
      </x:c>
      <x:c r="I9" t="n">
        <x:v>3</x:v>
      </x:c>
      <x:c r="J9" t="n">
        <x:f>COUNTIFS('Source Audit'!$A:$A,A9,'Source Audit'!$P:$P,"PASS")</x:f>
        <x:v>3</x:v>
      </x:c>
      <x:c r="K9" t="str">
        <x:f>IF(AND(H9="PASS",J9=I9),"PASS","FAIL")</x:f>
        <x:v>PASS</x:v>
      </x:c>
    </x:row>
    <x:row r="10">
      <x:c r="A10" t="str">
        <x:v>2018-04-26</x:v>
      </x:c>
      <x:c r="B10" t="str">
        <x:v>AMZN</x:v>
      </x:c>
      <x:c r="C10" s="20" t="n">
        <x:v>3.06</x:v>
      </x:c>
      <x:c r="D10" s="20" t="n">
        <x:v>3.53</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2018-07-26</x:v>
      </x:c>
      <x:c r="B11" t="str">
        <x:v>AMZN</x:v>
      </x:c>
      <x:c r="C11" s="20" t="n">
        <x:v>-2.83</x:v>
      </x:c>
      <x:c r="D11" s="20" t="n">
        <x:v>1.28</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AMZN rebuilt from scratch; no narrative or source is carried over from the earlier AMZN workbook.</x:v>
      </x:c>
    </x:row>
    <x:row r="3">
      <x:c r="A3" s="12" t="str">
        <x:v>Identity source</x:v>
      </x:c>
      <x:c r="B3" s="12" t="str">
        <x:v>Ticker, company, exact earnings date and return fields come directly from group_observations.csv.</x:v>
      </x:c>
    </x:row>
    <x:row r="4">
      <x:c r="A4" s="12" t="str">
        <x:v>Reaction basis</x:v>
      </x:c>
      <x:c r="B4" s="12" t="str">
        <x:v>Amazon reported these sampled quarters after the U.S. market close; ret_1daypost_pct is the first full post-release trading session used for direction QA.</x:v>
      </x:c>
    </x:row>
    <x:row r="5">
      <x:c r="A5" s="12" t="str">
        <x:v>Narrative structure</x:v>
      </x:c>
      <x:c r="B5" s="12" t="str">
        <x:v>Prior Context is short. Current Earnings Release is the detailed analytical section. The long return-path paragraph and 'What investors were watching before the print' subsection are omitted.</x:v>
      </x:c>
    </x:row>
    <x:row r="6">
      <x:c r="A6" s="12" t="str">
        <x:v>Driver structure</x:v>
      </x:c>
      <x:c r="B6" s="12" t="str">
        <x:v>Possible Drivers contains three concise event-specific points rather than long generic paragraphs.</x:v>
      </x:c>
    </x:row>
    <x:row r="7">
      <x:c r="A7" s="12" t="str">
        <x:v>Source verification</x:v>
      </x:c>
      <x:c r="B7" s="12" t="str">
        <x:v>Every included page was opened and checked for availability, Amazon/AMZN identity, the exact earnings event and displayed publication date.</x:v>
      </x:c>
    </x:row>
    <x:row r="8">
      <x:c r="A8" s="12" t="str">
        <x:v>Timing windows</x:v>
      </x:c>
      <x:c r="B8" s="12" t="str">
        <x:v>Prior = -100 to -1 calendar days; release = day 0; reaction = day 0 to +3.</x:v>
      </x:c>
    </x:row>
    <x:row r="9">
      <x:c r="A9" s="12" t="str">
        <x:v>Origin restriction</x:v>
      </x:c>
      <x:c r="B9" s="12" t="str">
        <x:v>No WSJ, Reuters, Dow Jones or MarketWatch-syndicated source is included.</x:v>
      </x:c>
    </x:row>
    <x:row r="10">
      <x:c r="A10" s="12" t="str">
        <x:v>QA</x:v>
      </x:c>
      <x:c r="B10" s="12" t="str">
        <x:v>Event QA mechanically recomputes the post-release return direction and verifies that all three source-audit rows for each event pass.</x:v>
      </x:c>
    </x:row>
  </x:sheetData>
  <x:pageMargins left="0.7" right="0.7" top="0.75" bottom="0.75" header="0.3" footer="0.3"/>
</x:worksheet>
</file>