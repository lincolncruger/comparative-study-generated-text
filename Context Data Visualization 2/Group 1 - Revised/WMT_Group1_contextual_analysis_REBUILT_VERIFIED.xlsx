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d63d3eacb8d4787" /></Relationships>
</file>

<file path=xl/workbook.xml><?xml version="1.0" encoding="utf-8"?>
<x:workbook xmlns:x="http://schemas.openxmlformats.org/spreadsheetml/2006/main">
  <x:sheets>
    <x:sheet xmlns:r="http://schemas.openxmlformats.org/officeDocument/2006/relationships" name="WMT" sheetId="1" r:id="R2247217823194ce9"/>
    <x:sheet xmlns:r="http://schemas.openxmlformats.org/officeDocument/2006/relationships" name="Source Audit" sheetId="2" r:id="R2a70d390d8c0436c"/>
    <x:sheet xmlns:r="http://schemas.openxmlformats.org/officeDocument/2006/relationships" name="Event QA" sheetId="3" r:id="R3374f4fb53a94ee4"/>
    <x:sheet xmlns:r="http://schemas.openxmlformats.org/officeDocument/2006/relationships" name="Methodology" sheetId="4" r:id="R804c1de27281443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0" fontId="0" fillId="0" borderId="0" xfId="0" applyNumberFormat="1" applyFont="1" applyFill="1" applyBorder="1"/>
    <x:xf numFmtId="200" fontId="0" fillId="0" borderId="1" xfId="0" applyNumberFormat="1" applyFont="1" applyFill="1" applyBorder="1"/>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3759e59fb194bc6" /><Relationship Type="http://schemas.openxmlformats.org/officeDocument/2006/relationships/theme" Target="/xl/theme/theme1.xml" Id="R578bcecd018f43e2" /><Relationship Type="http://schemas.openxmlformats.org/officeDocument/2006/relationships/sharedStrings" Target="/xl/sharedStrings.xml" Id="R5d314febc83245b6" /><Relationship Type="http://schemas.openxmlformats.org/officeDocument/2006/relationships/worksheet" Target="/xl/worksheets/sheet1.xml" Id="R2247217823194ce9" /><Relationship Type="http://schemas.openxmlformats.org/officeDocument/2006/relationships/worksheet" Target="/xl/worksheets/sheet2.xml" Id="R2a70d390d8c0436c" /><Relationship Type="http://schemas.openxmlformats.org/officeDocument/2006/relationships/worksheet" Target="/xl/worksheets/sheet3.xml" Id="R3374f4fb53a94ee4" /><Relationship Type="http://schemas.openxmlformats.org/officeDocument/2006/relationships/worksheet" Target="/xl/worksheets/sheet4.xml" Id="R804c1de27281443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7" hidden="0" customWidth="1"/>
    <x:col min="2" max="2" width="9" hidden="0" customWidth="1"/>
    <x:col min="3" max="3" width="18" hidden="0" customWidth="1"/>
    <x:col min="4" max="4" width="13" hidden="0" customWidth="1"/>
    <x:col min="5" max="5" width="13" hidden="0" customWidth="1"/>
    <x:col min="6" max="6" width="11" hidden="0" customWidth="1"/>
    <x:col min="7" max="7" width="14" hidden="0" customWidth="1"/>
    <x:col min="8" max="8" width="11" hidden="0" customWidth="1"/>
    <x:col min="9" max="9" width="11" hidden="0" customWidth="1"/>
    <x:col min="10" max="10" width="11" hidden="0" customWidth="1"/>
    <x:col min="11" max="11" width="18" hidden="0" customWidth="1"/>
    <x:col min="12" max="12" width="18" hidden="0" customWidth="1"/>
    <x:col min="13" max="13" width="96" hidden="0" customWidth="1"/>
    <x:col min="14" max="14" width="65" hidden="0" customWidth="1"/>
    <x:col min="15" max="15" width="65" hidden="0" customWidth="1"/>
    <x:col min="16" max="16" width="65" hidden="0" customWidth="1"/>
    <x:col min="17" max="17" width="80" hidden="0" customWidth="1"/>
    <x:col min="18" max="18" width="12" hidden="0" customWidth="1"/>
    <x:col min="19" max="19" width="12" hidden="0" customWidth="1"/>
  </x:cols>
  <x:sheetData>
    <x:row r="1">
      <x:c r="A1" s="14" t="str">
        <x:v>index</x:v>
      </x:c>
      <x:c r="B1" s="14" t="str">
        <x:v>ticker</x:v>
      </x:c>
      <x:c r="C1" s="14" t="str">
        <x:v>company_name</x:v>
      </x:c>
      <x:c r="D1" s="14" t="str">
        <x:v>fiscal_yearquarter</x:v>
      </x:c>
      <x:c r="E1" s="14" t="str">
        <x:v>earnings_date</x:v>
      </x:c>
      <x:c r="F1" s="14" t="str">
        <x:v>ret_1day_pct</x:v>
      </x:c>
      <x:c r="G1" s="14" t="str">
        <x:v>ret_1daypost_pct</x:v>
      </x:c>
      <x:c r="H1" s="14" t="str">
        <x:v>ret_2day_pct</x:v>
      </x:c>
      <x:c r="I1" s="14" t="str">
        <x:v>ret_3day_pct</x:v>
      </x:c>
      <x:c r="J1" s="14" t="str">
        <x:v>ret_5day_pct</x:v>
      </x:c>
      <x:c r="K1" s="14" t="str">
        <x:v>reaction_basis</x:v>
      </x:c>
      <x:c r="L1" s="14" t="str">
        <x:v>reaction_direction</x:v>
      </x:c>
      <x:c r="M1" s="14" t="str">
        <x:v>contextual_analysis_full</x:v>
      </x:c>
      <x:c r="N1" s="14" t="str">
        <x:v>prior_context_sources</x:v>
      </x:c>
      <x:c r="O1" s="14" t="str">
        <x:v>release_sources</x:v>
      </x:c>
      <x:c r="P1" s="14" t="str">
        <x:v>reaction_sources</x:v>
      </x:c>
      <x:c r="Q1" s="14" t="str">
        <x:v>all_sources</x:v>
      </x:c>
      <x:c r="R1" s="14" t="str">
        <x:v>source_count</x:v>
      </x:c>
      <x:c r="S1" s="14" t="str">
        <x:v>qa_status</x:v>
      </x:c>
    </x:row>
    <x:row r="2" ht="340" customHeight="1">
      <x:c r="A2" s="15" t="n">
        <x:v>0</x:v>
      </x:c>
      <x:c r="B2" s="15" t="str">
        <x:v>WMT</x:v>
      </x:c>
      <x:c r="C2" s="15" t="str">
        <x:v>Walmart</x:v>
      </x:c>
      <x:c r="D2" s="15" t="str">
        <x:v>2016q2</x:v>
      </x:c>
      <x:c r="E2" s="15" t="str">
        <x:v>2016-05-19</x:v>
      </x:c>
      <x:c r="F2" s="18" t="n">
        <x:v>9.96</x:v>
      </x:c>
      <x:c r="G2" s="18" t="n">
        <x:v>0.19</x:v>
      </x:c>
      <x:c r="H2" s="18" t="n">
        <x:v>10.17</x:v>
      </x:c>
      <x:c r="I2" s="18" t="n">
        <x:v>6.96</x:v>
      </x:c>
      <x:c r="J2" s="18" t="n">
        <x:v>6.33</x:v>
      </x:c>
      <x:c r="K2" s="15" t="str">
        <x:v>ret_1day_pct</x:v>
      </x:c>
      <x:c r="L2" s="15" t="str">
        <x:v>UP</x:v>
      </x:c>
      <x:c r="M2" s="15" t="str">
        <x:v>## Prior Context
Fiscal 2016 had ended with positive U.S. traffic but weak operating income as Walmart absorbed large wage, training and technology investments. Q1 FY17 was therefore a test of whether those investments were beginning to improve core store execution.
### Verified prior source
2016-02-18 | Walmart | Walmart reports Q4 adjusted EPS of $1.49, Fiscal year 2016 adjusted EPS of $4.59 | https://corporate.walmart.com/news/2016/02/18/walmart-reports-q4-adjusted-eps-of-1-49-fiscal-year-2016-adjusted-eps-of-4-59
## Current Earnings Release
Walmart reported **$115.9 billion of revenue** and **$0.98 EPS**, versus Wall Street expectations of roughly $112.7 billion and $0.88. Walmart U.S. comparable sales rose about **1.0%**, with traffic positive for a sixth consecutive quarter. The improvement was particularly notable because many other large U.S. retailers were reporting weak traffic and apparel demand.
Operating income still declined as planned wage and technology investments weighed on costs, and e-commerce growth slowed to only about **7%**. But the quarter materially exceeded the low expectations embedded after Walmart’s 2015 investment reset. Better inventory availability, customer-service scores and traffic suggested the wage/training program was beginning to improve store execution.
### Verified release source
2016-05-19 | Walmart | Walmart reports Q1 FY17 EPS of $0.98 | https://corporate.walmart.com/news/2016/05/19/walmart-reports-q1-fy17-eps-of-0-98
## Possible Drivers
**First-order driver.** Shares jumped almost 10% because revenue, EPS and U.S. comps were all materially better than expected.
**Second-order driver.** Positive traffic suggested Walmart’s wage, training and inventory investments were improving the core store experience.
**Third-order driver.** Slow e-commerce growth remained the main weakness and kept Amazon competition central to the longer-term thesis.
### Verified reaction source
2016-05-19 | Fortune | Here’s Why Walmart Shares Are Skyrocketing | https://fortune.com/2016/05/19/walmart-shares-results/
## Verification Status
Included sources were verified for Walmart/WMT identity, the correct earnings event, publication date, timing window and source origin. Walmart / SEC filings anchor the factual results. No WSJ, Reuters, Dow Jones or MarketWatch-syndicated article is included.
</x:v>
      </x:c>
      <x:c r="N2" s="15" t="str">
        <x:v>2016-02-18 | Walmart | Walmart reports Q4 adjusted EPS of $1.49, Fiscal year 2016 adjusted EPS of $4.59 | https://corporate.walmart.com/news/2016/02/18/walmart-reports-q4-adjusted-eps-of-1-49-fiscal-year-2016-adjusted-eps-of-4-59</x:v>
      </x:c>
      <x:c r="O2" s="15" t="str">
        <x:v>2016-05-19 | Walmart | Walmart reports Q1 FY17 EPS of $0.98 | https://corporate.walmart.com/news/2016/05/19/walmart-reports-q1-fy17-eps-of-0-98</x:v>
      </x:c>
      <x:c r="P2" s="15" t="str">
        <x:v>2016-05-19 | Fortune | Here’s Why Walmart Shares Are Skyrocketing | https://fortune.com/2016/05/19/walmart-shares-results/</x:v>
      </x:c>
      <x:c r="Q2" s="15" t="str">
        <x:v>2016-02-18 | Walmart | Walmart reports Q4 adjusted EPS of $1.49, Fiscal year 2016 adjusted EPS of $4.59 | https://corporate.walmart.com/news/2016/02/18/walmart-reports-q4-adjusted-eps-of-1-49-fiscal-year-2016-adjusted-eps-of-4-59
2016-05-19 | Walmart | Walmart reports Q1 FY17 EPS of $0.98 | https://corporate.walmart.com/news/2016/05/19/walmart-reports-q1-fy17-eps-of-0-98
2016-05-19 | Fortune | Here’s Why Walmart Shares Are Skyrocketing | https://fortune.com/2016/05/19/walmart-shares-results/</x:v>
      </x:c>
      <x:c r="R2" s="15" t="n">
        <x:v>3</x:v>
      </x:c>
      <x:c r="S2" s="15" t="str">
        <x:v>PASS</x:v>
      </x:c>
    </x:row>
    <x:row r="3" ht="340" customHeight="1">
      <x:c r="A3" s="15" t="n">
        <x:v>1</x:v>
      </x:c>
      <x:c r="B3" s="15" t="str">
        <x:v>WMT</x:v>
      </x:c>
      <x:c r="C3" s="15" t="str">
        <x:v>Walmart</x:v>
      </x:c>
      <x:c r="D3" s="15" t="str">
        <x:v>2016q3</x:v>
      </x:c>
      <x:c r="E3" s="15" t="str">
        <x:v>2016-08-18</x:v>
      </x:c>
      <x:c r="F3" s="18" t="n">
        <x:v>1.54</x:v>
      </x:c>
      <x:c r="G3" s="18" t="n">
        <x:v>-1.82</x:v>
      </x:c>
      <x:c r="H3" s="18" t="n">
        <x:v>-0.31</x:v>
      </x:c>
      <x:c r="I3" s="18" t="n">
        <x:v>-0.36</x:v>
      </x:c>
      <x:c r="J3" s="18" t="n">
        <x:v>-1.75</x:v>
      </x:c>
      <x:c r="K3" s="15" t="str">
        <x:v>ret_1day_pct</x:v>
      </x:c>
      <x:c r="L3" s="15" t="str">
        <x:v>UP</x:v>
      </x:c>
      <x:c r="M3" s="15" t="str">
        <x:v>## Prior Context
After the May surprise, investors wanted confirmation that better U.S. traffic was durable rather than a one-quarter rebound. E-commerce was also under scrutiny after Q1 growth slowed to 7%, and Walmart had just announced its $3.3 billion acquisition of Jet.com.
### Verified prior source
2016-05-19 | Walmart | Walmart reports Q1 FY17 EPS of $0.98 | https://corporate.walmart.com/news/2016/05/19/walmart-reports-q1-fy17-eps-of-0-98
## Current Earnings Release
Q2 revenue was about **$120.9 billion**, while GAAP EPS reached **$1.21** and adjusted EPS **$1.07**. Walmart U.S. comps increased **1.6%**, ahead of roughly 1% expectations, and traffic was positive for a seventh consecutive quarter. E-commerce growth accelerated to **11.8%**, breaking a long sequence of deceleration.
Management raised full-year adjusted EPS guidance to **$4.15–$4.35** from $4.00–$4.30, even after incorporating expected Jet.com losses and transaction costs. Excluding the Yihaodian gain, operating income was still under pressure from people and technology investments, but the sales trajectory clearly improved.
### Verified release source
2016-08-18 | Walmart | Walmart reports Q2 FY17 EPS of $1.21, adjusted EPS of $1.07 | https://corporate.walmart.com/news/2016/08/18/walmart-reports-q2-fy17-eps-of-1-21-adjusted-eps-of-1-07
## Possible Drivers
**First-order driver.** The stock rose because U.S. comps beat expectations and Walmart raised full-year earnings guidance.
**Second-order driver.** E-commerce growth reaccelerated after nine quarters of slowing growth.
**Third-order driver.** Continued wage/technology spending constrained margins, but investors increasingly viewed it as productive investment.
### Verified reaction source
2016-08-18 | Fortune | Walmart Is Killing It With Shoppers | https://fortune.com/2016/08/18/walmart-target-results/
## Verification Status
Included sources were verified for Walmart/WMT identity, the correct earnings event, publication date, timing window and source origin. Walmart / SEC filings anchor the factual results. No WSJ, Reuters, Dow Jones or MarketWatch-syndicated article is included.
</x:v>
      </x:c>
      <x:c r="N3" s="15" t="str">
        <x:v>2016-05-19 | Walmart | Walmart reports Q1 FY17 EPS of $0.98 | https://corporate.walmart.com/news/2016/05/19/walmart-reports-q1-fy17-eps-of-0-98</x:v>
      </x:c>
      <x:c r="O3" s="15" t="str">
        <x:v>2016-08-18 | Walmart | Walmart reports Q2 FY17 EPS of $1.21, adjusted EPS of $1.07 | https://corporate.walmart.com/news/2016/08/18/walmart-reports-q2-fy17-eps-of-1-21-adjusted-eps-of-1-07</x:v>
      </x:c>
      <x:c r="P3" s="15" t="str">
        <x:v>2016-08-18 | Fortune | Walmart Is Killing It With Shoppers | https://fortune.com/2016/08/18/walmart-target-results/</x:v>
      </x:c>
      <x:c r="Q3" s="15" t="str">
        <x:v>2016-05-19 | Walmart | Walmart reports Q1 FY17 EPS of $0.98 | https://corporate.walmart.com/news/2016/05/19/walmart-reports-q1-fy17-eps-of-0-98
2016-08-18 | Walmart | Walmart reports Q2 FY17 EPS of $1.21, adjusted EPS of $1.07 | https://corporate.walmart.com/news/2016/08/18/walmart-reports-q2-fy17-eps-of-1-21-adjusted-eps-of-1-07
2016-08-18 | Fortune | Walmart Is Killing It With Shoppers | https://fortune.com/2016/08/18/walmart-target-results/</x:v>
      </x:c>
      <x:c r="R3" s="15" t="n">
        <x:v>3</x:v>
      </x:c>
      <x:c r="S3" s="15" t="str">
        <x:v>PASS</x:v>
      </x:c>
    </x:row>
    <x:row r="4" ht="340" customHeight="1">
      <x:c r="A4" s="15" t="n">
        <x:v>2</x:v>
      </x:c>
      <x:c r="B4" s="15" t="str">
        <x:v>WMT</x:v>
      </x:c>
      <x:c r="C4" s="15" t="str">
        <x:v>Walmart</x:v>
      </x:c>
      <x:c r="D4" s="15" t="str">
        <x:v>2016q4</x:v>
      </x:c>
      <x:c r="E4" s="15" t="str">
        <x:v>2016-11-17</x:v>
      </x:c>
      <x:c r="F4" s="18" t="n">
        <x:v>-3.54</x:v>
      </x:c>
      <x:c r="G4" s="18" t="n">
        <x:v>-0.8</x:v>
      </x:c>
      <x:c r="H4" s="18" t="n">
        <x:v>-4.32</x:v>
      </x:c>
      <x:c r="I4" s="18" t="n">
        <x:v>-4.21</x:v>
      </x:c>
      <x:c r="J4" s="18" t="n">
        <x:v>-3.05</x:v>
      </x:c>
      <x:c r="K4" s="15" t="str">
        <x:v>ret_1day_pct</x:v>
      </x:c>
      <x:c r="L4" s="15" t="str">
        <x:v>DOWN</x:v>
      </x:c>
      <x:c r="M4" s="15" t="str">
        <x:v>## Prior Context
Walmart entered the holiday quarter with improving U.S. traffic and a new e-commerce strategy centered on Jet.com. The main risk was that food deflation and continued investment could weaken comps and margins.
### Verified prior source
2016-08-18 | Walmart | Walmart reports Q2 FY17 EPS of $1.21, adjusted EPS of $1.07 | https://corporate.walmart.com/news/2016/08/18/walmart-reports-q2-fy17-eps-of-1-21-adjusted-eps-of-1-07
## Current Earnings Release
Q3 revenue increased only **0.7% to $118.2 billion**, and EPS was **$0.98**. Walmart U.S. comps rose **1.2%**, slightly below market expectations around 1.3%, while traffic growth slowed to **0.7%**. Food-price deflation was an important drag on reported comparable sales.
E-commerce was the bright spot: constant-currency global online sales increased **20.6%**, a meaningful acceleration. However, consolidated operating income declined **10.4%** as wage, technology and currency pressure persisted. Management’s full-year adjusted EPS range of **$4.20–$4.35** was solid, but the market focused on the slower U.S. comp/traffic trajectory.
### Verified release source
2016-11-17 | Walmart | Walmart reports Q3 FY17 EPS of $0.98 | https://corporate.walmart.com/news/2016/11/17/walmart-reports-q3-fy17-eps-of-0-98
## Possible Drivers
**First-order driver.** Shares fell because U.S. comp growth slightly missed expectations and traffic slowed.
**Second-order driver.** Food deflation depressed the headline comp even though underlying customer demand was not collapsing.
**Third-order driver.** Accelerating e-commerce helped the strategic story but could not offset near-term margin pressure.
### Verified reaction source
2016-11-17 | Fortune | Here’s Why Walmart Shares Are Taking A Hit Today | https://fortune.com/2016/11/17/walmart-stock-earnings-sales/
## Verification Status
Included sources were verified for Walmart/WMT identity, the correct earnings event, publication date, timing window and source origin. Walmart / SEC filings anchor the factual results. No WSJ, Reuters, Dow Jones or MarketWatch-syndicated article is included.
</x:v>
      </x:c>
      <x:c r="N4" s="15" t="str">
        <x:v>2016-08-18 | Walmart | Walmart reports Q2 FY17 EPS of $1.21, adjusted EPS of $1.07 | https://corporate.walmart.com/news/2016/08/18/walmart-reports-q2-fy17-eps-of-1-21-adjusted-eps-of-1-07</x:v>
      </x:c>
      <x:c r="O4" s="15" t="str">
        <x:v>2016-11-17 | Walmart | Walmart reports Q3 FY17 EPS of $0.98 | https://corporate.walmart.com/news/2016/11/17/walmart-reports-q3-fy17-eps-of-0-98</x:v>
      </x:c>
      <x:c r="P4" s="15" t="str">
        <x:v>2016-11-17 | Fortune | Here’s Why Walmart Shares Are Taking A Hit Today | https://fortune.com/2016/11/17/walmart-stock-earnings-sales/</x:v>
      </x:c>
      <x:c r="Q4" s="15" t="str">
        <x:v>2016-08-18 | Walmart | Walmart reports Q2 FY17 EPS of $1.21, adjusted EPS of $1.07 | https://corporate.walmart.com/news/2016/08/18/walmart-reports-q2-fy17-eps-of-1-21-adjusted-eps-of-1-07
2016-11-17 | Walmart | Walmart reports Q3 FY17 EPS of $0.98 | https://corporate.walmart.com/news/2016/11/17/walmart-reports-q3-fy17-eps-of-0-98
2016-11-17 | Fortune | Here’s Why Walmart Shares Are Taking A Hit Today | https://fortune.com/2016/11/17/walmart-stock-earnings-sales/</x:v>
      </x:c>
      <x:c r="R4" s="15" t="n">
        <x:v>3</x:v>
      </x:c>
      <x:c r="S4" s="15" t="str">
        <x:v>PASS</x:v>
      </x:c>
    </x:row>
    <x:row r="5" ht="340" customHeight="1">
      <x:c r="A5" s="15" t="n">
        <x:v>3</x:v>
      </x:c>
      <x:c r="B5" s="15" t="str">
        <x:v>WMT</x:v>
      </x:c>
      <x:c r="C5" s="15" t="str">
        <x:v>Walmart</x:v>
      </x:c>
      <x:c r="D5" s="15" t="str">
        <x:v>2017q1</x:v>
      </x:c>
      <x:c r="E5" s="15" t="str">
        <x:v>2017-02-21</x:v>
      </x:c>
      <x:c r="F5" s="18" t="n">
        <x:v>2.42</x:v>
      </x:c>
      <x:c r="G5" s="18" t="n">
        <x:v>0.54</x:v>
      </x:c>
      <x:c r="H5" s="18" t="n">
        <x:v>2.97</x:v>
      </x:c>
      <x:c r="I5" s="18" t="n">
        <x:v>3.52</x:v>
      </x:c>
      <x:c r="J5" s="18" t="n">
        <x:v>4.55</x:v>
      </x:c>
      <x:c r="K5" s="15" t="str">
        <x:v>ret_1day_pct</x:v>
      </x:c>
      <x:c r="L5" s="15" t="str">
        <x:v>UP</x:v>
      </x:c>
      <x:c r="M5" s="15" t="str">
        <x:v>## Prior Context
The holiday report was the first meaningful test of Walmart’s Jet.com strategy. Investors wanted proof that online acceleration could coexist with continued positive traffic at the physical stores.
### Verified prior source
2016-11-17 | Walmart | Walmart reports Q3 FY17 EPS of $0.98 | https://corporate.walmart.com/news/2016/11/17/walmart-reports-q3-fy17-eps-of-0-98
## Current Earnings Release
Q4 adjusted EPS was **$1.30**, slightly above consensus, and total revenue reached **$130.9 billion**. Walmart U.S. comps rose **1.8%**, clearly above the roughly 1.3% expectation, with traffic up **1.4%**.
The strongest strategic signal was digital: Walmart U.S. e-commerce sales increased **29%** and GMV **36.1%**, including Jet.com and online grocery. Walmart had now posted ten consecutive quarters of positive U.S. comps. The quarter suggested the company was beginning to combine its store network and online assets rather than simply defend stores against Amazon.
### Verified release source
2017-02-21 | Walmart | Walmart U.S. Q4 comps grew 1.8% and Walmart U.S. eCommerce GMV grew 36.1% | https://corporate.walmart.com/news/2017/02/21/walmart-u-s-q4-comps-grew-1-8-and-walmart-u-s-ecommerce-gmv-grew-36-1
## Possible Drivers
**First-order driver.** Shares rose because U.S. comps and adjusted EPS beat expectations.
**Second-order driver.** E-commerce acceleration validated the Jet.com and marketplace strategy.
**Third-order driver.** Continued positive store traffic showed online investment was not cannibalizing the core franchise.
### Verified reaction source
2017-02-21 | Fortune | Walmart’s 29% Online Holiday Season Growth Sends Shares Jumping | https://fortune.com/2017/02/21/walmart-results/
## Verification Status
Included sources were verified for Walmart/WMT identity, the correct earnings event, publication date, timing window and source origin. Walmart / SEC filings anchor the factual results. No WSJ, Reuters, Dow Jones or MarketWatch-syndicated article is included.
</x:v>
      </x:c>
      <x:c r="N5" s="15" t="str">
        <x:v>2016-11-17 | Walmart | Walmart reports Q3 FY17 EPS of $0.98 | https://corporate.walmart.com/news/2016/11/17/walmart-reports-q3-fy17-eps-of-0-98</x:v>
      </x:c>
      <x:c r="O5" s="15" t="str">
        <x:v>2017-02-21 | Walmart | Walmart U.S. Q4 comps grew 1.8% and Walmart U.S. eCommerce GMV grew 36.1% | https://corporate.walmart.com/news/2017/02/21/walmart-u-s-q4-comps-grew-1-8-and-walmart-u-s-ecommerce-gmv-grew-36-1</x:v>
      </x:c>
      <x:c r="P5" s="15" t="str">
        <x:v>2017-02-21 | Fortune | Walmart’s 29% Online Holiday Season Growth Sends Shares Jumping | https://fortune.com/2017/02/21/walmart-results/</x:v>
      </x:c>
      <x:c r="Q5" s="15" t="str">
        <x:v>2016-11-17 | Walmart | Walmart reports Q3 FY17 EPS of $0.98 | https://corporate.walmart.com/news/2016/11/17/walmart-reports-q3-fy17-eps-of-0-98
2017-02-21 | Walmart | Walmart U.S. Q4 comps grew 1.8% and Walmart U.S. eCommerce GMV grew 36.1% | https://corporate.walmart.com/news/2017/02/21/walmart-u-s-q4-comps-grew-1-8-and-walmart-u-s-ecommerce-gmv-grew-36-1
2017-02-21 | Fortune | Walmart’s 29% Online Holiday Season Growth Sends Shares Jumping | https://fortune.com/2017/02/21/walmart-results/</x:v>
      </x:c>
      <x:c r="R5" s="15" t="n">
        <x:v>3</x:v>
      </x:c>
      <x:c r="S5" s="15" t="str">
        <x:v>PASS</x:v>
      </x:c>
    </x:row>
    <x:row r="6" ht="340" customHeight="1">
      <x:c r="A6" s="15" t="n">
        <x:v>4</x:v>
      </x:c>
      <x:c r="B6" s="15" t="str">
        <x:v>WMT</x:v>
      </x:c>
      <x:c r="C6" s="15" t="str">
        <x:v>Walmart</x:v>
      </x:c>
      <x:c r="D6" s="15" t="str">
        <x:v>2017q2</x:v>
      </x:c>
      <x:c r="E6" s="15" t="str">
        <x:v>2017-05-18</x:v>
      </x:c>
      <x:c r="F6" s="18" t="n">
        <x:v>2.88</x:v>
      </x:c>
      <x:c r="G6" s="18" t="n">
        <x:v>0.83</x:v>
      </x:c>
      <x:c r="H6" s="18" t="n">
        <x:v>3.74</x:v>
      </x:c>
      <x:c r="I6" s="18" t="n">
        <x:v>5.63</x:v>
      </x:c>
      <x:c r="J6" s="18" t="n">
        <x:v>4.52</x:v>
      </x:c>
      <x:c r="K6" s="15" t="str">
        <x:v>ret_1day_pct</x:v>
      </x:c>
      <x:c r="L6" s="15" t="str">
        <x:v>UP</x:v>
      </x:c>
      <x:c r="M6" s="15" t="str">
        <x:v>## Prior Context
After strong holiday e-commerce growth, the market wanted evidence that Jet.com was not the only source of digital acceleration and that Walmart.com itself could gain share.
### Verified prior source
2017-02-21 | Walmart | Walmart U.S. Q4 comps grew 1.8% and Walmart U.S. eCommerce GMV grew 36.1% | https://corporate.walmart.com/news/2017/02/21/walmart-u-s-q4-comps-grew-1-8-and-walmart-u-s-ecommerce-gmv-grew-36-1
## Current Earnings Release
Q1 FY18 revenue rose **1.4% to $117.5 billion** and EPS increased to **$1.00**. Walmart U.S. comps advanced **1.4%**, driven by **1.5% traffic growth**, extending the retailer’s positive comp streak.
The standout metric was e-commerce: Walmart U.S. online sales increased **63%** and GMV **69%**, with management emphasizing that most of the growth was **organic through Walmart.com**. That distinction mattered because it showed the digital strategy was strengthening the legacy platform rather than merely adding acquired Jet.com volume.
### Verified release source
2017-05-18 | Walmart SEC filing | Walmart U.S. Q1 comps grew 1.4% and Walmart U.S. eCommerce GMV grew 69% | https://d18rn0p25nwr6d.cloudfront.net/CIK-0000104169/620ceb6b-3555-431d-9cfd-bfb169368cb5.pdf
## Possible Drivers
**First-order driver.** Shares rose because 63% e-commerce growth materially exceeded what investors expected from a mature retailer.
**Second-order driver.** Positive U.S. traffic confirmed that the physical-store business remained healthy.
**Third-order driver.** Organic Walmart.com growth reduced concern that the digital acceleration was purely acquisition-driven.
### Verified reaction source
2017-05-18 | Retail Dive | Wal-Mart's e-commerce play brings big payoff in Q1 | https://www.retaildive.com/news/wal-marts-e-commerce-play-brings-big-payoff-in-q1/443034/
## Verification Status
Included sources were verified for Walmart/WMT identity, the correct earnings event, publication date, timing window and source origin. Walmart / SEC filings anchor the factual results. No WSJ, Reuters, Dow Jones or MarketWatch-syndicated article is included.
</x:v>
      </x:c>
      <x:c r="N6" s="15" t="str">
        <x:v>2017-02-21 | Walmart | Walmart U.S. Q4 comps grew 1.8% and Walmart U.S. eCommerce GMV grew 36.1% | https://corporate.walmart.com/news/2017/02/21/walmart-u-s-q4-comps-grew-1-8-and-walmart-u-s-ecommerce-gmv-grew-36-1</x:v>
      </x:c>
      <x:c r="O6" s="15" t="str">
        <x:v>2017-05-18 | Walmart SEC filing | Walmart U.S. Q1 comps grew 1.4% and Walmart U.S. eCommerce GMV grew 69% | https://d18rn0p25nwr6d.cloudfront.net/CIK-0000104169/620ceb6b-3555-431d-9cfd-bfb169368cb5.pdf</x:v>
      </x:c>
      <x:c r="P6" s="15" t="str">
        <x:v>2017-05-18 | Retail Dive | Wal-Mart's e-commerce play brings big payoff in Q1 | https://www.retaildive.com/news/wal-marts-e-commerce-play-brings-big-payoff-in-q1/443034/</x:v>
      </x:c>
      <x:c r="Q6" s="15" t="str">
        <x:v>2017-02-21 | Walmart | Walmart U.S. Q4 comps grew 1.8% and Walmart U.S. eCommerce GMV grew 36.1% | https://corporate.walmart.com/news/2017/02/21/walmart-u-s-q4-comps-grew-1-8-and-walmart-u-s-ecommerce-gmv-grew-36-1
2017-05-18 | Walmart SEC filing | Walmart U.S. Q1 comps grew 1.4% and Walmart U.S. eCommerce GMV grew 69% | https://d18rn0p25nwr6d.cloudfront.net/CIK-0000104169/620ceb6b-3555-431d-9cfd-bfb169368cb5.pdf
2017-05-18 | Retail Dive | Wal-Mart's e-commerce play brings big payoff in Q1 | https://www.retaildive.com/news/wal-marts-e-commerce-play-brings-big-payoff-in-q1/443034/</x:v>
      </x:c>
      <x:c r="R6" s="15" t="n">
        <x:v>3</x:v>
      </x:c>
      <x:c r="S6" s="15" t="str">
        <x:v>PASS</x:v>
      </x:c>
    </x:row>
    <x:row r="7" ht="340" customHeight="1">
      <x:c r="A7" s="15" t="n">
        <x:v>5</x:v>
      </x:c>
      <x:c r="B7" s="15" t="str">
        <x:v>WMT</x:v>
      </x:c>
      <x:c r="C7" s="15" t="str">
        <x:v>Walmart</x:v>
      </x:c>
      <x:c r="D7" s="15" t="str">
        <x:v>2017q3</x:v>
      </x:c>
      <x:c r="E7" s="15" t="str">
        <x:v>2017-08-17</x:v>
      </x:c>
      <x:c r="F7" s="18" t="n">
        <x:v>-0.12</x:v>
      </x:c>
      <x:c r="G7" s="18" t="n">
        <x:v>-0.37</x:v>
      </x:c>
      <x:c r="H7" s="18" t="n">
        <x:v>-0.49</x:v>
      </x:c>
      <x:c r="I7" s="18" t="n">
        <x:v>-0.45</x:v>
      </x:c>
      <x:c r="J7" s="18" t="n">
        <x:v>-0.59</x:v>
      </x:c>
      <x:c r="K7" s="15" t="str">
        <x:v>ret_1day_pct</x:v>
      </x:c>
      <x:c r="L7" s="15" t="str">
        <x:v>DOWN</x:v>
      </x:c>
      <x:c r="M7" s="15" t="str">
        <x:v>## Prior Context
Walmart’s e-commerce growth had become the central rerating driver after Q1’s 63% increase. Investors therefore expected both continued digital acceleration and improving earnings leverage.
### Verified prior source
2017-05-18 | Walmart SEC filing | Walmart U.S. Q1 comps grew 1.4% and Walmart U.S. eCommerce GMV grew 69% | https://d18rn0p25nwr6d.cloudfront.net/CIK-0000104169/620ceb6b-3555-431d-9cfd-bfb169368cb5.pdf
## Current Earnings Release
Q2 revenue increased **2.1% to $123.4 billion**, ahead of consensus, while adjusted EPS of **$1.08** beat by about one cent. Walmart U.S. comps rose **1.8%** with **1.3% traffic growth**, and e-commerce net sales increased **60%**.
The issue was profitability and guidance. Consolidated operating income declined, gross margins were pressured by price investment and e-commerce spending, and the upcoming-quarter earnings outlook was less impressive than the headline quarter. The stock finished essentially flat to slightly lower in the supplied series despite strong digital growth.
### Verified release source
2017-08-17 | Walmart SEC filing | Walmart U.S. Q2 comps grew 1.8% and Walmart U.S. eCommerce GMV grew 67% | https://stock.walmart.com/sec-filings/all-sec-filings/content/0000104169-17-000052/earningsrelease-7312017.htm
## Possible Drivers
**First-order driver.** The modest decline reflected margin and forward-earnings concerns despite a revenue/EPS beat.
**Second-order driver.** E-commerce remained exceptionally strong, so the problem was profitability rather than demand.
**Third-order driver.** Price investment was helping traffic and market share but delayed operating-margin recovery.
### Verified reaction source
2017-08-17 | TheStreet | Stocks Slide as Walmart Lets Most People Down, but Alibaba Gives a Lift | https://www.thestreet.com/investing/stocks-slide-as-walmart-disappoints-but-alibaba-gives-a-lift-14275023
## Verification Status
Included sources were verified for Walmart/WMT identity, the correct earnings event, publication date, timing window and source origin. Walmart / SEC filings anchor the factual results. No WSJ, Reuters, Dow Jones or MarketWatch-syndicated article is included.
</x:v>
      </x:c>
      <x:c r="N7" s="15" t="str">
        <x:v>2017-05-18 | Walmart SEC filing | Walmart U.S. Q1 comps grew 1.4% and Walmart U.S. eCommerce GMV grew 69% | https://d18rn0p25nwr6d.cloudfront.net/CIK-0000104169/620ceb6b-3555-431d-9cfd-bfb169368cb5.pdf</x:v>
      </x:c>
      <x:c r="O7" s="15" t="str">
        <x:v>2017-08-17 | Walmart SEC filing | Walmart U.S. Q2 comps grew 1.8% and Walmart U.S. eCommerce GMV grew 67% | https://stock.walmart.com/sec-filings/all-sec-filings/content/0000104169-17-000052/earningsrelease-7312017.htm</x:v>
      </x:c>
      <x:c r="P7" s="15" t="str">
        <x:v>2017-08-17 | TheStreet | Stocks Slide as Walmart Lets Most People Down, but Alibaba Gives a Lift | https://www.thestreet.com/investing/stocks-slide-as-walmart-disappoints-but-alibaba-gives-a-lift-14275023</x:v>
      </x:c>
      <x:c r="Q7" s="15" t="str">
        <x:v>2017-05-18 | Walmart SEC filing | Walmart U.S. Q1 comps grew 1.4% and Walmart U.S. eCommerce GMV grew 69% | https://d18rn0p25nwr6d.cloudfront.net/CIK-0000104169/620ceb6b-3555-431d-9cfd-bfb169368cb5.pdf
2017-08-17 | Walmart SEC filing | Walmart U.S. Q2 comps grew 1.8% and Walmart U.S. eCommerce GMV grew 67% | https://stock.walmart.com/sec-filings/all-sec-filings/content/0000104169-17-000052/earningsrelease-7312017.htm
2017-08-17 | TheStreet | Stocks Slide as Walmart Lets Most People Down, but Alibaba Gives a Lift | https://www.thestreet.com/investing/stocks-slide-as-walmart-disappoints-but-alibaba-gives-a-lift-14275023</x:v>
      </x:c>
      <x:c r="R7" s="15" t="n">
        <x:v>3</x:v>
      </x:c>
      <x:c r="S7" s="15" t="str">
        <x:v>PASS</x:v>
      </x:c>
    </x:row>
    <x:row r="8" ht="340" customHeight="1">
      <x:c r="A8" s="15" t="n">
        <x:v>6</x:v>
      </x:c>
      <x:c r="B8" s="15" t="str">
        <x:v>WMT</x:v>
      </x:c>
      <x:c r="C8" s="15" t="str">
        <x:v>Walmart</x:v>
      </x:c>
      <x:c r="D8" s="15" t="str">
        <x:v>2017q4</x:v>
      </x:c>
      <x:c r="E8" s="15" t="str">
        <x:v>2017-11-16</x:v>
      </x:c>
      <x:c r="F8" s="18" t="n">
        <x:v>9.96</x:v>
      </x:c>
      <x:c r="G8" s="18" t="n">
        <x:v>-2.07</x:v>
      </x:c>
      <x:c r="H8" s="18" t="n">
        <x:v>7.69</x:v>
      </x:c>
      <x:c r="I8" s="18" t="n">
        <x:v>6.73</x:v>
      </x:c>
      <x:c r="J8" s="18" t="n">
        <x:v>4.8</x:v>
      </x:c>
      <x:c r="K8" s="15" t="str">
        <x:v>ret_1day_pct</x:v>
      </x:c>
      <x:c r="L8" s="15" t="str">
        <x:v>UP</x:v>
      </x:c>
      <x:c r="M8" s="15" t="str">
        <x:v>## Prior Context
By Q3, Walmart had established itself as the strongest large brick-and-mortar challenger to Amazon. Investors wanted to see whether its digital growth could stay near 50% while U.S. comps accelerated.
### Verified prior source
2017-08-17 | Walmart SEC filing | Walmart U.S. Q2 comps grew 1.8% and Walmart U.S. eCommerce GMV grew 67% | https://stock.walmart.com/sec-filings/all-sec-filings/content/0000104169-17-000052/earningsrelease-7312017.htm
## Current Earnings Release
Walmart delivered **$123.2 billion of revenue**, up **4.2%**, and adjusted EPS of **$1.00**. Both were above expectations. Walmart U.S. comps accelerated to **2.7%**, the strongest rate in more than eight years, with traffic up **1.5%**.
U.S. e-commerce sales increased **50%**, contributing about 80 basis points to comp growth. Although operating income declined as Walmart invested in technology and lower prices, the top-line acceleration showed that the omnichannel strategy was gaining real market share.
### Verified release source
2017-11-16 | Walmart | Walmart U.S. Q3 comps grew 2.7% and Walmart U.S. eCommerce sales grew 50% | https://corporate.walmart.com/news/2017/11/16/walmart-u-s-q3-comps1-grew-2-7-and-walmart-u-s-ecommerce-sales-grew-50-company-reports-q3-fy18-gaap-eps-of-0-58-adjusted-eps2-of-1-00
## Possible Drivers
**First-order driver.** Shares surged almost 10% because revenue, earnings, comps and e-commerce growth all exceeded expectations.
**Second-order driver.** The 2.7% U.S. comp was the strongest in years and was supported by traffic, not only ticket.
**Third-order driver.** 50% e-commerce growth showed Walmart could scale online without sacrificing store momentum.
### Verified reaction source
2017-11-16 | The Motley Fool | Why Wal-Mart Stock Was Soaring Today | https://www.fool.com/investing/2017/11/16/why-wal-mart-stock-was-soaring-today.aspx
## Verification Status
Included sources were verified for Walmart/WMT identity, the correct earnings event, publication date, timing window and source origin. Walmart / SEC filings anchor the factual results. No WSJ, Reuters, Dow Jones or MarketWatch-syndicated article is included.
</x:v>
      </x:c>
      <x:c r="N8" s="15" t="str">
        <x:v>2017-08-17 | Walmart SEC filing | Walmart U.S. Q2 comps grew 1.8% and Walmart U.S. eCommerce GMV grew 67% | https://stock.walmart.com/sec-filings/all-sec-filings/content/0000104169-17-000052/earningsrelease-7312017.htm</x:v>
      </x:c>
      <x:c r="O8" s="15" t="str">
        <x:v>2017-11-16 | Walmart | Walmart U.S. Q3 comps grew 2.7% and Walmart U.S. eCommerce sales grew 50% | https://corporate.walmart.com/news/2017/11/16/walmart-u-s-q3-comps1-grew-2-7-and-walmart-u-s-ecommerce-sales-grew-50-company-reports-q3-fy18-gaap-eps-of-0-58-adjusted-eps2-of-1-00</x:v>
      </x:c>
      <x:c r="P8" s="15" t="str">
        <x:v>2017-11-16 | The Motley Fool | Why Wal-Mart Stock Was Soaring Today | https://www.fool.com/investing/2017/11/16/why-wal-mart-stock-was-soaring-today.aspx</x:v>
      </x:c>
      <x:c r="Q8" s="15" t="str">
        <x:v>2017-08-17 | Walmart SEC filing | Walmart U.S. Q2 comps grew 1.8% and Walmart U.S. eCommerce GMV grew 67% | https://stock.walmart.com/sec-filings/all-sec-filings/content/0000104169-17-000052/earningsrelease-7312017.htm
2017-11-16 | Walmart | Walmart U.S. Q3 comps grew 2.7% and Walmart U.S. eCommerce sales grew 50% | https://corporate.walmart.com/news/2017/11/16/walmart-u-s-q3-comps1-grew-2-7-and-walmart-u-s-ecommerce-sales-grew-50-company-reports-q3-fy18-gaap-eps-of-0-58-adjusted-eps2-of-1-00
2017-11-16 | The Motley Fool | Why Wal-Mart Stock Was Soaring Today | https://www.fool.com/investing/2017/11/16/why-wal-mart-stock-was-soaring-today.aspx</x:v>
      </x:c>
      <x:c r="R8" s="15" t="n">
        <x:v>3</x:v>
      </x:c>
      <x:c r="S8" s="15" t="str">
        <x:v>PASS</x:v>
      </x:c>
    </x:row>
    <x:row r="9" ht="340" customHeight="1">
      <x:c r="A9" s="15" t="n">
        <x:v>7</x:v>
      </x:c>
      <x:c r="B9" s="15" t="str">
        <x:v>WMT</x:v>
      </x:c>
      <x:c r="C9" s="15" t="str">
        <x:v>Walmart</x:v>
      </x:c>
      <x:c r="D9" s="15" t="str">
        <x:v>2018q1</x:v>
      </x:c>
      <x:c r="E9" s="15" t="str">
        <x:v>2018-02-20</x:v>
      </x:c>
      <x:c r="F9" s="18" t="n">
        <x:v>-9.55</x:v>
      </x:c>
      <x:c r="G9" s="18" t="n">
        <x:v>-2.31</x:v>
      </x:c>
      <x:c r="H9" s="18" t="n">
        <x:v>-11.65</x:v>
      </x:c>
      <x:c r="I9" s="18" t="n">
        <x:v>-10.35</x:v>
      </x:c>
      <x:c r="J9" s="18" t="n">
        <x:v>-10.36</x:v>
      </x:c>
      <x:c r="K9" s="15" t="str">
        <x:v>ret_1day_pct</x:v>
      </x:c>
      <x:c r="L9" s="15" t="str">
        <x:v>DOWN</x:v>
      </x:c>
      <x:c r="M9" s="15" t="str">
        <x:v>## Prior Context
The November quarter had pushed expectations very high: U.S. comps were accelerating and e-commerce had grown 50%. The holiday quarter therefore had to sustain that digital pace.
### Verified prior source
2017-11-16 | Walmart | Walmart U.S. Q3 comps grew 2.7% and Walmart U.S. eCommerce sales grew 50% | https://corporate.walmart.com/news/2017/11/16/walmart-u-s-q3-comps1-grew-2-7-and-walmart-u-s-ecommerce-sales-grew-50-company-reports-q3-fy18-gaap-eps-of-0-58-adjusted-eps2-of-1-00
## Current Earnings Release
Walmart U.S. comps remained strong at **2.6%**, with traffic up and annual U.S. comps reaching **2.1%**. The problem was e-commerce: U.S. online sales growth slowed abruptly to **23%** from 50% in Q3. Management acknowledged that part of the slowdown reflected anniversary effects from Jet.com, but also cited **operational challenges** that unexpectedly hurt online growth.
Adjusted EPS also came in below market expectations, while Walmart projected a recovery to about **40% e-commerce growth** for the new fiscal year. Because the stock had been rerated on the digital-transformation thesis, the sudden deceleration was much more important than the still-healthy store comps.
### Verified release source
2018-02-20 | Walmart | Walmart U.S. Q4 comps grew 2.6% and Walmart U.S. eCommerce sales grew 23% | https://corporate.walmart.com/news/2018/02/20/walmart-u-s-q4-comps1-grew-2-6-and-walmart-u-s-ecommerce-sales-grew-23-walmart-u-s-full-year-comps1-grew-2-1-and-walmart-u-s-ecommerce-sales-grew-44
## Possible Drivers
**First-order driver.** The stock plunged because e-commerce growth collapsed from 50% to 23% and adjusted earnings disappointed.
**Second-order driver.** Management admitted operational problems contributed to the online slowdown, making it more concerning than a simple comparison effect.
**Third-order driver.** Healthy U.S. store comps limited the fundamental damage but did not protect the digital valuation premium.
### Verified reaction source
2018-02-20 | Fortune | Walmart’s Online Growth Slowed Dramatically Over the Holidays | https://fortune.com/2018/02/20/walmart-sales-holiday-results-ecommerce/
## Verification Status
Included sources were verified for Walmart/WMT identity, the correct earnings event, publication date, timing window and source origin. Walmart / SEC filings anchor the factual results. No WSJ, Reuters, Dow Jones or MarketWatch-syndicated article is included.
</x:v>
      </x:c>
      <x:c r="N9" s="15" t="str">
        <x:v>2017-11-16 | Walmart | Walmart U.S. Q3 comps grew 2.7% and Walmart U.S. eCommerce sales grew 50% | https://corporate.walmart.com/news/2017/11/16/walmart-u-s-q3-comps1-grew-2-7-and-walmart-u-s-ecommerce-sales-grew-50-company-reports-q3-fy18-gaap-eps-of-0-58-adjusted-eps2-of-1-00</x:v>
      </x:c>
      <x:c r="O9" s="15" t="str">
        <x:v>2018-02-20 | Walmart | Walmart U.S. Q4 comps grew 2.6% and Walmart U.S. eCommerce sales grew 23% | https://corporate.walmart.com/news/2018/02/20/walmart-u-s-q4-comps1-grew-2-6-and-walmart-u-s-ecommerce-sales-grew-23-walmart-u-s-full-year-comps1-grew-2-1-and-walmart-u-s-ecommerce-sales-grew-44</x:v>
      </x:c>
      <x:c r="P9" s="15" t="str">
        <x:v>2018-02-20 | Fortune | Walmart’s Online Growth Slowed Dramatically Over the Holidays | https://fortune.com/2018/02/20/walmart-sales-holiday-results-ecommerce/</x:v>
      </x:c>
      <x:c r="Q9" s="15" t="str">
        <x:v>2017-11-16 | Walmart | Walmart U.S. Q3 comps grew 2.7% and Walmart U.S. eCommerce sales grew 50% | https://corporate.walmart.com/news/2017/11/16/walmart-u-s-q3-comps1-grew-2-7-and-walmart-u-s-ecommerce-sales-grew-50-company-reports-q3-fy18-gaap-eps-of-0-58-adjusted-eps2-of-1-00
2018-02-20 | Walmart | Walmart U.S. Q4 comps grew 2.6% and Walmart U.S. eCommerce sales grew 23% | https://corporate.walmart.com/news/2018/02/20/walmart-u-s-q4-comps1-grew-2-6-and-walmart-u-s-ecommerce-sales-grew-23-walmart-u-s-full-year-comps1-grew-2-1-and-walmart-u-s-ecommerce-sales-grew-44
2018-02-20 | Fortune | Walmart’s Online Growth Slowed Dramatically Over the Holidays | https://fortune.com/2018/02/20/walmart-sales-holiday-results-ecommerce/</x:v>
      </x:c>
      <x:c r="R9" s="15" t="n">
        <x:v>3</x:v>
      </x:c>
      <x:c r="S9" s="15" t="str">
        <x:v>PASS</x:v>
      </x:c>
    </x:row>
    <x:row r="10" ht="340" customHeight="1">
      <x:c r="A10" s="15" t="n">
        <x:v>8</x:v>
      </x:c>
      <x:c r="B10" s="15" t="str">
        <x:v>WMT</x:v>
      </x:c>
      <x:c r="C10" s="15" t="str">
        <x:v>Walmart</x:v>
      </x:c>
      <x:c r="D10" s="15" t="str">
        <x:v>2018q2</x:v>
      </x:c>
      <x:c r="E10" s="15" t="str">
        <x:v>2018-05-17</x:v>
      </x:c>
      <x:c r="F10" s="18" t="n">
        <x:v>-1.93</x:v>
      </x:c>
      <x:c r="G10" s="18" t="n">
        <x:v>-0.78</x:v>
      </x:c>
      <x:c r="H10" s="18" t="n">
        <x:v>-2.7</x:v>
      </x:c>
      <x:c r="I10" s="18" t="n">
        <x:v>-1.32</x:v>
      </x:c>
      <x:c r="J10" s="18" t="n">
        <x:v>-1.97</x:v>
      </x:c>
      <x:c r="K10" s="15" t="str">
        <x:v>ret_1day_pct</x:v>
      </x:c>
      <x:c r="L10" s="15" t="str">
        <x:v>DOWN</x:v>
      </x:c>
      <x:c r="M10" s="15" t="str">
        <x:v>## Prior Context
After February’s e-commerce shock, the key question was whether the slowdown was temporary. Walmart was also committing major capital to Flipkart while freight and fuel costs were rising.
### Verified prior source
2018-02-20 | Walmart | Walmart U.S. Q4 comps grew 2.6% and Walmart U.S. eCommerce sales grew 23% | https://corporate.walmart.com/news/2018/02/20/walmart-u-s-q4-comps1-grew-2-6-and-walmart-u-s-ecommerce-sales-grew-23-walmart-u-s-full-year-comps1-grew-2-1-and-walmart-u-s-ecommerce-sales-grew-44
## Current Earnings Release
Q1 FY19 revenue increased **4.4% to $122.7 billion**, above consensus, while adjusted EPS of **$1.14** beat expectations by roughly two cents. U.S. comps rose **2.1%** and e-commerce sales rebounded to **33%**, restoring confidence that the holiday-quarter slowdown was not permanent.
However, margins deteriorated. U.S. gross margin fell as Walmart absorbed higher transportation and fuel costs plus continued **price investment**, while e-commerce investment also raised operating expenses. The shares were initially higher premarket on the digital rebound but finished the session **down about 1.9%**, showing that investors ultimately prioritized the margin pressure.
### Verified release source
2018-05-17 | Walmart | Walmart U.S. Q1 comps grew 2.1% and Walmart U.S. eCommerce sales grew 33% | https://corporate.walmart.com/news/2018/05/17/walmart-u-s-q1-comps-1-2-grew-2-1-and-walmart-u-s-ecommerce-sales-grew-33-company-reports-q1-gaap-eps-of-0-72-adjusted-eps-2-of-1-14
## Possible Drivers
**First-order driver.** Shares finished lower because falling margins outweighed the revenue/EPS beat and e-commerce rebound.
**Second-order driver.** Higher freight, fuel and price investment increased the cost of Walmart’s market-share strategy.
**Third-order driver.** 33% online growth repaired the digital narrative, preventing the quarter from being interpreted as a demand problem.
### Verified reaction source
2018-05-17 | The Motley Fool | What Happened in the Stock Market Today | https://www.fool.com/investing/2018/05/17/what-happened-in-the-stock-market-today.aspx
## Verification Status
Included sources were verified for Walmart/WMT identity, the correct earnings event, publication date, timing window and source origin. Walmart / SEC filings anchor the factual results. No WSJ, Reuters, Dow Jones or MarketWatch-syndicated article is included.
</x:v>
      </x:c>
      <x:c r="N10" s="15" t="str">
        <x:v>2018-02-20 | Walmart | Walmart U.S. Q4 comps grew 2.6% and Walmart U.S. eCommerce sales grew 23% | https://corporate.walmart.com/news/2018/02/20/walmart-u-s-q4-comps1-grew-2-6-and-walmart-u-s-ecommerce-sales-grew-23-walmart-u-s-full-year-comps1-grew-2-1-and-walmart-u-s-ecommerce-sales-grew-44</x:v>
      </x:c>
      <x:c r="O10" s="15" t="str">
        <x:v>2018-05-17 | Walmart | Walmart U.S. Q1 comps grew 2.1% and Walmart U.S. eCommerce sales grew 33% | https://corporate.walmart.com/news/2018/05/17/walmart-u-s-q1-comps-1-2-grew-2-1-and-walmart-u-s-ecommerce-sales-grew-33-company-reports-q1-gaap-eps-of-0-72-adjusted-eps-2-of-1-14</x:v>
      </x:c>
      <x:c r="P10" s="15" t="str">
        <x:v>2018-05-17 | The Motley Fool | What Happened in the Stock Market Today | https://www.fool.com/investing/2018/05/17/what-happened-in-the-stock-market-today.aspx</x:v>
      </x:c>
      <x:c r="Q10" s="15" t="str">
        <x:v>2018-02-20 | Walmart | Walmart U.S. Q4 comps grew 2.6% and Walmart U.S. eCommerce sales grew 23% | https://corporate.walmart.com/news/2018/02/20/walmart-u-s-q4-comps1-grew-2-6-and-walmart-u-s-ecommerce-sales-grew-23-walmart-u-s-full-year-comps1-grew-2-1-and-walmart-u-s-ecommerce-sales-grew-44
2018-05-17 | Walmart | Walmart U.S. Q1 comps grew 2.1% and Walmart U.S. eCommerce sales grew 33% | https://corporate.walmart.com/news/2018/05/17/walmart-u-s-q1-comps-1-2-grew-2-1-and-walmart-u-s-ecommerce-sales-grew-33-company-reports-q1-gaap-eps-of-0-72-adjusted-eps-2-of-1-14
2018-05-17 | The Motley Fool | What Happened in the Stock Market Today | https://www.fool.com/investing/2018/05/17/what-happened-in-the-stock-market-today.aspx</x:v>
      </x:c>
      <x:c r="R10" s="15" t="n">
        <x:v>3</x:v>
      </x:c>
      <x:c r="S10" s="15" t="str">
        <x:v>PASS</x:v>
      </x:c>
    </x:row>
    <x:row r="11" ht="340" customHeight="1">
      <x:c r="A11" s="15" t="n">
        <x:v>9</x:v>
      </x:c>
      <x:c r="B11" s="15" t="str">
        <x:v>WMT</x:v>
      </x:c>
      <x:c r="C11" s="15" t="str">
        <x:v>Walmart</x:v>
      </x:c>
      <x:c r="D11" s="15" t="str">
        <x:v>2018q3</x:v>
      </x:c>
      <x:c r="E11" s="15" t="str">
        <x:v>2018-08-16</x:v>
      </x:c>
      <x:c r="F11" s="18" t="n">
        <x:v>8.53</x:v>
      </x:c>
      <x:c r="G11" s="18" t="n">
        <x:v>-1.19</x:v>
      </x:c>
      <x:c r="H11" s="18" t="n">
        <x:v>7.24</x:v>
      </x:c>
      <x:c r="I11" s="18" t="n">
        <x:v>7.47</x:v>
      </x:c>
      <x:c r="J11" s="18" t="n">
        <x:v>4.89</x:v>
      </x:c>
      <x:c r="K11" s="15" t="str">
        <x:v>ret_1day_pct</x:v>
      </x:c>
      <x:c r="L11" s="15" t="str">
        <x:v>UP</x:v>
      </x:c>
      <x:c r="M11" s="15" t="str">
        <x:v>## Prior Context
By August, investors wanted the e-commerce recovery to continue while also looking for stronger store growth in a favorable U.S. consumer environment. Walmart’s large Flipkart investment added strategic risk but was not yet included in the earnings guide.
### Verified prior source
2018-05-17 | Walmart | Walmart U.S. Q1 comps grew 2.1% and Walmart U.S. eCommerce sales grew 33% | https://corporate.walmart.com/news/2018/05/17/walmart-u-s-q1-comps-1-2-grew-2-1-and-walmart-u-s-ecommerce-sales-grew-33-company-reports-q1-gaap-eps-of-0-72-adjusted-eps-2-of-1-14
## Current Earnings Release
Q2 revenue increased **3.8% to $128.0 billion**, above expectations, while adjusted EPS of **$1.29** comfortably exceeded consensus around $1.22. Walmart U.S. comps surged **4.5%**, the strongest increase in more than a decade, with both **traffic and ticket above 2%**.
E-commerce sales grew **40%**, fully restoring the digital growth target. Walmart also raised its ex-Flipkart adjusted EPS outlook to **$4.90–$5.05** and lifted its U.S. comp expectation to around 3%. Gross margin remained under pressure, but the scale of the sales and traffic surprise dominated the reaction.
### Verified release source
2018-08-16 | Walmart | Walmart U.S. Q2 comps grew 4.5% and Walmart U.S. eCommerce sales grew 40% | https://corporate.walmart.com/news/2018/08/16/walmart-u-s-q2-comps1-grew-4-5-and-walmart-u-s-ecommerce-sales-grew-40-q2-gaap-net-loss-per-share-of-0-29-adjusted-eps2-of-1-29
## Possible Drivers
**First-order driver.** Shares jumped because Walmart delivered its strongest U.S. comp growth in a decade and beat EPS/revenue expectations.
**Second-order driver.** 40% e-commerce growth confirmed the February slowdown had been temporary.
**Third-order driver.** Higher full-year guidance turned a strong quarter into a clear beat-and-raise event.
### Verified reaction source
2018-08-16 | Fortune | Walmart Stock Jumps 9% on Best Sales Growth in a Decade | https://fortune.com/2018/08/16/walmart-stock-earnings/
## Verification Status
Included sources were verified for Walmart/WMT identity, the correct earnings event, publication date, timing window and source origin. Walmart / SEC filings anchor the factual results. No WSJ, Reuters, Dow Jones or MarketWatch-syndicated article is included.
</x:v>
      </x:c>
      <x:c r="N11" s="15" t="str">
        <x:v>2018-05-17 | Walmart | Walmart U.S. Q1 comps grew 2.1% and Walmart U.S. eCommerce sales grew 33% | https://corporate.walmart.com/news/2018/05/17/walmart-u-s-q1-comps-1-2-grew-2-1-and-walmart-u-s-ecommerce-sales-grew-33-company-reports-q1-gaap-eps-of-0-72-adjusted-eps-2-of-1-14</x:v>
      </x:c>
      <x:c r="O11" s="15" t="str">
        <x:v>2018-08-16 | Walmart | Walmart U.S. Q2 comps grew 4.5% and Walmart U.S. eCommerce sales grew 40% | https://corporate.walmart.com/news/2018/08/16/walmart-u-s-q2-comps1-grew-4-5-and-walmart-u-s-ecommerce-sales-grew-40-q2-gaap-net-loss-per-share-of-0-29-adjusted-eps2-of-1-29</x:v>
      </x:c>
      <x:c r="P11" s="15" t="str">
        <x:v>2018-08-16 | Fortune | Walmart Stock Jumps 9% on Best Sales Growth in a Decade | https://fortune.com/2018/08/16/walmart-stock-earnings/</x:v>
      </x:c>
      <x:c r="Q11" s="15" t="str">
        <x:v>2018-05-17 | Walmart | Walmart U.S. Q1 comps grew 2.1% and Walmart U.S. eCommerce sales grew 33% | https://corporate.walmart.com/news/2018/05/17/walmart-u-s-q1-comps-1-2-grew-2-1-and-walmart-u-s-ecommerce-sales-grew-33-company-reports-q1-gaap-eps-of-0-72-adjusted-eps-2-of-1-14
2018-08-16 | Walmart | Walmart U.S. Q2 comps grew 4.5% and Walmart U.S. eCommerce sales grew 40% | https://corporate.walmart.com/news/2018/08/16/walmart-u-s-q2-comps1-grew-4-5-and-walmart-u-s-ecommerce-sales-grew-40-q2-gaap-net-loss-per-share-of-0-29-adjusted-eps2-of-1-29
2018-08-16 | Fortune | Walmart Stock Jumps 9% on Best Sales Growth in a Decade | https://fortune.com/2018/08/16/walmart-stock-earnings/</x:v>
      </x:c>
      <x:c r="R11" s="15" t="n">
        <x:v>3</x:v>
      </x:c>
      <x:c r="S11" s="15" t="str">
        <x:v>PASS</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9" hidden="0" customWidth="1"/>
    <x:col min="3" max="3" width="12" hidden="0" customWidth="1"/>
    <x:col min="4" max="4" width="14" hidden="0" customWidth="1"/>
    <x:col min="5" max="5" width="10" hidden="0" customWidth="1"/>
    <x:col min="6" max="6" width="24" hidden="0" customWidth="1"/>
    <x:col min="7" max="7" width="62" hidden="0" customWidth="1"/>
    <x:col min="8" max="8" width="92" hidden="0" customWidth="1"/>
    <x:col min="9" max="9" width="18" hidden="0" customWidth="1"/>
    <x:col min="10" max="10" width="14" hidden="0" customWidth="1"/>
    <x:col min="11" max="11" width="14" hidden="0" customWidth="1"/>
    <x:col min="12" max="12" width="14" hidden="0" customWidth="1"/>
    <x:col min="13" max="13" width="18" hidden="0" customWidth="1"/>
    <x:col min="14" max="14" width="18" hidden="0" customWidth="1"/>
    <x:col min="15" max="15" width="28" hidden="0" customWidth="1"/>
    <x:col min="16" max="16" width="14" hidden="0" customWidth="1"/>
    <x:col min="17" max="17" width="78" hidden="0" customWidth="1"/>
  </x:cols>
  <x:sheetData>
    <x:row r="1">
      <x:c r="A1" s="6" t="str">
        <x:v>earnings_date</x:v>
      </x:c>
      <x:c r="B1" s="6" t="str">
        <x:v>ticker</x:v>
      </x:c>
      <x:c r="C1" s="6" t="str">
        <x:v>role</x:v>
      </x:c>
      <x:c r="D1" s="6" t="str">
        <x:v>source_date</x:v>
      </x:c>
      <x:c r="E1" s="6" t="str">
        <x:v>day_delta</x:v>
      </x:c>
      <x:c r="F1" s="6" t="str">
        <x:v>publisher</x:v>
      </x:c>
      <x:c r="G1" s="6" t="str">
        <x:v>title</x:v>
      </x:c>
      <x:c r="H1" s="6" t="str">
        <x:v>url</x:v>
      </x:c>
      <x:c r="I1" s="6" t="str">
        <x:v>url_status</x:v>
      </x:c>
      <x:c r="J1" s="6" t="str">
        <x:v>ticker_match</x:v>
      </x:c>
      <x:c r="K1" s="6" t="str">
        <x:v>event_match</x:v>
      </x:c>
      <x:c r="L1" s="6" t="str">
        <x:v>date_match</x:v>
      </x:c>
      <x:c r="M1" s="6" t="str">
        <x:v>prohibited_source</x:v>
      </x:c>
      <x:c r="N1" s="6" t="str">
        <x:v>claim_supported</x:v>
      </x:c>
      <x:c r="O1" s="6" t="str">
        <x:v>attribution_strength</x:v>
      </x:c>
      <x:c r="P1" s="6" t="str">
        <x:v>final_status</x:v>
      </x:c>
      <x:c r="Q1" s="6" t="str">
        <x:v>verification_note</x:v>
      </x:c>
    </x:row>
    <x:row r="2">
      <x:c r="A2" s="12" t="str">
        <x:v>2016-05-19</x:v>
      </x:c>
      <x:c r="B2" s="12" t="str">
        <x:v>WMT</x:v>
      </x:c>
      <x:c r="C2" s="12" t="str">
        <x:v>prior</x:v>
      </x:c>
      <x:c r="D2" s="12" t="str">
        <x:v>2016-02-18</x:v>
      </x:c>
      <x:c r="E2" s="12" t="n">
        <x:v>-91</x:v>
      </x:c>
      <x:c r="F2" s="12" t="str">
        <x:v>Walmart</x:v>
      </x:c>
      <x:c r="G2" s="12" t="str">
        <x:v>Walmart reports Q4 adjusted EPS of $1.49, Fiscal year 2016 adjusted EPS of $4.59</x:v>
      </x:c>
      <x:c r="H2" s="12" t="str">
        <x:v>https://corporate.walmart.com/news/2016/02/18/walmart-reports-q4-adjusted-eps-of-1-49-fiscal-year-2016-adjusted-eps-of-4-59</x:v>
      </x:c>
      <x:c r="I2" s="12" t="str">
        <x:v>WEB_VERIFIED</x:v>
      </x:c>
      <x:c r="J2" s="12" t="str">
        <x:v>PASS</x:v>
      </x:c>
      <x:c r="K2" s="12" t="str">
        <x:v>PASS</x:v>
      </x:c>
      <x:c r="L2" s="12" t="str">
        <x:v>PASS</x:v>
      </x:c>
      <x:c r="M2" s="12" t="str">
        <x:v>NO</x:v>
      </x:c>
      <x:c r="N2" s="12" t="str">
        <x:v>PASS</x:v>
      </x:c>
      <x:c r="O2" s="12" t="str">
        <x:v>FACTUAL</x:v>
      </x:c>
      <x:c r="P2" s="12" t="str">
        <x:v>PASS</x:v>
      </x:c>
      <x:c r="Q2" s="12" t="str">
        <x:v>Source was verified against Walmart/WMT, the exact earnings date or prior-quarter setup, publication date, timing window and prohibited-source rule.</x:v>
      </x:c>
    </x:row>
    <x:row r="3">
      <x:c r="A3" s="12" t="str">
        <x:v>2016-05-19</x:v>
      </x:c>
      <x:c r="B3" s="12" t="str">
        <x:v>WMT</x:v>
      </x:c>
      <x:c r="C3" s="12" t="str">
        <x:v>release</x:v>
      </x:c>
      <x:c r="D3" s="12" t="str">
        <x:v>2016-05-19</x:v>
      </x:c>
      <x:c r="E3" s="12" t="n">
        <x:v>0</x:v>
      </x:c>
      <x:c r="F3" s="12" t="str">
        <x:v>Walmart</x:v>
      </x:c>
      <x:c r="G3" s="12" t="str">
        <x:v>Walmart reports Q1 FY17 EPS of $0.98</x:v>
      </x:c>
      <x:c r="H3" s="12" t="str">
        <x:v>https://corporate.walmart.com/news/2016/05/19/walmart-reports-q1-fy17-eps-of-0-98</x:v>
      </x:c>
      <x:c r="I3" s="12" t="str">
        <x:v>WEB_VERIFIED</x:v>
      </x:c>
      <x:c r="J3" s="12" t="str">
        <x:v>PASS</x:v>
      </x:c>
      <x:c r="K3" s="12" t="str">
        <x:v>PASS</x:v>
      </x:c>
      <x:c r="L3" s="12" t="str">
        <x:v>PASS</x:v>
      </x:c>
      <x:c r="M3" s="12" t="str">
        <x:v>NO</x:v>
      </x:c>
      <x:c r="N3" s="12" t="str">
        <x:v>PASS</x:v>
      </x:c>
      <x:c r="O3" s="12" t="str">
        <x:v>FACTUAL</x:v>
      </x:c>
      <x:c r="P3" s="12" t="str">
        <x:v>PASS</x:v>
      </x:c>
      <x:c r="Q3" s="12" t="str">
        <x:v>Source was verified against Walmart/WMT, the exact earnings date or prior-quarter setup, publication date, timing window and prohibited-source rule.</x:v>
      </x:c>
    </x:row>
    <x:row r="4">
      <x:c r="A4" s="12" t="str">
        <x:v>2016-05-19</x:v>
      </x:c>
      <x:c r="B4" s="12" t="str">
        <x:v>WMT</x:v>
      </x:c>
      <x:c r="C4" s="12" t="str">
        <x:v>reaction</x:v>
      </x:c>
      <x:c r="D4" s="12" t="str">
        <x:v>2016-05-19</x:v>
      </x:c>
      <x:c r="E4" s="12" t="n">
        <x:v>0</x:v>
      </x:c>
      <x:c r="F4" s="12" t="str">
        <x:v>Fortune</x:v>
      </x:c>
      <x:c r="G4" s="12" t="str">
        <x:v>Here’s Why Walmart Shares Are Skyrocketing</x:v>
      </x:c>
      <x:c r="H4" s="12" t="str">
        <x:v>https://fortune.com/2016/05/19/walmart-shares-results/</x:v>
      </x:c>
      <x:c r="I4" s="12" t="str">
        <x:v>WEB_VERIFIED</x:v>
      </x:c>
      <x:c r="J4" s="12" t="str">
        <x:v>PASS</x:v>
      </x:c>
      <x:c r="K4" s="12" t="str">
        <x:v>PASS</x:v>
      </x:c>
      <x:c r="L4" s="12" t="str">
        <x:v>PASS</x:v>
      </x:c>
      <x:c r="M4" s="12" t="str">
        <x:v>NO</x:v>
      </x:c>
      <x:c r="N4" s="12" t="str">
        <x:v>PASS</x:v>
      </x:c>
      <x:c r="O4" s="12" t="str">
        <x:v>CONTEMPORANEOUS_ATTRIBUTION</x:v>
      </x:c>
      <x:c r="P4" s="12" t="str">
        <x:v>PASS</x:v>
      </x:c>
      <x:c r="Q4" s="12" t="str">
        <x:v>Source was verified against Walmart/WMT, the exact earnings date or prior-quarter setup, publication date, timing window and prohibited-source rule.</x:v>
      </x:c>
    </x:row>
    <x:row r="5">
      <x:c r="A5" s="12" t="str">
        <x:v>2016-08-18</x:v>
      </x:c>
      <x:c r="B5" s="12" t="str">
        <x:v>WMT</x:v>
      </x:c>
      <x:c r="C5" s="12" t="str">
        <x:v>prior</x:v>
      </x:c>
      <x:c r="D5" s="12" t="str">
        <x:v>2016-05-19</x:v>
      </x:c>
      <x:c r="E5" s="12" t="n">
        <x:v>-91</x:v>
      </x:c>
      <x:c r="F5" s="12" t="str">
        <x:v>Walmart</x:v>
      </x:c>
      <x:c r="G5" s="12" t="str">
        <x:v>Walmart reports Q1 FY17 EPS of $0.98</x:v>
      </x:c>
      <x:c r="H5" s="12" t="str">
        <x:v>https://corporate.walmart.com/news/2016/05/19/walmart-reports-q1-fy17-eps-of-0-98</x:v>
      </x:c>
      <x:c r="I5" s="12" t="str">
        <x:v>WEB_VERIFIED</x:v>
      </x:c>
      <x:c r="J5" s="12" t="str">
        <x:v>PASS</x:v>
      </x:c>
      <x:c r="K5" s="12" t="str">
        <x:v>PASS</x:v>
      </x:c>
      <x:c r="L5" s="12" t="str">
        <x:v>PASS</x:v>
      </x:c>
      <x:c r="M5" s="12" t="str">
        <x:v>NO</x:v>
      </x:c>
      <x:c r="N5" s="12" t="str">
        <x:v>PASS</x:v>
      </x:c>
      <x:c r="O5" s="12" t="str">
        <x:v>FACTUAL</x:v>
      </x:c>
      <x:c r="P5" s="12" t="str">
        <x:v>PASS</x:v>
      </x:c>
      <x:c r="Q5" s="12" t="str">
        <x:v>Source was verified against Walmart/WMT, the exact earnings date or prior-quarter setup, publication date, timing window and prohibited-source rule.</x:v>
      </x:c>
    </x:row>
    <x:row r="6">
      <x:c r="A6" s="12" t="str">
        <x:v>2016-08-18</x:v>
      </x:c>
      <x:c r="B6" s="12" t="str">
        <x:v>WMT</x:v>
      </x:c>
      <x:c r="C6" s="12" t="str">
        <x:v>release</x:v>
      </x:c>
      <x:c r="D6" s="12" t="str">
        <x:v>2016-08-18</x:v>
      </x:c>
      <x:c r="E6" s="12" t="n">
        <x:v>0</x:v>
      </x:c>
      <x:c r="F6" s="12" t="str">
        <x:v>Walmart</x:v>
      </x:c>
      <x:c r="G6" s="12" t="str">
        <x:v>Walmart reports Q2 FY17 EPS of $1.21, adjusted EPS of $1.07</x:v>
      </x:c>
      <x:c r="H6" s="12" t="str">
        <x:v>https://corporate.walmart.com/news/2016/08/18/walmart-reports-q2-fy17-eps-of-1-21-adjusted-eps-of-1-07</x:v>
      </x:c>
      <x:c r="I6" s="12" t="str">
        <x:v>WEB_VERIFIED</x:v>
      </x:c>
      <x:c r="J6" s="12" t="str">
        <x:v>PASS</x:v>
      </x:c>
      <x:c r="K6" s="12" t="str">
        <x:v>PASS</x:v>
      </x:c>
      <x:c r="L6" s="12" t="str">
        <x:v>PASS</x:v>
      </x:c>
      <x:c r="M6" s="12" t="str">
        <x:v>NO</x:v>
      </x:c>
      <x:c r="N6" s="12" t="str">
        <x:v>PASS</x:v>
      </x:c>
      <x:c r="O6" s="12" t="str">
        <x:v>FACTUAL</x:v>
      </x:c>
      <x:c r="P6" s="12" t="str">
        <x:v>PASS</x:v>
      </x:c>
      <x:c r="Q6" s="12" t="str">
        <x:v>Source was verified against Walmart/WMT, the exact earnings date or prior-quarter setup, publication date, timing window and prohibited-source rule.</x:v>
      </x:c>
    </x:row>
    <x:row r="7">
      <x:c r="A7" s="12" t="str">
        <x:v>2016-08-18</x:v>
      </x:c>
      <x:c r="B7" s="12" t="str">
        <x:v>WMT</x:v>
      </x:c>
      <x:c r="C7" s="12" t="str">
        <x:v>reaction</x:v>
      </x:c>
      <x:c r="D7" s="12" t="str">
        <x:v>2016-08-18</x:v>
      </x:c>
      <x:c r="E7" s="12" t="n">
        <x:v>0</x:v>
      </x:c>
      <x:c r="F7" s="12" t="str">
        <x:v>Fortune</x:v>
      </x:c>
      <x:c r="G7" s="12" t="str">
        <x:v>Walmart Is Killing It With Shoppers</x:v>
      </x:c>
      <x:c r="H7" s="12" t="str">
        <x:v>https://fortune.com/2016/08/18/walmart-target-results/</x:v>
      </x:c>
      <x:c r="I7" s="12" t="str">
        <x:v>WEB_VERIFIED</x:v>
      </x:c>
      <x:c r="J7" s="12" t="str">
        <x:v>PASS</x:v>
      </x:c>
      <x:c r="K7" s="12" t="str">
        <x:v>PASS</x:v>
      </x:c>
      <x:c r="L7" s="12" t="str">
        <x:v>PASS</x:v>
      </x:c>
      <x:c r="M7" s="12" t="str">
        <x:v>NO</x:v>
      </x:c>
      <x:c r="N7" s="12" t="str">
        <x:v>PASS</x:v>
      </x:c>
      <x:c r="O7" s="12" t="str">
        <x:v>CONTEMPORANEOUS_ATTRIBUTION</x:v>
      </x:c>
      <x:c r="P7" s="12" t="str">
        <x:v>PASS</x:v>
      </x:c>
      <x:c r="Q7" s="12" t="str">
        <x:v>Source was verified against Walmart/WMT, the exact earnings date or prior-quarter setup, publication date, timing window and prohibited-source rule.</x:v>
      </x:c>
    </x:row>
    <x:row r="8">
      <x:c r="A8" s="12" t="str">
        <x:v>2016-11-17</x:v>
      </x:c>
      <x:c r="B8" s="12" t="str">
        <x:v>WMT</x:v>
      </x:c>
      <x:c r="C8" s="12" t="str">
        <x:v>prior</x:v>
      </x:c>
      <x:c r="D8" s="12" t="str">
        <x:v>2016-08-18</x:v>
      </x:c>
      <x:c r="E8" s="12" t="n">
        <x:v>-91</x:v>
      </x:c>
      <x:c r="F8" s="12" t="str">
        <x:v>Walmart</x:v>
      </x:c>
      <x:c r="G8" s="12" t="str">
        <x:v>Walmart reports Q2 FY17 EPS of $1.21, adjusted EPS of $1.07</x:v>
      </x:c>
      <x:c r="H8" s="12" t="str">
        <x:v>https://corporate.walmart.com/news/2016/08/18/walmart-reports-q2-fy17-eps-of-1-21-adjusted-eps-of-1-07</x:v>
      </x:c>
      <x:c r="I8" s="12" t="str">
        <x:v>WEB_VERIFIED</x:v>
      </x:c>
      <x:c r="J8" s="12" t="str">
        <x:v>PASS</x:v>
      </x:c>
      <x:c r="K8" s="12" t="str">
        <x:v>PASS</x:v>
      </x:c>
      <x:c r="L8" s="12" t="str">
        <x:v>PASS</x:v>
      </x:c>
      <x:c r="M8" s="12" t="str">
        <x:v>NO</x:v>
      </x:c>
      <x:c r="N8" s="12" t="str">
        <x:v>PASS</x:v>
      </x:c>
      <x:c r="O8" s="12" t="str">
        <x:v>FACTUAL</x:v>
      </x:c>
      <x:c r="P8" s="12" t="str">
        <x:v>PASS</x:v>
      </x:c>
      <x:c r="Q8" s="12" t="str">
        <x:v>Source was verified against Walmart/WMT, the exact earnings date or prior-quarter setup, publication date, timing window and prohibited-source rule.</x:v>
      </x:c>
    </x:row>
    <x:row r="9">
      <x:c r="A9" s="12" t="str">
        <x:v>2016-11-17</x:v>
      </x:c>
      <x:c r="B9" s="12" t="str">
        <x:v>WMT</x:v>
      </x:c>
      <x:c r="C9" s="12" t="str">
        <x:v>release</x:v>
      </x:c>
      <x:c r="D9" s="12" t="str">
        <x:v>2016-11-17</x:v>
      </x:c>
      <x:c r="E9" s="12" t="n">
        <x:v>0</x:v>
      </x:c>
      <x:c r="F9" s="12" t="str">
        <x:v>Walmart</x:v>
      </x:c>
      <x:c r="G9" s="12" t="str">
        <x:v>Walmart reports Q3 FY17 EPS of $0.98</x:v>
      </x:c>
      <x:c r="H9" s="12" t="str">
        <x:v>https://corporate.walmart.com/news/2016/11/17/walmart-reports-q3-fy17-eps-of-0-98</x:v>
      </x:c>
      <x:c r="I9" s="12" t="str">
        <x:v>WEB_VERIFIED</x:v>
      </x:c>
      <x:c r="J9" s="12" t="str">
        <x:v>PASS</x:v>
      </x:c>
      <x:c r="K9" s="12" t="str">
        <x:v>PASS</x:v>
      </x:c>
      <x:c r="L9" s="12" t="str">
        <x:v>PASS</x:v>
      </x:c>
      <x:c r="M9" s="12" t="str">
        <x:v>NO</x:v>
      </x:c>
      <x:c r="N9" s="12" t="str">
        <x:v>PASS</x:v>
      </x:c>
      <x:c r="O9" s="12" t="str">
        <x:v>FACTUAL</x:v>
      </x:c>
      <x:c r="P9" s="12" t="str">
        <x:v>PASS</x:v>
      </x:c>
      <x:c r="Q9" s="12" t="str">
        <x:v>Source was verified against Walmart/WMT, the exact earnings date or prior-quarter setup, publication date, timing window and prohibited-source rule.</x:v>
      </x:c>
    </x:row>
    <x:row r="10">
      <x:c r="A10" s="12" t="str">
        <x:v>2016-11-17</x:v>
      </x:c>
      <x:c r="B10" s="12" t="str">
        <x:v>WMT</x:v>
      </x:c>
      <x:c r="C10" s="12" t="str">
        <x:v>reaction</x:v>
      </x:c>
      <x:c r="D10" s="12" t="str">
        <x:v>2016-11-17</x:v>
      </x:c>
      <x:c r="E10" s="12" t="n">
        <x:v>0</x:v>
      </x:c>
      <x:c r="F10" s="12" t="str">
        <x:v>Fortune</x:v>
      </x:c>
      <x:c r="G10" s="12" t="str">
        <x:v>Here’s Why Walmart Shares Are Taking A Hit Today</x:v>
      </x:c>
      <x:c r="H10" s="12" t="str">
        <x:v>https://fortune.com/2016/11/17/walmart-stock-earnings-sales/</x:v>
      </x:c>
      <x:c r="I10" s="12" t="str">
        <x:v>WEB_VERIFIED</x:v>
      </x:c>
      <x:c r="J10" s="12" t="str">
        <x:v>PASS</x:v>
      </x:c>
      <x:c r="K10" s="12" t="str">
        <x:v>PASS</x:v>
      </x:c>
      <x:c r="L10" s="12" t="str">
        <x:v>PASS</x:v>
      </x:c>
      <x:c r="M10" s="12" t="str">
        <x:v>NO</x:v>
      </x:c>
      <x:c r="N10" s="12" t="str">
        <x:v>PASS</x:v>
      </x:c>
      <x:c r="O10" s="12" t="str">
        <x:v>CONTEMPORANEOUS_ATTRIBUTION</x:v>
      </x:c>
      <x:c r="P10" s="12" t="str">
        <x:v>PASS</x:v>
      </x:c>
      <x:c r="Q10" s="12" t="str">
        <x:v>Source was verified against Walmart/WMT, the exact earnings date or prior-quarter setup, publication date, timing window and prohibited-source rule.</x:v>
      </x:c>
    </x:row>
    <x:row r="11">
      <x:c r="A11" s="12" t="str">
        <x:v>2017-02-21</x:v>
      </x:c>
      <x:c r="B11" s="12" t="str">
        <x:v>WMT</x:v>
      </x:c>
      <x:c r="C11" s="12" t="str">
        <x:v>prior</x:v>
      </x:c>
      <x:c r="D11" s="12" t="str">
        <x:v>2016-11-17</x:v>
      </x:c>
      <x:c r="E11" s="12" t="n">
        <x:v>-96</x:v>
      </x:c>
      <x:c r="F11" s="12" t="str">
        <x:v>Walmart</x:v>
      </x:c>
      <x:c r="G11" s="12" t="str">
        <x:v>Walmart reports Q3 FY17 EPS of $0.98</x:v>
      </x:c>
      <x:c r="H11" s="12" t="str">
        <x:v>https://corporate.walmart.com/news/2016/11/17/walmart-reports-q3-fy17-eps-of-0-98</x:v>
      </x:c>
      <x:c r="I11" s="12" t="str">
        <x:v>WEB_VERIFIED</x:v>
      </x:c>
      <x:c r="J11" s="12" t="str">
        <x:v>PASS</x:v>
      </x:c>
      <x:c r="K11" s="12" t="str">
        <x:v>PASS</x:v>
      </x:c>
      <x:c r="L11" s="12" t="str">
        <x:v>PASS</x:v>
      </x:c>
      <x:c r="M11" s="12" t="str">
        <x:v>NO</x:v>
      </x:c>
      <x:c r="N11" s="12" t="str">
        <x:v>PASS</x:v>
      </x:c>
      <x:c r="O11" s="12" t="str">
        <x:v>FACTUAL</x:v>
      </x:c>
      <x:c r="P11" s="12" t="str">
        <x:v>PASS</x:v>
      </x:c>
      <x:c r="Q11" s="12" t="str">
        <x:v>Source was verified against Walmart/WMT, the exact earnings date or prior-quarter setup, publication date, timing window and prohibited-source rule.</x:v>
      </x:c>
    </x:row>
    <x:row r="12">
      <x:c r="A12" s="12" t="str">
        <x:v>2017-02-21</x:v>
      </x:c>
      <x:c r="B12" s="12" t="str">
        <x:v>WMT</x:v>
      </x:c>
      <x:c r="C12" s="12" t="str">
        <x:v>release</x:v>
      </x:c>
      <x:c r="D12" s="12" t="str">
        <x:v>2017-02-21</x:v>
      </x:c>
      <x:c r="E12" s="12" t="n">
        <x:v>0</x:v>
      </x:c>
      <x:c r="F12" s="12" t="str">
        <x:v>Walmart</x:v>
      </x:c>
      <x:c r="G12" s="12" t="str">
        <x:v>Walmart U.S. Q4 comps grew 1.8% and Walmart U.S. eCommerce GMV grew 36.1%</x:v>
      </x:c>
      <x:c r="H12" s="12" t="str">
        <x:v>https://corporate.walmart.com/news/2017/02/21/walmart-u-s-q4-comps-grew-1-8-and-walmart-u-s-ecommerce-gmv-grew-36-1</x:v>
      </x:c>
      <x:c r="I12" s="12" t="str">
        <x:v>WEB_VERIFIED</x:v>
      </x:c>
      <x:c r="J12" s="12" t="str">
        <x:v>PASS</x:v>
      </x:c>
      <x:c r="K12" s="12" t="str">
        <x:v>PASS</x:v>
      </x:c>
      <x:c r="L12" s="12" t="str">
        <x:v>PASS</x:v>
      </x:c>
      <x:c r="M12" s="12" t="str">
        <x:v>NO</x:v>
      </x:c>
      <x:c r="N12" s="12" t="str">
        <x:v>PASS</x:v>
      </x:c>
      <x:c r="O12" s="12" t="str">
        <x:v>FACTUAL</x:v>
      </x:c>
      <x:c r="P12" s="12" t="str">
        <x:v>PASS</x:v>
      </x:c>
      <x:c r="Q12" s="12" t="str">
        <x:v>Source was verified against Walmart/WMT, the exact earnings date or prior-quarter setup, publication date, timing window and prohibited-source rule.</x:v>
      </x:c>
    </x:row>
    <x:row r="13">
      <x:c r="A13" s="12" t="str">
        <x:v>2017-02-21</x:v>
      </x:c>
      <x:c r="B13" s="12" t="str">
        <x:v>WMT</x:v>
      </x:c>
      <x:c r="C13" s="12" t="str">
        <x:v>reaction</x:v>
      </x:c>
      <x:c r="D13" s="12" t="str">
        <x:v>2017-02-21</x:v>
      </x:c>
      <x:c r="E13" s="12" t="n">
        <x:v>0</x:v>
      </x:c>
      <x:c r="F13" s="12" t="str">
        <x:v>Fortune</x:v>
      </x:c>
      <x:c r="G13" s="12" t="str">
        <x:v>Walmart’s 29% Online Holiday Season Growth Sends Shares Jumping</x:v>
      </x:c>
      <x:c r="H13" s="12" t="str">
        <x:v>https://fortune.com/2017/02/21/walmart-results/</x:v>
      </x:c>
      <x:c r="I13" s="12" t="str">
        <x:v>WEB_VERIFIED</x:v>
      </x:c>
      <x:c r="J13" s="12" t="str">
        <x:v>PASS</x:v>
      </x:c>
      <x:c r="K13" s="12" t="str">
        <x:v>PASS</x:v>
      </x:c>
      <x:c r="L13" s="12" t="str">
        <x:v>PASS</x:v>
      </x:c>
      <x:c r="M13" s="12" t="str">
        <x:v>NO</x:v>
      </x:c>
      <x:c r="N13" s="12" t="str">
        <x:v>PASS</x:v>
      </x:c>
      <x:c r="O13" s="12" t="str">
        <x:v>CONTEMPORANEOUS_ATTRIBUTION</x:v>
      </x:c>
      <x:c r="P13" s="12" t="str">
        <x:v>PASS</x:v>
      </x:c>
      <x:c r="Q13" s="12" t="str">
        <x:v>Source was verified against Walmart/WMT, the exact earnings date or prior-quarter setup, publication date, timing window and prohibited-source rule.</x:v>
      </x:c>
    </x:row>
    <x:row r="14">
      <x:c r="A14" s="12" t="str">
        <x:v>2017-05-18</x:v>
      </x:c>
      <x:c r="B14" s="12" t="str">
        <x:v>WMT</x:v>
      </x:c>
      <x:c r="C14" s="12" t="str">
        <x:v>prior</x:v>
      </x:c>
      <x:c r="D14" s="12" t="str">
        <x:v>2017-02-21</x:v>
      </x:c>
      <x:c r="E14" s="12" t="n">
        <x:v>-86</x:v>
      </x:c>
      <x:c r="F14" s="12" t="str">
        <x:v>Walmart</x:v>
      </x:c>
      <x:c r="G14" s="12" t="str">
        <x:v>Walmart U.S. Q4 comps grew 1.8% and Walmart U.S. eCommerce GMV grew 36.1%</x:v>
      </x:c>
      <x:c r="H14" s="12" t="str">
        <x:v>https://corporate.walmart.com/news/2017/02/21/walmart-u-s-q4-comps-grew-1-8-and-walmart-u-s-ecommerce-gmv-grew-36-1</x:v>
      </x:c>
      <x:c r="I14" s="12" t="str">
        <x:v>WEB_VERIFIED</x:v>
      </x:c>
      <x:c r="J14" s="12" t="str">
        <x:v>PASS</x:v>
      </x:c>
      <x:c r="K14" s="12" t="str">
        <x:v>PASS</x:v>
      </x:c>
      <x:c r="L14" s="12" t="str">
        <x:v>PASS</x:v>
      </x:c>
      <x:c r="M14" s="12" t="str">
        <x:v>NO</x:v>
      </x:c>
      <x:c r="N14" s="12" t="str">
        <x:v>PASS</x:v>
      </x:c>
      <x:c r="O14" s="12" t="str">
        <x:v>FACTUAL</x:v>
      </x:c>
      <x:c r="P14" s="12" t="str">
        <x:v>PASS</x:v>
      </x:c>
      <x:c r="Q14" s="12" t="str">
        <x:v>Source was verified against Walmart/WMT, the exact earnings date or prior-quarter setup, publication date, timing window and prohibited-source rule.</x:v>
      </x:c>
    </x:row>
    <x:row r="15">
      <x:c r="A15" s="12" t="str">
        <x:v>2017-05-18</x:v>
      </x:c>
      <x:c r="B15" s="12" t="str">
        <x:v>WMT</x:v>
      </x:c>
      <x:c r="C15" s="12" t="str">
        <x:v>release</x:v>
      </x:c>
      <x:c r="D15" s="12" t="str">
        <x:v>2017-05-18</x:v>
      </x:c>
      <x:c r="E15" s="12" t="n">
        <x:v>0</x:v>
      </x:c>
      <x:c r="F15" s="12" t="str">
        <x:v>Walmart SEC filing</x:v>
      </x:c>
      <x:c r="G15" s="12" t="str">
        <x:v>Walmart U.S. Q1 comps grew 1.4% and Walmart U.S. eCommerce GMV grew 69%</x:v>
      </x:c>
      <x:c r="H15" s="12" t="str">
        <x:v>https://d18rn0p25nwr6d.cloudfront.net/CIK-0000104169/620ceb6b-3555-431d-9cfd-bfb169368cb5.pdf</x:v>
      </x:c>
      <x:c r="I15" s="12" t="str">
        <x:v>WEB_VERIFIED</x:v>
      </x:c>
      <x:c r="J15" s="12" t="str">
        <x:v>PASS</x:v>
      </x:c>
      <x:c r="K15" s="12" t="str">
        <x:v>PASS</x:v>
      </x:c>
      <x:c r="L15" s="12" t="str">
        <x:v>PASS</x:v>
      </x:c>
      <x:c r="M15" s="12" t="str">
        <x:v>NO</x:v>
      </x:c>
      <x:c r="N15" s="12" t="str">
        <x:v>PASS</x:v>
      </x:c>
      <x:c r="O15" s="12" t="str">
        <x:v>FACTUAL</x:v>
      </x:c>
      <x:c r="P15" s="12" t="str">
        <x:v>PASS</x:v>
      </x:c>
      <x:c r="Q15" s="12" t="str">
        <x:v>Source was verified against Walmart/WMT, the exact earnings date or prior-quarter setup, publication date, timing window and prohibited-source rule.</x:v>
      </x:c>
    </x:row>
    <x:row r="16">
      <x:c r="A16" s="12" t="str">
        <x:v>2017-05-18</x:v>
      </x:c>
      <x:c r="B16" s="12" t="str">
        <x:v>WMT</x:v>
      </x:c>
      <x:c r="C16" s="12" t="str">
        <x:v>reaction</x:v>
      </x:c>
      <x:c r="D16" s="12" t="str">
        <x:v>2017-05-18</x:v>
      </x:c>
      <x:c r="E16" s="12" t="n">
        <x:v>0</x:v>
      </x:c>
      <x:c r="F16" s="12" t="str">
        <x:v>Retail Dive</x:v>
      </x:c>
      <x:c r="G16" s="12" t="str">
        <x:v>Wal-Mart's e-commerce play brings big payoff in Q1</x:v>
      </x:c>
      <x:c r="H16" s="12" t="str">
        <x:v>https://www.retaildive.com/news/wal-marts-e-commerce-play-brings-big-payoff-in-q1/443034/</x:v>
      </x:c>
      <x:c r="I16" s="12" t="str">
        <x:v>WEB_VERIFIED</x:v>
      </x:c>
      <x:c r="J16" s="12" t="str">
        <x:v>PASS</x:v>
      </x:c>
      <x:c r="K16" s="12" t="str">
        <x:v>PASS</x:v>
      </x:c>
      <x:c r="L16" s="12" t="str">
        <x:v>PASS</x:v>
      </x:c>
      <x:c r="M16" s="12" t="str">
        <x:v>NO</x:v>
      </x:c>
      <x:c r="N16" s="12" t="str">
        <x:v>PASS</x:v>
      </x:c>
      <x:c r="O16" s="12" t="str">
        <x:v>CONTEMPORANEOUS_ATTRIBUTION</x:v>
      </x:c>
      <x:c r="P16" s="12" t="str">
        <x:v>PASS</x:v>
      </x:c>
      <x:c r="Q16" s="12" t="str">
        <x:v>Source was verified against Walmart/WMT, the exact earnings date or prior-quarter setup, publication date, timing window and prohibited-source rule.</x:v>
      </x:c>
    </x:row>
    <x:row r="17">
      <x:c r="A17" s="12" t="str">
        <x:v>2017-08-17</x:v>
      </x:c>
      <x:c r="B17" s="12" t="str">
        <x:v>WMT</x:v>
      </x:c>
      <x:c r="C17" s="12" t="str">
        <x:v>prior</x:v>
      </x:c>
      <x:c r="D17" s="12" t="str">
        <x:v>2017-05-18</x:v>
      </x:c>
      <x:c r="E17" s="12" t="n">
        <x:v>-91</x:v>
      </x:c>
      <x:c r="F17" s="12" t="str">
        <x:v>Walmart SEC filing</x:v>
      </x:c>
      <x:c r="G17" s="12" t="str">
        <x:v>Walmart U.S. Q1 comps grew 1.4% and Walmart U.S. eCommerce GMV grew 69%</x:v>
      </x:c>
      <x:c r="H17" s="12" t="str">
        <x:v>https://d18rn0p25nwr6d.cloudfront.net/CIK-0000104169/620ceb6b-3555-431d-9cfd-bfb169368cb5.pdf</x:v>
      </x:c>
      <x:c r="I17" s="12" t="str">
        <x:v>WEB_VERIFIED</x:v>
      </x:c>
      <x:c r="J17" s="12" t="str">
        <x:v>PASS</x:v>
      </x:c>
      <x:c r="K17" s="12" t="str">
        <x:v>PASS</x:v>
      </x:c>
      <x:c r="L17" s="12" t="str">
        <x:v>PASS</x:v>
      </x:c>
      <x:c r="M17" s="12" t="str">
        <x:v>NO</x:v>
      </x:c>
      <x:c r="N17" s="12" t="str">
        <x:v>PASS</x:v>
      </x:c>
      <x:c r="O17" s="12" t="str">
        <x:v>FACTUAL</x:v>
      </x:c>
      <x:c r="P17" s="12" t="str">
        <x:v>PASS</x:v>
      </x:c>
      <x:c r="Q17" s="12" t="str">
        <x:v>Source was verified against Walmart/WMT, the exact earnings date or prior-quarter setup, publication date, timing window and prohibited-source rule.</x:v>
      </x:c>
    </x:row>
    <x:row r="18">
      <x:c r="A18" s="12" t="str">
        <x:v>2017-08-17</x:v>
      </x:c>
      <x:c r="B18" s="12" t="str">
        <x:v>WMT</x:v>
      </x:c>
      <x:c r="C18" s="12" t="str">
        <x:v>release</x:v>
      </x:c>
      <x:c r="D18" s="12" t="str">
        <x:v>2017-08-17</x:v>
      </x:c>
      <x:c r="E18" s="12" t="n">
        <x:v>0</x:v>
      </x:c>
      <x:c r="F18" s="12" t="str">
        <x:v>Walmart SEC filing</x:v>
      </x:c>
      <x:c r="G18" s="12" t="str">
        <x:v>Walmart U.S. Q2 comps grew 1.8% and Walmart U.S. eCommerce GMV grew 67%</x:v>
      </x:c>
      <x:c r="H18" s="12" t="str">
        <x:v>https://stock.walmart.com/sec-filings/all-sec-filings/content/0000104169-17-000052/earningsrelease-7312017.htm</x:v>
      </x:c>
      <x:c r="I18" s="12" t="str">
        <x:v>WEB_VERIFIED</x:v>
      </x:c>
      <x:c r="J18" s="12" t="str">
        <x:v>PASS</x:v>
      </x:c>
      <x:c r="K18" s="12" t="str">
        <x:v>PASS</x:v>
      </x:c>
      <x:c r="L18" s="12" t="str">
        <x:v>PASS</x:v>
      </x:c>
      <x:c r="M18" s="12" t="str">
        <x:v>NO</x:v>
      </x:c>
      <x:c r="N18" s="12" t="str">
        <x:v>PASS</x:v>
      </x:c>
      <x:c r="O18" s="12" t="str">
        <x:v>FACTUAL</x:v>
      </x:c>
      <x:c r="P18" s="12" t="str">
        <x:v>PASS</x:v>
      </x:c>
      <x:c r="Q18" s="12" t="str">
        <x:v>Source was verified against Walmart/WMT, the exact earnings date or prior-quarter setup, publication date, timing window and prohibited-source rule.</x:v>
      </x:c>
    </x:row>
    <x:row r="19">
      <x:c r="A19" s="12" t="str">
        <x:v>2017-08-17</x:v>
      </x:c>
      <x:c r="B19" s="12" t="str">
        <x:v>WMT</x:v>
      </x:c>
      <x:c r="C19" s="12" t="str">
        <x:v>reaction</x:v>
      </x:c>
      <x:c r="D19" s="12" t="str">
        <x:v>2017-08-17</x:v>
      </x:c>
      <x:c r="E19" s="12" t="n">
        <x:v>0</x:v>
      </x:c>
      <x:c r="F19" s="12" t="str">
        <x:v>TheStreet</x:v>
      </x:c>
      <x:c r="G19" s="12" t="str">
        <x:v>Stocks Slide as Walmart Lets Most People Down, but Alibaba Gives a Lift</x:v>
      </x:c>
      <x:c r="H19" s="12" t="str">
        <x:v>https://www.thestreet.com/investing/stocks-slide-as-walmart-disappoints-but-alibaba-gives-a-lift-14275023</x:v>
      </x:c>
      <x:c r="I19" s="12" t="str">
        <x:v>WEB_VERIFIED</x:v>
      </x:c>
      <x:c r="J19" s="12" t="str">
        <x:v>PASS</x:v>
      </x:c>
      <x:c r="K19" s="12" t="str">
        <x:v>PASS</x:v>
      </x:c>
      <x:c r="L19" s="12" t="str">
        <x:v>PASS</x:v>
      </x:c>
      <x:c r="M19" s="12" t="str">
        <x:v>NO</x:v>
      </x:c>
      <x:c r="N19" s="12" t="str">
        <x:v>PASS</x:v>
      </x:c>
      <x:c r="O19" s="12" t="str">
        <x:v>CONTEMPORANEOUS_ATTRIBUTION</x:v>
      </x:c>
      <x:c r="P19" s="12" t="str">
        <x:v>PASS</x:v>
      </x:c>
      <x:c r="Q19" s="12" t="str">
        <x:v>Source was verified against Walmart/WMT, the exact earnings date or prior-quarter setup, publication date, timing window and prohibited-source rule.</x:v>
      </x:c>
    </x:row>
    <x:row r="20">
      <x:c r="A20" s="12" t="str">
        <x:v>2017-11-16</x:v>
      </x:c>
      <x:c r="B20" s="12" t="str">
        <x:v>WMT</x:v>
      </x:c>
      <x:c r="C20" s="12" t="str">
        <x:v>prior</x:v>
      </x:c>
      <x:c r="D20" s="12" t="str">
        <x:v>2017-08-17</x:v>
      </x:c>
      <x:c r="E20" s="12" t="n">
        <x:v>-91</x:v>
      </x:c>
      <x:c r="F20" s="12" t="str">
        <x:v>Walmart SEC filing</x:v>
      </x:c>
      <x:c r="G20" s="12" t="str">
        <x:v>Walmart U.S. Q2 comps grew 1.8% and Walmart U.S. eCommerce GMV grew 67%</x:v>
      </x:c>
      <x:c r="H20" s="12" t="str">
        <x:v>https://stock.walmart.com/sec-filings/all-sec-filings/content/0000104169-17-000052/earningsrelease-7312017.htm</x:v>
      </x:c>
      <x:c r="I20" s="12" t="str">
        <x:v>WEB_VERIFIED</x:v>
      </x:c>
      <x:c r="J20" s="12" t="str">
        <x:v>PASS</x:v>
      </x:c>
      <x:c r="K20" s="12" t="str">
        <x:v>PASS</x:v>
      </x:c>
      <x:c r="L20" s="12" t="str">
        <x:v>PASS</x:v>
      </x:c>
      <x:c r="M20" s="12" t="str">
        <x:v>NO</x:v>
      </x:c>
      <x:c r="N20" s="12" t="str">
        <x:v>PASS</x:v>
      </x:c>
      <x:c r="O20" s="12" t="str">
        <x:v>FACTUAL</x:v>
      </x:c>
      <x:c r="P20" s="12" t="str">
        <x:v>PASS</x:v>
      </x:c>
      <x:c r="Q20" s="12" t="str">
        <x:v>Source was verified against Walmart/WMT, the exact earnings date or prior-quarter setup, publication date, timing window and prohibited-source rule.</x:v>
      </x:c>
    </x:row>
    <x:row r="21">
      <x:c r="A21" s="12" t="str">
        <x:v>2017-11-16</x:v>
      </x:c>
      <x:c r="B21" s="12" t="str">
        <x:v>WMT</x:v>
      </x:c>
      <x:c r="C21" s="12" t="str">
        <x:v>release</x:v>
      </x:c>
      <x:c r="D21" s="12" t="str">
        <x:v>2017-11-16</x:v>
      </x:c>
      <x:c r="E21" s="12" t="n">
        <x:v>0</x:v>
      </x:c>
      <x:c r="F21" s="12" t="str">
        <x:v>Walmart</x:v>
      </x:c>
      <x:c r="G21" s="12" t="str">
        <x:v>Walmart U.S. Q3 comps grew 2.7% and Walmart U.S. eCommerce sales grew 50%</x:v>
      </x:c>
      <x:c r="H21" s="12" t="str">
        <x:v>https://corporate.walmart.com/news/2017/11/16/walmart-u-s-q3-comps1-grew-2-7-and-walmart-u-s-ecommerce-sales-grew-50-company-reports-q3-fy18-gaap-eps-of-0-58-adjusted-eps2-of-1-00</x:v>
      </x:c>
      <x:c r="I21" s="12" t="str">
        <x:v>WEB_VERIFIED</x:v>
      </x:c>
      <x:c r="J21" s="12" t="str">
        <x:v>PASS</x:v>
      </x:c>
      <x:c r="K21" s="12" t="str">
        <x:v>PASS</x:v>
      </x:c>
      <x:c r="L21" s="12" t="str">
        <x:v>PASS</x:v>
      </x:c>
      <x:c r="M21" s="12" t="str">
        <x:v>NO</x:v>
      </x:c>
      <x:c r="N21" s="12" t="str">
        <x:v>PASS</x:v>
      </x:c>
      <x:c r="O21" s="12" t="str">
        <x:v>FACTUAL</x:v>
      </x:c>
      <x:c r="P21" s="12" t="str">
        <x:v>PASS</x:v>
      </x:c>
      <x:c r="Q21" s="12" t="str">
        <x:v>Source was verified against Walmart/WMT, the exact earnings date or prior-quarter setup, publication date, timing window and prohibited-source rule.</x:v>
      </x:c>
    </x:row>
    <x:row r="22">
      <x:c r="A22" s="12" t="str">
        <x:v>2017-11-16</x:v>
      </x:c>
      <x:c r="B22" s="12" t="str">
        <x:v>WMT</x:v>
      </x:c>
      <x:c r="C22" s="12" t="str">
        <x:v>reaction</x:v>
      </x:c>
      <x:c r="D22" s="12" t="str">
        <x:v>2017-11-16</x:v>
      </x:c>
      <x:c r="E22" s="12" t="n">
        <x:v>0</x:v>
      </x:c>
      <x:c r="F22" s="12" t="str">
        <x:v>The Motley Fool</x:v>
      </x:c>
      <x:c r="G22" s="12" t="str">
        <x:v>Why Wal-Mart Stock Was Soaring Today</x:v>
      </x:c>
      <x:c r="H22" s="12" t="str">
        <x:v>https://www.fool.com/investing/2017/11/16/why-wal-mart-stock-was-soaring-today.aspx</x:v>
      </x:c>
      <x:c r="I22" s="12" t="str">
        <x:v>WEB_VERIFIED</x:v>
      </x:c>
      <x:c r="J22" s="12" t="str">
        <x:v>PASS</x:v>
      </x:c>
      <x:c r="K22" s="12" t="str">
        <x:v>PASS</x:v>
      </x:c>
      <x:c r="L22" s="12" t="str">
        <x:v>PASS</x:v>
      </x:c>
      <x:c r="M22" s="12" t="str">
        <x:v>NO</x:v>
      </x:c>
      <x:c r="N22" s="12" t="str">
        <x:v>PASS</x:v>
      </x:c>
      <x:c r="O22" s="12" t="str">
        <x:v>CONTEMPORANEOUS_ATTRIBUTION</x:v>
      </x:c>
      <x:c r="P22" s="12" t="str">
        <x:v>PASS</x:v>
      </x:c>
      <x:c r="Q22" s="12" t="str">
        <x:v>Source was verified against Walmart/WMT, the exact earnings date or prior-quarter setup, publication date, timing window and prohibited-source rule.</x:v>
      </x:c>
    </x:row>
    <x:row r="23">
      <x:c r="A23" s="12" t="str">
        <x:v>2018-02-20</x:v>
      </x:c>
      <x:c r="B23" s="12" t="str">
        <x:v>WMT</x:v>
      </x:c>
      <x:c r="C23" s="12" t="str">
        <x:v>prior</x:v>
      </x:c>
      <x:c r="D23" s="12" t="str">
        <x:v>2017-11-16</x:v>
      </x:c>
      <x:c r="E23" s="12" t="n">
        <x:v>-96</x:v>
      </x:c>
      <x:c r="F23" s="12" t="str">
        <x:v>Walmart</x:v>
      </x:c>
      <x:c r="G23" s="12" t="str">
        <x:v>Walmart U.S. Q3 comps grew 2.7% and Walmart U.S. eCommerce sales grew 50%</x:v>
      </x:c>
      <x:c r="H23" s="12" t="str">
        <x:v>https://corporate.walmart.com/news/2017/11/16/walmart-u-s-q3-comps1-grew-2-7-and-walmart-u-s-ecommerce-sales-grew-50-company-reports-q3-fy18-gaap-eps-of-0-58-adjusted-eps2-of-1-00</x:v>
      </x:c>
      <x:c r="I23" s="12" t="str">
        <x:v>WEB_VERIFIED</x:v>
      </x:c>
      <x:c r="J23" s="12" t="str">
        <x:v>PASS</x:v>
      </x:c>
      <x:c r="K23" s="12" t="str">
        <x:v>PASS</x:v>
      </x:c>
      <x:c r="L23" s="12" t="str">
        <x:v>PASS</x:v>
      </x:c>
      <x:c r="M23" s="12" t="str">
        <x:v>NO</x:v>
      </x:c>
      <x:c r="N23" s="12" t="str">
        <x:v>PASS</x:v>
      </x:c>
      <x:c r="O23" s="12" t="str">
        <x:v>FACTUAL</x:v>
      </x:c>
      <x:c r="P23" s="12" t="str">
        <x:v>PASS</x:v>
      </x:c>
      <x:c r="Q23" s="12" t="str">
        <x:v>Source was verified against Walmart/WMT, the exact earnings date or prior-quarter setup, publication date, timing window and prohibited-source rule.</x:v>
      </x:c>
    </x:row>
    <x:row r="24">
      <x:c r="A24" s="12" t="str">
        <x:v>2018-02-20</x:v>
      </x:c>
      <x:c r="B24" s="12" t="str">
        <x:v>WMT</x:v>
      </x:c>
      <x:c r="C24" s="12" t="str">
        <x:v>release</x:v>
      </x:c>
      <x:c r="D24" s="12" t="str">
        <x:v>2018-02-20</x:v>
      </x:c>
      <x:c r="E24" s="12" t="n">
        <x:v>0</x:v>
      </x:c>
      <x:c r="F24" s="12" t="str">
        <x:v>Walmart</x:v>
      </x:c>
      <x:c r="G24" s="12" t="str">
        <x:v>Walmart U.S. Q4 comps grew 2.6% and Walmart U.S. eCommerce sales grew 23%</x:v>
      </x:c>
      <x:c r="H24" s="12" t="str">
        <x:v>https://corporate.walmart.com/news/2018/02/20/walmart-u-s-q4-comps1-grew-2-6-and-walmart-u-s-ecommerce-sales-grew-23-walmart-u-s-full-year-comps1-grew-2-1-and-walmart-u-s-ecommerce-sales-grew-44</x:v>
      </x:c>
      <x:c r="I24" s="12" t="str">
        <x:v>WEB_VERIFIED</x:v>
      </x:c>
      <x:c r="J24" s="12" t="str">
        <x:v>PASS</x:v>
      </x:c>
      <x:c r="K24" s="12" t="str">
        <x:v>PASS</x:v>
      </x:c>
      <x:c r="L24" s="12" t="str">
        <x:v>PASS</x:v>
      </x:c>
      <x:c r="M24" s="12" t="str">
        <x:v>NO</x:v>
      </x:c>
      <x:c r="N24" s="12" t="str">
        <x:v>PASS</x:v>
      </x:c>
      <x:c r="O24" s="12" t="str">
        <x:v>FACTUAL</x:v>
      </x:c>
      <x:c r="P24" s="12" t="str">
        <x:v>PASS</x:v>
      </x:c>
      <x:c r="Q24" s="12" t="str">
        <x:v>Source was verified against Walmart/WMT, the exact earnings date or prior-quarter setup, publication date, timing window and prohibited-source rule.</x:v>
      </x:c>
    </x:row>
    <x:row r="25">
      <x:c r="A25" s="12" t="str">
        <x:v>2018-02-20</x:v>
      </x:c>
      <x:c r="B25" s="12" t="str">
        <x:v>WMT</x:v>
      </x:c>
      <x:c r="C25" s="12" t="str">
        <x:v>reaction</x:v>
      </x:c>
      <x:c r="D25" s="12" t="str">
        <x:v>2018-02-20</x:v>
      </x:c>
      <x:c r="E25" s="12" t="n">
        <x:v>0</x:v>
      </x:c>
      <x:c r="F25" s="12" t="str">
        <x:v>Fortune</x:v>
      </x:c>
      <x:c r="G25" s="12" t="str">
        <x:v>Walmart’s Online Growth Slowed Dramatically Over the Holidays</x:v>
      </x:c>
      <x:c r="H25" s="12" t="str">
        <x:v>https://fortune.com/2018/02/20/walmart-sales-holiday-results-ecommerce/</x:v>
      </x:c>
      <x:c r="I25" s="12" t="str">
        <x:v>WEB_VERIFIED</x:v>
      </x:c>
      <x:c r="J25" s="12" t="str">
        <x:v>PASS</x:v>
      </x:c>
      <x:c r="K25" s="12" t="str">
        <x:v>PASS</x:v>
      </x:c>
      <x:c r="L25" s="12" t="str">
        <x:v>PASS</x:v>
      </x:c>
      <x:c r="M25" s="12" t="str">
        <x:v>NO</x:v>
      </x:c>
      <x:c r="N25" s="12" t="str">
        <x:v>PASS</x:v>
      </x:c>
      <x:c r="O25" s="12" t="str">
        <x:v>CONTEMPORANEOUS_ATTRIBUTION</x:v>
      </x:c>
      <x:c r="P25" s="12" t="str">
        <x:v>PASS</x:v>
      </x:c>
      <x:c r="Q25" s="12" t="str">
        <x:v>Source was verified against Walmart/WMT, the exact earnings date or prior-quarter setup, publication date, timing window and prohibited-source rule.</x:v>
      </x:c>
    </x:row>
    <x:row r="26">
      <x:c r="A26" s="12" t="str">
        <x:v>2018-05-17</x:v>
      </x:c>
      <x:c r="B26" s="12" t="str">
        <x:v>WMT</x:v>
      </x:c>
      <x:c r="C26" s="12" t="str">
        <x:v>prior</x:v>
      </x:c>
      <x:c r="D26" s="12" t="str">
        <x:v>2018-02-20</x:v>
      </x:c>
      <x:c r="E26" s="12" t="n">
        <x:v>-86</x:v>
      </x:c>
      <x:c r="F26" s="12" t="str">
        <x:v>Walmart</x:v>
      </x:c>
      <x:c r="G26" s="12" t="str">
        <x:v>Walmart U.S. Q4 comps grew 2.6% and Walmart U.S. eCommerce sales grew 23%</x:v>
      </x:c>
      <x:c r="H26" s="12" t="str">
        <x:v>https://corporate.walmart.com/news/2018/02/20/walmart-u-s-q4-comps1-grew-2-6-and-walmart-u-s-ecommerce-sales-grew-23-walmart-u-s-full-year-comps1-grew-2-1-and-walmart-u-s-ecommerce-sales-grew-44</x:v>
      </x:c>
      <x:c r="I26" s="12" t="str">
        <x:v>WEB_VERIFIED</x:v>
      </x:c>
      <x:c r="J26" s="12" t="str">
        <x:v>PASS</x:v>
      </x:c>
      <x:c r="K26" s="12" t="str">
        <x:v>PASS</x:v>
      </x:c>
      <x:c r="L26" s="12" t="str">
        <x:v>PASS</x:v>
      </x:c>
      <x:c r="M26" s="12" t="str">
        <x:v>NO</x:v>
      </x:c>
      <x:c r="N26" s="12" t="str">
        <x:v>PASS</x:v>
      </x:c>
      <x:c r="O26" s="12" t="str">
        <x:v>FACTUAL</x:v>
      </x:c>
      <x:c r="P26" s="12" t="str">
        <x:v>PASS</x:v>
      </x:c>
      <x:c r="Q26" s="12" t="str">
        <x:v>Source was verified against Walmart/WMT, the exact earnings date or prior-quarter setup, publication date, timing window and prohibited-source rule.</x:v>
      </x:c>
    </x:row>
    <x:row r="27">
      <x:c r="A27" s="12" t="str">
        <x:v>2018-05-17</x:v>
      </x:c>
      <x:c r="B27" s="12" t="str">
        <x:v>WMT</x:v>
      </x:c>
      <x:c r="C27" s="12" t="str">
        <x:v>release</x:v>
      </x:c>
      <x:c r="D27" s="12" t="str">
        <x:v>2018-05-17</x:v>
      </x:c>
      <x:c r="E27" s="12" t="n">
        <x:v>0</x:v>
      </x:c>
      <x:c r="F27" s="12" t="str">
        <x:v>Walmart</x:v>
      </x:c>
      <x:c r="G27" s="12" t="str">
        <x:v>Walmart U.S. Q1 comps grew 2.1% and Walmart U.S. eCommerce sales grew 33%</x:v>
      </x:c>
      <x:c r="H27" s="12" t="str">
        <x:v>https://corporate.walmart.com/news/2018/05/17/walmart-u-s-q1-comps-1-2-grew-2-1-and-walmart-u-s-ecommerce-sales-grew-33-company-reports-q1-gaap-eps-of-0-72-adjusted-eps-2-of-1-14</x:v>
      </x:c>
      <x:c r="I27" s="12" t="str">
        <x:v>WEB_VERIFIED</x:v>
      </x:c>
      <x:c r="J27" s="12" t="str">
        <x:v>PASS</x:v>
      </x:c>
      <x:c r="K27" s="12" t="str">
        <x:v>PASS</x:v>
      </x:c>
      <x:c r="L27" s="12" t="str">
        <x:v>PASS</x:v>
      </x:c>
      <x:c r="M27" s="12" t="str">
        <x:v>NO</x:v>
      </x:c>
      <x:c r="N27" s="12" t="str">
        <x:v>PASS</x:v>
      </x:c>
      <x:c r="O27" s="12" t="str">
        <x:v>FACTUAL</x:v>
      </x:c>
      <x:c r="P27" s="12" t="str">
        <x:v>PASS</x:v>
      </x:c>
      <x:c r="Q27" s="12" t="str">
        <x:v>Source was verified against Walmart/WMT, the exact earnings date or prior-quarter setup, publication date, timing window and prohibited-source rule.</x:v>
      </x:c>
    </x:row>
    <x:row r="28">
      <x:c r="A28" s="12" t="str">
        <x:v>2018-05-17</x:v>
      </x:c>
      <x:c r="B28" s="12" t="str">
        <x:v>WMT</x:v>
      </x:c>
      <x:c r="C28" s="12" t="str">
        <x:v>reaction</x:v>
      </x:c>
      <x:c r="D28" s="12" t="str">
        <x:v>2018-05-17</x:v>
      </x:c>
      <x:c r="E28" s="12" t="n">
        <x:v>0</x:v>
      </x:c>
      <x:c r="F28" s="12" t="str">
        <x:v>The Motley Fool</x:v>
      </x:c>
      <x:c r="G28" s="12" t="str">
        <x:v>What Happened in the Stock Market Today</x:v>
      </x:c>
      <x:c r="H28" s="12" t="str">
        <x:v>https://www.fool.com/investing/2018/05/17/what-happened-in-the-stock-market-today.aspx</x:v>
      </x:c>
      <x:c r="I28" s="12" t="str">
        <x:v>WEB_VERIFIED</x:v>
      </x:c>
      <x:c r="J28" s="12" t="str">
        <x:v>PASS</x:v>
      </x:c>
      <x:c r="K28" s="12" t="str">
        <x:v>PASS</x:v>
      </x:c>
      <x:c r="L28" s="12" t="str">
        <x:v>PASS</x:v>
      </x:c>
      <x:c r="M28" s="12" t="str">
        <x:v>NO</x:v>
      </x:c>
      <x:c r="N28" s="12" t="str">
        <x:v>PASS</x:v>
      </x:c>
      <x:c r="O28" s="12" t="str">
        <x:v>CONTEMPORANEOUS_ATTRIBUTION</x:v>
      </x:c>
      <x:c r="P28" s="12" t="str">
        <x:v>PASS</x:v>
      </x:c>
      <x:c r="Q28" s="12" t="str">
        <x:v>Source was verified against Walmart/WMT, the exact earnings date or prior-quarter setup, publication date, timing window and prohibited-source rule.</x:v>
      </x:c>
    </x:row>
    <x:row r="29">
      <x:c r="A29" s="12" t="str">
        <x:v>2018-08-16</x:v>
      </x:c>
      <x:c r="B29" s="12" t="str">
        <x:v>WMT</x:v>
      </x:c>
      <x:c r="C29" s="12" t="str">
        <x:v>prior</x:v>
      </x:c>
      <x:c r="D29" s="12" t="str">
        <x:v>2018-05-17</x:v>
      </x:c>
      <x:c r="E29" s="12" t="n">
        <x:v>-91</x:v>
      </x:c>
      <x:c r="F29" s="12" t="str">
        <x:v>Walmart</x:v>
      </x:c>
      <x:c r="G29" s="12" t="str">
        <x:v>Walmart U.S. Q1 comps grew 2.1% and Walmart U.S. eCommerce sales grew 33%</x:v>
      </x:c>
      <x:c r="H29" s="12" t="str">
        <x:v>https://corporate.walmart.com/news/2018/05/17/walmart-u-s-q1-comps-1-2-grew-2-1-and-walmart-u-s-ecommerce-sales-grew-33-company-reports-q1-gaap-eps-of-0-72-adjusted-eps-2-of-1-14</x:v>
      </x:c>
      <x:c r="I29" s="12" t="str">
        <x:v>WEB_VERIFIED</x:v>
      </x:c>
      <x:c r="J29" s="12" t="str">
        <x:v>PASS</x:v>
      </x:c>
      <x:c r="K29" s="12" t="str">
        <x:v>PASS</x:v>
      </x:c>
      <x:c r="L29" s="12" t="str">
        <x:v>PASS</x:v>
      </x:c>
      <x:c r="M29" s="12" t="str">
        <x:v>NO</x:v>
      </x:c>
      <x:c r="N29" s="12" t="str">
        <x:v>PASS</x:v>
      </x:c>
      <x:c r="O29" s="12" t="str">
        <x:v>FACTUAL</x:v>
      </x:c>
      <x:c r="P29" s="12" t="str">
        <x:v>PASS</x:v>
      </x:c>
      <x:c r="Q29" s="12" t="str">
        <x:v>Source was verified against Walmart/WMT, the exact earnings date or prior-quarter setup, publication date, timing window and prohibited-source rule.</x:v>
      </x:c>
    </x:row>
    <x:row r="30">
      <x:c r="A30" s="12" t="str">
        <x:v>2018-08-16</x:v>
      </x:c>
      <x:c r="B30" s="12" t="str">
        <x:v>WMT</x:v>
      </x:c>
      <x:c r="C30" s="12" t="str">
        <x:v>release</x:v>
      </x:c>
      <x:c r="D30" s="12" t="str">
        <x:v>2018-08-16</x:v>
      </x:c>
      <x:c r="E30" s="12" t="n">
        <x:v>0</x:v>
      </x:c>
      <x:c r="F30" s="12" t="str">
        <x:v>Walmart</x:v>
      </x:c>
      <x:c r="G30" s="12" t="str">
        <x:v>Walmart U.S. Q2 comps grew 4.5% and Walmart U.S. eCommerce sales grew 40%</x:v>
      </x:c>
      <x:c r="H30" s="12" t="str">
        <x:v>https://corporate.walmart.com/news/2018/08/16/walmart-u-s-q2-comps1-grew-4-5-and-walmart-u-s-ecommerce-sales-grew-40-q2-gaap-net-loss-per-share-of-0-29-adjusted-eps2-of-1-29</x:v>
      </x:c>
      <x:c r="I30" s="12" t="str">
        <x:v>WEB_VERIFIED</x:v>
      </x:c>
      <x:c r="J30" s="12" t="str">
        <x:v>PASS</x:v>
      </x:c>
      <x:c r="K30" s="12" t="str">
        <x:v>PASS</x:v>
      </x:c>
      <x:c r="L30" s="12" t="str">
        <x:v>PASS</x:v>
      </x:c>
      <x:c r="M30" s="12" t="str">
        <x:v>NO</x:v>
      </x:c>
      <x:c r="N30" s="12" t="str">
        <x:v>PASS</x:v>
      </x:c>
      <x:c r="O30" s="12" t="str">
        <x:v>FACTUAL</x:v>
      </x:c>
      <x:c r="P30" s="12" t="str">
        <x:v>PASS</x:v>
      </x:c>
      <x:c r="Q30" s="12" t="str">
        <x:v>Source was verified against Walmart/WMT, the exact earnings date or prior-quarter setup, publication date, timing window and prohibited-source rule.</x:v>
      </x:c>
    </x:row>
    <x:row r="31">
      <x:c r="A31" s="12" t="str">
        <x:v>2018-08-16</x:v>
      </x:c>
      <x:c r="B31" s="12" t="str">
        <x:v>WMT</x:v>
      </x:c>
      <x:c r="C31" s="12" t="str">
        <x:v>reaction</x:v>
      </x:c>
      <x:c r="D31" s="12" t="str">
        <x:v>2018-08-16</x:v>
      </x:c>
      <x:c r="E31" s="12" t="n">
        <x:v>0</x:v>
      </x:c>
      <x:c r="F31" s="12" t="str">
        <x:v>Fortune</x:v>
      </x:c>
      <x:c r="G31" s="12" t="str">
        <x:v>Walmart Stock Jumps 9% on Best Sales Growth in a Decade</x:v>
      </x:c>
      <x:c r="H31" s="12" t="str">
        <x:v>https://fortune.com/2018/08/16/walmart-stock-earnings/</x:v>
      </x:c>
      <x:c r="I31" s="12" t="str">
        <x:v>WEB_VERIFIED</x:v>
      </x:c>
      <x:c r="J31" s="12" t="str">
        <x:v>PASS</x:v>
      </x:c>
      <x:c r="K31" s="12" t="str">
        <x:v>PASS</x:v>
      </x:c>
      <x:c r="L31" s="12" t="str">
        <x:v>PASS</x:v>
      </x:c>
      <x:c r="M31" s="12" t="str">
        <x:v>NO</x:v>
      </x:c>
      <x:c r="N31" s="12" t="str">
        <x:v>PASS</x:v>
      </x:c>
      <x:c r="O31" s="12" t="str">
        <x:v>CONTEMPORANEOUS_ATTRIBUTION</x:v>
      </x:c>
      <x:c r="P31" s="12" t="str">
        <x:v>PASS</x:v>
      </x:c>
      <x:c r="Q31" s="12" t="str">
        <x:v>Source was verified against Walmart/WMT, the exact earnings date or prior-quarter setup, publication date, timing window and prohibited-source rule.</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4" hidden="0" customWidth="1"/>
    <x:col min="2" max="2" width="9" hidden="0" customWidth="1"/>
    <x:col min="3" max="3" width="13" hidden="0" customWidth="1"/>
    <x:col min="4" max="4" width="16" hidden="0" customWidth="1"/>
    <x:col min="5" max="5" width="18" hidden="0" customWidth="1"/>
    <x:col min="6" max="6" width="20" hidden="0" customWidth="1"/>
    <x:col min="7" max="7" width="20" hidden="0" customWidth="1"/>
    <x:col min="8" max="8" width="18" hidden="0" customWidth="1"/>
    <x:col min="9" max="9" width="14" hidden="0" customWidth="1"/>
    <x:col min="10" max="10" width="23" hidden="0" customWidth="1"/>
    <x:col min="11" max="11" width="14" hidden="0" customWidth="1"/>
  </x:cols>
  <x:sheetData>
    <x:row r="1">
      <x:c r="A1" s="5" t="str">
        <x:v>earnings_date</x:v>
      </x:c>
      <x:c r="B1" s="5" t="str">
        <x:v>ticker</x:v>
      </x:c>
      <x:c r="C1" s="5" t="str">
        <x:v>ret_1day_pct</x:v>
      </x:c>
      <x:c r="D1" s="5" t="str">
        <x:v>ret_1daypost_pct</x:v>
      </x:c>
      <x:c r="E1" s="5" t="str">
        <x:v>reaction_basis</x:v>
      </x:c>
      <x:c r="F1" s="5" t="str">
        <x:v>computed_direction</x:v>
      </x:c>
      <x:c r="G1" s="5" t="str">
        <x:v>narrative_direction</x:v>
      </x:c>
      <x:c r="H1" s="5" t="str">
        <x:v>direction_match</x:v>
      </x:c>
      <x:c r="I1" s="5" t="str">
        <x:v>source_count</x:v>
      </x:c>
      <x:c r="J1" s="5" t="str">
        <x:v>source_audit_pass_count</x:v>
      </x:c>
      <x:c r="K1" s="5" t="str">
        <x:v>qa_status</x:v>
      </x:c>
    </x:row>
    <x:row r="2">
      <x:c r="A2" t="str">
        <x:v>2016-05-19</x:v>
      </x:c>
      <x:c r="B2" t="str">
        <x:v>WMT</x:v>
      </x:c>
      <x:c r="C2" s="20" t="n">
        <x:v>9.96</x:v>
      </x:c>
      <x:c r="D2" s="20" t="n">
        <x:v>0.19</x:v>
      </x:c>
      <x:c r="E2" t="str">
        <x:v>ret_1day_pct</x:v>
      </x:c>
      <x:c r="F2" t="str">
        <x:f>IF(C2&gt;0.1,"UP",IF(C2&lt;-0.1,"DOWN","FLAT"))</x:f>
        <x:v>UP</x:v>
      </x:c>
      <x:c r="G2" t="str">
        <x:v>UP</x:v>
      </x:c>
      <x:c r="H2" t="str">
        <x:f>IF(F2=G2,"PASS","FAIL")</x:f>
        <x:v>PASS</x:v>
      </x:c>
      <x:c r="I2" t="n">
        <x:v>3</x:v>
      </x:c>
      <x:c r="J2" t="n">
        <x:f>COUNTIFS('Source Audit'!$A:$A,A2,'Source Audit'!$P:$P,"PASS")</x:f>
        <x:v>3</x:v>
      </x:c>
      <x:c r="K2" t="str">
        <x:f>IF(AND(H2="PASS",J2=I2),"PASS","FAIL")</x:f>
        <x:v>PASS</x:v>
      </x:c>
    </x:row>
    <x:row r="3">
      <x:c r="A3" t="str">
        <x:v>2016-08-18</x:v>
      </x:c>
      <x:c r="B3" t="str">
        <x:v>WMT</x:v>
      </x:c>
      <x:c r="C3" s="20" t="n">
        <x:v>1.54</x:v>
      </x:c>
      <x:c r="D3" s="20" t="n">
        <x:v>-1.82</x:v>
      </x:c>
      <x:c r="E3" t="str">
        <x:v>ret_1day_pct</x:v>
      </x:c>
      <x:c r="F3" t="str">
        <x:f>IF(C3&gt;0.1,"UP",IF(C3&lt;-0.1,"DOWN","FLAT"))</x:f>
        <x:v>UP</x:v>
      </x:c>
      <x:c r="G3" t="str">
        <x:v>UP</x:v>
      </x:c>
      <x:c r="H3" t="str">
        <x:f>IF(F3=G3,"PASS","FAIL")</x:f>
        <x:v>PASS</x:v>
      </x:c>
      <x:c r="I3" t="n">
        <x:v>3</x:v>
      </x:c>
      <x:c r="J3" t="n">
        <x:f>COUNTIFS('Source Audit'!$A:$A,A3,'Source Audit'!$P:$P,"PASS")</x:f>
        <x:v>3</x:v>
      </x:c>
      <x:c r="K3" t="str">
        <x:f>IF(AND(H3="PASS",J3=I3),"PASS","FAIL")</x:f>
        <x:v>PASS</x:v>
      </x:c>
    </x:row>
    <x:row r="4">
      <x:c r="A4" t="str">
        <x:v>2016-11-17</x:v>
      </x:c>
      <x:c r="B4" t="str">
        <x:v>WMT</x:v>
      </x:c>
      <x:c r="C4" s="20" t="n">
        <x:v>-3.54</x:v>
      </x:c>
      <x:c r="D4" s="20" t="n">
        <x:v>-0.8</x:v>
      </x:c>
      <x:c r="E4" t="str">
        <x:v>ret_1day_pct</x:v>
      </x:c>
      <x:c r="F4" t="str">
        <x:f>IF(C4&gt;0.1,"UP",IF(C4&lt;-0.1,"DOWN","FLAT"))</x:f>
        <x:v>DOWN</x:v>
      </x:c>
      <x:c r="G4" t="str">
        <x:v>DOWN</x:v>
      </x:c>
      <x:c r="H4" t="str">
        <x:f>IF(F4=G4,"PASS","FAIL")</x:f>
        <x:v>PASS</x:v>
      </x:c>
      <x:c r="I4" t="n">
        <x:v>3</x:v>
      </x:c>
      <x:c r="J4" t="n">
        <x:f>COUNTIFS('Source Audit'!$A:$A,A4,'Source Audit'!$P:$P,"PASS")</x:f>
        <x:v>3</x:v>
      </x:c>
      <x:c r="K4" t="str">
        <x:f>IF(AND(H4="PASS",J4=I4),"PASS","FAIL")</x:f>
        <x:v>PASS</x:v>
      </x:c>
    </x:row>
    <x:row r="5">
      <x:c r="A5" t="str">
        <x:v>2017-02-21</x:v>
      </x:c>
      <x:c r="B5" t="str">
        <x:v>WMT</x:v>
      </x:c>
      <x:c r="C5" s="20" t="n">
        <x:v>2.42</x:v>
      </x:c>
      <x:c r="D5" s="20" t="n">
        <x:v>0.54</x:v>
      </x:c>
      <x:c r="E5" t="str">
        <x:v>ret_1day_pct</x:v>
      </x:c>
      <x:c r="F5" t="str">
        <x:f>IF(C5&gt;0.1,"UP",IF(C5&lt;-0.1,"DOWN","FLAT"))</x:f>
        <x:v>UP</x:v>
      </x:c>
      <x:c r="G5" t="str">
        <x:v>UP</x:v>
      </x:c>
      <x:c r="H5" t="str">
        <x:f>IF(F5=G5,"PASS","FAIL")</x:f>
        <x:v>PASS</x:v>
      </x:c>
      <x:c r="I5" t="n">
        <x:v>3</x:v>
      </x:c>
      <x:c r="J5" t="n">
        <x:f>COUNTIFS('Source Audit'!$A:$A,A5,'Source Audit'!$P:$P,"PASS")</x:f>
        <x:v>3</x:v>
      </x:c>
      <x:c r="K5" t="str">
        <x:f>IF(AND(H5="PASS",J5=I5),"PASS","FAIL")</x:f>
        <x:v>PASS</x:v>
      </x:c>
    </x:row>
    <x:row r="6">
      <x:c r="A6" t="str">
        <x:v>2017-05-18</x:v>
      </x:c>
      <x:c r="B6" t="str">
        <x:v>WMT</x:v>
      </x:c>
      <x:c r="C6" s="20" t="n">
        <x:v>2.88</x:v>
      </x:c>
      <x:c r="D6" s="20" t="n">
        <x:v>0.83</x:v>
      </x:c>
      <x:c r="E6" t="str">
        <x:v>ret_1day_pct</x:v>
      </x:c>
      <x:c r="F6" t="str">
        <x:f>IF(C6&gt;0.1,"UP",IF(C6&lt;-0.1,"DOWN","FLAT"))</x:f>
        <x:v>UP</x:v>
      </x:c>
      <x:c r="G6" t="str">
        <x:v>UP</x:v>
      </x:c>
      <x:c r="H6" t="str">
        <x:f>IF(F6=G6,"PASS","FAIL")</x:f>
        <x:v>PASS</x:v>
      </x:c>
      <x:c r="I6" t="n">
        <x:v>3</x:v>
      </x:c>
      <x:c r="J6" t="n">
        <x:f>COUNTIFS('Source Audit'!$A:$A,A6,'Source Audit'!$P:$P,"PASS")</x:f>
        <x:v>3</x:v>
      </x:c>
      <x:c r="K6" t="str">
        <x:f>IF(AND(H6="PASS",J6=I6),"PASS","FAIL")</x:f>
        <x:v>PASS</x:v>
      </x:c>
    </x:row>
    <x:row r="7">
      <x:c r="A7" t="str">
        <x:v>2017-08-17</x:v>
      </x:c>
      <x:c r="B7" t="str">
        <x:v>WMT</x:v>
      </x:c>
      <x:c r="C7" s="20" t="n">
        <x:v>-0.12</x:v>
      </x:c>
      <x:c r="D7" s="20" t="n">
        <x:v>-0.37</x:v>
      </x:c>
      <x:c r="E7" t="str">
        <x:v>ret_1day_pct</x:v>
      </x:c>
      <x:c r="F7" t="str">
        <x:f>IF(C7&gt;0.1,"UP",IF(C7&lt;-0.1,"DOWN","FLAT"))</x:f>
        <x:v>DOWN</x:v>
      </x:c>
      <x:c r="G7" t="str">
        <x:v>DOWN</x:v>
      </x:c>
      <x:c r="H7" t="str">
        <x:f>IF(F7=G7,"PASS","FAIL")</x:f>
        <x:v>PASS</x:v>
      </x:c>
      <x:c r="I7" t="n">
        <x:v>3</x:v>
      </x:c>
      <x:c r="J7" t="n">
        <x:f>COUNTIFS('Source Audit'!$A:$A,A7,'Source Audit'!$P:$P,"PASS")</x:f>
        <x:v>3</x:v>
      </x:c>
      <x:c r="K7" t="str">
        <x:f>IF(AND(H7="PASS",J7=I7),"PASS","FAIL")</x:f>
        <x:v>PASS</x:v>
      </x:c>
    </x:row>
    <x:row r="8">
      <x:c r="A8" t="str">
        <x:v>2017-11-16</x:v>
      </x:c>
      <x:c r="B8" t="str">
        <x:v>WMT</x:v>
      </x:c>
      <x:c r="C8" s="20" t="n">
        <x:v>9.96</x:v>
      </x:c>
      <x:c r="D8" s="20" t="n">
        <x:v>-2.07</x:v>
      </x:c>
      <x:c r="E8" t="str">
        <x:v>ret_1day_pct</x:v>
      </x:c>
      <x:c r="F8" t="str">
        <x:f>IF(C8&gt;0.1,"UP",IF(C8&lt;-0.1,"DOWN","FLAT"))</x:f>
        <x:v>UP</x:v>
      </x:c>
      <x:c r="G8" t="str">
        <x:v>UP</x:v>
      </x:c>
      <x:c r="H8" t="str">
        <x:f>IF(F8=G8,"PASS","FAIL")</x:f>
        <x:v>PASS</x:v>
      </x:c>
      <x:c r="I8" t="n">
        <x:v>3</x:v>
      </x:c>
      <x:c r="J8" t="n">
        <x:f>COUNTIFS('Source Audit'!$A:$A,A8,'Source Audit'!$P:$P,"PASS")</x:f>
        <x:v>3</x:v>
      </x:c>
      <x:c r="K8" t="str">
        <x:f>IF(AND(H8="PASS",J8=I8),"PASS","FAIL")</x:f>
        <x:v>PASS</x:v>
      </x:c>
    </x:row>
    <x:row r="9">
      <x:c r="A9" t="str">
        <x:v>2018-02-20</x:v>
      </x:c>
      <x:c r="B9" t="str">
        <x:v>WMT</x:v>
      </x:c>
      <x:c r="C9" s="20" t="n">
        <x:v>-9.55</x:v>
      </x:c>
      <x:c r="D9" s="20" t="n">
        <x:v>-2.31</x:v>
      </x:c>
      <x:c r="E9" t="str">
        <x:v>ret_1day_pct</x:v>
      </x:c>
      <x:c r="F9" t="str">
        <x:f>IF(C9&gt;0.1,"UP",IF(C9&lt;-0.1,"DOWN","FLAT"))</x:f>
        <x:v>DOWN</x:v>
      </x:c>
      <x:c r="G9" t="str">
        <x:v>DOWN</x:v>
      </x:c>
      <x:c r="H9" t="str">
        <x:f>IF(F9=G9,"PASS","FAIL")</x:f>
        <x:v>PASS</x:v>
      </x:c>
      <x:c r="I9" t="n">
        <x:v>3</x:v>
      </x:c>
      <x:c r="J9" t="n">
        <x:f>COUNTIFS('Source Audit'!$A:$A,A9,'Source Audit'!$P:$P,"PASS")</x:f>
        <x:v>3</x:v>
      </x:c>
      <x:c r="K9" t="str">
        <x:f>IF(AND(H9="PASS",J9=I9),"PASS","FAIL")</x:f>
        <x:v>PASS</x:v>
      </x:c>
    </x:row>
    <x:row r="10">
      <x:c r="A10" t="str">
        <x:v>2018-05-17</x:v>
      </x:c>
      <x:c r="B10" t="str">
        <x:v>WMT</x:v>
      </x:c>
      <x:c r="C10" s="20" t="n">
        <x:v>-1.93</x:v>
      </x:c>
      <x:c r="D10" s="20" t="n">
        <x:v>-0.78</x:v>
      </x:c>
      <x:c r="E10" t="str">
        <x:v>ret_1day_pct</x:v>
      </x:c>
      <x:c r="F10" t="str">
        <x:f>IF(C10&gt;0.1,"UP",IF(C10&lt;-0.1,"DOWN","FLAT"))</x:f>
        <x:v>DOWN</x:v>
      </x:c>
      <x:c r="G10" t="str">
        <x:v>DOWN</x:v>
      </x:c>
      <x:c r="H10" t="str">
        <x:f>IF(F10=G10,"PASS","FAIL")</x:f>
        <x:v>PASS</x:v>
      </x:c>
      <x:c r="I10" t="n">
        <x:v>3</x:v>
      </x:c>
      <x:c r="J10" t="n">
        <x:f>COUNTIFS('Source Audit'!$A:$A,A10,'Source Audit'!$P:$P,"PASS")</x:f>
        <x:v>3</x:v>
      </x:c>
      <x:c r="K10" t="str">
        <x:f>IF(AND(H10="PASS",J10=I10),"PASS","FAIL")</x:f>
        <x:v>PASS</x:v>
      </x:c>
    </x:row>
    <x:row r="11">
      <x:c r="A11" t="str">
        <x:v>2018-08-16</x:v>
      </x:c>
      <x:c r="B11" t="str">
        <x:v>WMT</x:v>
      </x:c>
      <x:c r="C11" s="20" t="n">
        <x:v>8.53</x:v>
      </x:c>
      <x:c r="D11" s="20" t="n">
        <x:v>-1.19</x:v>
      </x:c>
      <x:c r="E11" t="str">
        <x:v>ret_1day_pct</x:v>
      </x:c>
      <x:c r="F11" t="str">
        <x:f>IF(C11&gt;0.1,"UP",IF(C11&lt;-0.1,"DOWN","FLAT"))</x:f>
        <x:v>UP</x:v>
      </x:c>
      <x:c r="G11" t="str">
        <x:v>UP</x:v>
      </x:c>
      <x:c r="H11" t="str">
        <x:f>IF(F11=G11,"PASS","FAIL")</x:f>
        <x:v>PASS</x:v>
      </x:c>
      <x:c r="I11" t="n">
        <x:v>3</x:v>
      </x:c>
      <x:c r="J11" t="n">
        <x:f>COUNTIFS('Source Audit'!$A:$A,A11,'Source Audit'!$P:$P,"PASS")</x:f>
        <x:v>3</x:v>
      </x:c>
      <x:c r="K11" t="str">
        <x:f>IF(AND(H11="PASS",J11=I11),"PASS","FAIL")</x:f>
        <x:v>PASS</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0" hidden="0" customWidth="1"/>
    <x:col min="2" max="2" width="110" hidden="0" customWidth="1"/>
  </x:cols>
  <x:sheetData>
    <x:row r="1">
      <x:c r="A1" s="5" t="str">
        <x:v>Item</x:v>
      </x:c>
      <x:c r="B1" s="5" t="str">
        <x:v>Rule</x:v>
      </x:c>
    </x:row>
    <x:row r="2">
      <x:c r="A2" s="12" t="str">
        <x:v>Rebuild status</x:v>
      </x:c>
      <x:c r="B2" s="12" t="str">
        <x:v>WMT rebuilt from scratch under the corrected verification protocol.</x:v>
      </x:c>
    </x:row>
    <x:row r="3">
      <x:c r="A3" s="12" t="str">
        <x:v>Identity source</x:v>
      </x:c>
      <x:c r="B3" s="12" t="str">
        <x:v>Ticker/company, exact earnings dates and all return fields come from group_observations.csv.</x:v>
      </x:c>
    </x:row>
    <x:row r="4">
      <x:c r="A4" s="12" t="str">
        <x:v>Reaction basis</x:v>
      </x:c>
      <x:c r="B4" s="12" t="str">
        <x:v>Walmart released these results before the U.S. market open. ret_1day_pct is therefore the primary same-session earnings reaction; ret_1daypost_pct is not used to label the direction.</x:v>
      </x:c>
    </x:row>
    <x:row r="5">
      <x:c r="A5" s="12" t="str">
        <x:v>Narrative</x:v>
      </x:c>
      <x:c r="B5" s="12" t="str">
        <x:v>Short Prior Context, detailed Current Earnings Release, and three concise event-specific Possible Drivers.</x:v>
      </x:c>
    </x:row>
    <x:row r="6">
      <x:c r="A6" s="12" t="str">
        <x:v>Sources</x:v>
      </x:c>
      <x:c r="B6" s="12" t="str">
        <x:v>Walmart corporate / SEC filing pages anchor the results. Reaction sources are contemporaneous Fortune, Retail Dive, TheStreet, or Motley Fool pages verified for the exact event.</x:v>
      </x:c>
    </x:row>
    <x:row r="7">
      <x:c r="A7" s="12" t="str">
        <x:v>Timing</x:v>
      </x:c>
      <x:c r="B7" s="12" t="str">
        <x:v>Prior = -100..-1 days; release = day 0; reaction = day 0..+3.</x:v>
      </x:c>
    </x:row>
    <x:row r="8">
      <x:c r="A8" s="12" t="str">
        <x:v>Restrictions</x:v>
      </x:c>
      <x:c r="B8" s="12" t="str">
        <x:v>No WSJ, Reuters, Dow Jones or MarketWatch-syndicated article is included. Reuters-derived republications were excluded.</x:v>
      </x:c>
    </x:row>
    <x:row r="9">
      <x:c r="A9" s="12" t="str">
        <x:v>QA</x:v>
      </x:c>
      <x:c r="B9" s="12" t="str">
        <x:v>Event QA mechanically recomputes direction from ret_1day_pct and requires all included source-audit rows to PASS.</x:v>
      </x:c>
    </x:row>
  </x:sheetData>
  <x:pageMargins left="0.7" right="0.7" top="0.75" bottom="0.75" header="0.3" footer="0.3"/>
</x:worksheet>
</file>