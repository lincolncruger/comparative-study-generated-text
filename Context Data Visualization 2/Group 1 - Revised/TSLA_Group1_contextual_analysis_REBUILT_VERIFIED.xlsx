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9b938fb8084ec7" /></Relationships>
</file>

<file path=xl/workbook.xml><?xml version="1.0" encoding="utf-8"?>
<x:workbook xmlns:x="http://schemas.openxmlformats.org/spreadsheetml/2006/main">
  <x:sheets>
    <x:sheet xmlns:r="http://schemas.openxmlformats.org/officeDocument/2006/relationships" name="TSLA" sheetId="1" r:id="R9cc9e48efde44487"/>
    <x:sheet xmlns:r="http://schemas.openxmlformats.org/officeDocument/2006/relationships" name="Source Audit" sheetId="2" r:id="R5af219fdf57a4a45"/>
    <x:sheet xmlns:r="http://schemas.openxmlformats.org/officeDocument/2006/relationships" name="Event QA" sheetId="3" r:id="Re953c7e8e9124bda"/>
    <x:sheet xmlns:r="http://schemas.openxmlformats.org/officeDocument/2006/relationships" name="Methodology" sheetId="4" r:id="Ra58d6abe4e6546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2d0662db6f45b2" /><Relationship Type="http://schemas.openxmlformats.org/officeDocument/2006/relationships/theme" Target="/xl/theme/theme1.xml" Id="R89757a5fcef443b5" /><Relationship Type="http://schemas.openxmlformats.org/officeDocument/2006/relationships/sharedStrings" Target="/xl/sharedStrings.xml" Id="R85fed170e34f4101" /><Relationship Type="http://schemas.openxmlformats.org/officeDocument/2006/relationships/worksheet" Target="/xl/worksheets/sheet1.xml" Id="R9cc9e48efde44487" /><Relationship Type="http://schemas.openxmlformats.org/officeDocument/2006/relationships/worksheet" Target="/xl/worksheets/sheet2.xml" Id="R5af219fdf57a4a45" /><Relationship Type="http://schemas.openxmlformats.org/officeDocument/2006/relationships/worksheet" Target="/xl/worksheets/sheet3.xml" Id="Re953c7e8e9124bda" /><Relationship Type="http://schemas.openxmlformats.org/officeDocument/2006/relationships/worksheet" Target="/xl/worksheets/sheet4.xml" Id="Ra58d6abe4e6546e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5" hidden="0" customWidth="1"/>
    <x:col min="15" max="15" width="65" hidden="0" customWidth="1"/>
    <x:col min="16" max="16" width="65" hidden="0" customWidth="1"/>
    <x:col min="17" max="17" width="82"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5" customHeight="1">
      <x:c r="A2" s="15" t="n">
        <x:v>0</x:v>
      </x:c>
      <x:c r="B2" s="15" t="str">
        <x:v>TSLA</x:v>
      </x:c>
      <x:c r="C2" s="15" t="str">
        <x:v>Tesla</x:v>
      </x:c>
      <x:c r="D2" s="15" t="str">
        <x:v>2016q2</x:v>
      </x:c>
      <x:c r="E2" s="15" t="str">
        <x:v>2016-05-04</x:v>
      </x:c>
      <x:c r="F2" s="18" t="n">
        <x:v>-3.58</x:v>
      </x:c>
      <x:c r="G2" s="18" t="n">
        <x:v>-4.91</x:v>
      </x:c>
      <x:c r="H2" s="18" t="n">
        <x:v>-8.32</x:v>
      </x:c>
      <x:c r="I2" s="18" t="n">
        <x:v>-10.9</x:v>
      </x:c>
      <x:c r="J2" s="18" t="n">
        <x:v>-12.28</x:v>
      </x:c>
      <x:c r="K2" s="15" t="str">
        <x:v>ret_1daypost_pct</x:v>
      </x:c>
      <x:c r="L2" s="15" t="str">
        <x:v>DOWN</x:v>
      </x:c>
      <x:c r="M2" s="15" t="str">
        <x:v>## Prior Context
Tesla entered Q1 with two contradictory signals: Model 3 reservations had exploded after the March unveiling, but Q1 Model S/X deliveries had missed guidance because of Model X supplier and production problems. The earnings event therefore centered less on the quarter itself than on whether Tesla could credibly scale manufacturing.
### Verified prior source
2016-02-10 | Tesla Investor Relations | Tesla Releases Fourth Quarter and Full Year 2015 Financial Results | https://ir.tesla.com/press-release/tesla-releases-fourth-quarter-and-full-year-2015-financial
## Current Earnings Release
Tesla reported non-GAAP revenue of about **$1.6 billion**, roughly in line with expectations, and an adjusted loss of about **$0.57 per share**, better than consensus. Production reached a new quarterly high, but Model X ramp problems had already caused the company to miss its Q1 delivery target.
The major new information was strategic. Tesla **accelerated its 500,000-vehicle annual production target to 2018**, two years earlier than previously planned, in response to unexpectedly strong Model 3 demand. That dramatically increased the required pace of factory expansion, engineering execution and capital spending. Shares initially rose after hours, but the next full session reversed sharply as investors reassessed the financing and execution risk implied by the accelerated plan.
### Verified release source
2016-05-04 | Tesla Investor Relations | Tesla Releases First Quarter 2016 Financial Results | https://ir.tesla.com/press-release/tesla-releases-first-quarter-2016-financial-results
## Possible Drivers
**First-order driver.** The stock fell the next session because the 500,000-unit 2018 target materially increased execution and capital-raising risk.
**Second-order driver.** Q1 earnings themselves were not weak enough to explain the selloff; the adjusted loss was actually better than expected.
**Third-order driver.** Model X production problems made investors more skeptical that Tesla could scale Model 3 at the newly promised pace.
### Verified reaction source
2016-05-05 | The Motley Fool | Tesla Downshifts and Fitbit Inc. Slumps on a Flat Day for Stocks | https://www.fool.com/investing/general/2016/05/05/tesla-downshifts-and-fitbit-inc-slumps-on-a-flat-d.aspx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2" s="15" t="str">
        <x:v>2016-02-10 | Tesla Investor Relations | Tesla Releases Fourth Quarter and Full Year 2015 Financial Results | https://ir.tesla.com/press-release/tesla-releases-fourth-quarter-and-full-year-2015-financial</x:v>
      </x:c>
      <x:c r="O2" s="15" t="str">
        <x:v>2016-05-04 | Tesla Investor Relations | Tesla Releases First Quarter 2016 Financial Results | https://ir.tesla.com/press-release/tesla-releases-first-quarter-2016-financial-results</x:v>
      </x:c>
      <x:c r="P2" s="15" t="str">
        <x:v>2016-05-05 | The Motley Fool | Tesla Downshifts and Fitbit Inc. Slumps on a Flat Day for Stocks | https://www.fool.com/investing/general/2016/05/05/tesla-downshifts-and-fitbit-inc-slumps-on-a-flat-d.aspx</x:v>
      </x:c>
      <x:c r="Q2" s="15" t="str">
        <x:v>2016-02-10 | Tesla Investor Relations | Tesla Releases Fourth Quarter and Full Year 2015 Financial Results | https://ir.tesla.com/press-release/tesla-releases-fourth-quarter-and-full-year-2015-financial
2016-05-04 | Tesla Investor Relations | Tesla Releases First Quarter 2016 Financial Results | https://ir.tesla.com/press-release/tesla-releases-first-quarter-2016-financial-results
2016-05-05 | The Motley Fool | Tesla Downshifts and Fitbit Inc. Slumps on a Flat Day for Stocks | https://www.fool.com/investing/general/2016/05/05/tesla-downshifts-and-fitbit-inc-slumps-on-a-flat-d.aspx</x:v>
      </x:c>
      <x:c r="R2" s="15" t="n">
        <x:v>3</x:v>
      </x:c>
      <x:c r="S2" s="15" t="str">
        <x:v>PASS</x:v>
      </x:c>
    </x:row>
    <x:row r="3" ht="345" customHeight="1">
      <x:c r="A3" s="15" t="n">
        <x:v>1</x:v>
      </x:c>
      <x:c r="B3" s="15" t="str">
        <x:v>TSLA</x:v>
      </x:c>
      <x:c r="C3" s="15" t="str">
        <x:v>Tesla</x:v>
      </x:c>
      <x:c r="D3" s="15" t="str">
        <x:v>2016q3</x:v>
      </x:c>
      <x:c r="E3" s="15" t="str">
        <x:v>2016-08-03</x:v>
      </x:c>
      <x:c r="F3" s="18" t="n">
        <x:v>-1.06</x:v>
      </x:c>
      <x:c r="G3" s="18" t="n">
        <x:v>2.05</x:v>
      </x:c>
      <x:c r="H3" s="18" t="n">
        <x:v>0.97</x:v>
      </x:c>
      <x:c r="I3" s="18" t="n">
        <x:v>0.46</x:v>
      </x:c>
      <x:c r="J3" s="18" t="n">
        <x:v>-2.29</x:v>
      </x:c>
      <x:c r="K3" s="15" t="str">
        <x:v>ret_1daypost_pct</x:v>
      </x:c>
      <x:c r="L3" s="15" t="str">
        <x:v>UP</x:v>
      </x:c>
      <x:c r="M3" s="15" t="str">
        <x:v>## Prior Context
Tesla had spent the spring raising capital, opening the Gigafactory and preparing Model 3, while Q2 deliveries again fell short of prior targets. The market was already aware that near-term profitability would be sacrificed for scale.
### Verified prior source
2016-05-04 | Tesla Investor Relations | Tesla Releases First Quarter 2016 Financial Results | https://ir.tesla.com/press-release/tesla-releases-first-quarter-2016-financial-results
## Current Earnings Release
Tesla reported roughly **$1.56 billion of non-GAAP revenue** and an adjusted loss of **$1.06 per share**, both worse than Wall Street expectations. Q2 deliveries were **14,402 vehicles**, and nearly half of the quarter's production occurred in the final four weeks as Tesla worked through manufacturing constraints.
Despite the miss, management **kept its second-half delivery target of about 50,000 vehicles** and maintained confidence in the Model 3 timetable. About 5,000 vehicles were still in transit at quarter-end, providing a concrete explanation for part of the delivery shortfall. With expectations already low, investors focused more on production acceleration and Model 3 readiness than on the reported loss.
### Verified release source
2016-08-03 | Tesla Investor Relations | Tesla Releases Second Quarter 2016 Financial Results | https://ir.tesla.com/press-release/tesla-releases-second-quarter-2016-financial-results
## Possible Drivers
**First-order driver.** The next-session gain reflected relief that Tesla maintained its delivery and Model 3 targets despite the earnings miss.
**Second-order driver.** A late-quarter production ramp suggested some of the Q2 delivery weakness was timing rather than demand.
**Third-order driver.** The market was increasingly valuing Tesla on Model 3 execution rather than current-quarter profitability.
### Verified reaction source
2016-08-03 | TechCrunch | Tesla misses Q2 earnings, delivers 14,402 vehicles | https://techcrunch.com/2016/08/03/tesla-misses-q2-earnings-delivers-14402-vehicles/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3" s="15" t="str">
        <x:v>2016-05-04 | Tesla Investor Relations | Tesla Releases First Quarter 2016 Financial Results | https://ir.tesla.com/press-release/tesla-releases-first-quarter-2016-financial-results</x:v>
      </x:c>
      <x:c r="O3" s="15" t="str">
        <x:v>2016-08-03 | Tesla Investor Relations | Tesla Releases Second Quarter 2016 Financial Results | https://ir.tesla.com/press-release/tesla-releases-second-quarter-2016-financial-results</x:v>
      </x:c>
      <x:c r="P3" s="15" t="str">
        <x:v>2016-08-03 | TechCrunch | Tesla misses Q2 earnings, delivers 14,402 vehicles | https://techcrunch.com/2016/08/03/tesla-misses-q2-earnings-delivers-14402-vehicles/</x:v>
      </x:c>
      <x:c r="Q3" s="15" t="str">
        <x:v>2016-05-04 | Tesla Investor Relations | Tesla Releases First Quarter 2016 Financial Results | https://ir.tesla.com/press-release/tesla-releases-first-quarter-2016-financial-results
2016-08-03 | Tesla Investor Relations | Tesla Releases Second Quarter 2016 Financial Results | https://ir.tesla.com/press-release/tesla-releases-second-quarter-2016-financial-results
2016-08-03 | TechCrunch | Tesla misses Q2 earnings, delivers 14,402 vehicles | https://techcrunch.com/2016/08/03/tesla-misses-q2-earnings-delivers-14402-vehicles/</x:v>
      </x:c>
      <x:c r="R3" s="15" t="n">
        <x:v>3</x:v>
      </x:c>
      <x:c r="S3" s="15" t="str">
        <x:v>PASS</x:v>
      </x:c>
    </x:row>
    <x:row r="4" ht="345" customHeight="1">
      <x:c r="A4" s="15" t="n">
        <x:v>2</x:v>
      </x:c>
      <x:c r="B4" s="15" t="str">
        <x:v>TSLA</x:v>
      </x:c>
      <x:c r="C4" s="15" t="str">
        <x:v>Tesla</x:v>
      </x:c>
      <x:c r="D4" s="15" t="str">
        <x:v>2016q4</x:v>
      </x:c>
      <x:c r="E4" s="15" t="str">
        <x:v>2016-10-26</x:v>
      </x:c>
      <x:c r="F4" s="18" t="n">
        <x:v>0.23</x:v>
      </x:c>
      <x:c r="G4" s="18" t="n">
        <x:v>1.27</x:v>
      </x:c>
      <x:c r="H4" s="18" t="n">
        <x:v>1.5</x:v>
      </x:c>
      <x:c r="I4" s="18" t="n">
        <x:v>1.74</x:v>
      </x:c>
      <x:c r="J4" s="18" t="n">
        <x:v>-1.18</x:v>
      </x:c>
      <x:c r="K4" s="15" t="str">
        <x:v>ret_1daypost_pct</x:v>
      </x:c>
      <x:c r="L4" s="15" t="str">
        <x:v>UP</x:v>
      </x:c>
      <x:c r="M4" s="15" t="str">
        <x:v>## Prior Context
Q3 followed a record delivery quarter and came just before Tesla's planned SolarCity acquisition vote. Investors wanted proof that higher volume could finally produce positive cash flow and profit rather than simply larger losses.
### Verified prior source
2016-08-03 | Tesla Investor Relations | Tesla Releases Second Quarter 2016 Financial Results | https://ir.tesla.com/press-release/tesla-releases-second-quarter-2016-financial-results
## Current Earnings Release
Tesla delivered a rare **GAAP profit** in Q3 and positive free cash flow while setting records for production, deliveries and revenue. Automotive gross margin improved materially, and management said the result was not driven by broad vehicle discounting.
The report was especially important because Tesla also said it expected **Q4 to remain profitable excluding stock-based compensation**, even with negligible ZEV-credit sales. That weakened the argument that Q3 profitability was only a one-quarter accounting or credit effect.
### Verified release source
2016-10-26 | Tesla Investor Relations | Tesla Releases Third Quarter 2016 Financial Results | https://ir.tesla.com/press-release/tesla-releases-third-quarter-2016-financial-results
## Possible Drivers
**First-order driver.** Shares rose because Tesla unexpectedly produced GAAP profit and positive free cash flow.
**Second-order driver.** Higher production and deliveries translated into better automotive gross margin.
**Third-order driver.** Management's Q4 profitability outlook made the improvement look more durable than a one-quarter anomaly.
### Verified reaction source
2016-10-26 | TechCrunch | Tesla says it actually posted a profit this quarter | https://techcrunch.com/2016/10/26/tesla-says-it-actually-posted-a-profit-this-quarter/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4" s="15" t="str">
        <x:v>2016-08-03 | Tesla Investor Relations | Tesla Releases Second Quarter 2016 Financial Results | https://ir.tesla.com/press-release/tesla-releases-second-quarter-2016-financial-results</x:v>
      </x:c>
      <x:c r="O4" s="15" t="str">
        <x:v>2016-10-26 | Tesla Investor Relations | Tesla Releases Third Quarter 2016 Financial Results | https://ir.tesla.com/press-release/tesla-releases-third-quarter-2016-financial-results</x:v>
      </x:c>
      <x:c r="P4" s="15" t="str">
        <x:v>2016-10-26 | TechCrunch | Tesla says it actually posted a profit this quarter | https://techcrunch.com/2016/10/26/tesla-says-it-actually-posted-a-profit-this-quarter/</x:v>
      </x:c>
      <x:c r="Q4" s="15" t="str">
        <x:v>2016-08-03 | Tesla Investor Relations | Tesla Releases Second Quarter 2016 Financial Results | https://ir.tesla.com/press-release/tesla-releases-second-quarter-2016-financial-results
2016-10-26 | Tesla Investor Relations | Tesla Releases Third Quarter 2016 Financial Results | https://ir.tesla.com/press-release/tesla-releases-third-quarter-2016-financial-results
2016-10-26 | TechCrunch | Tesla says it actually posted a profit this quarter | https://techcrunch.com/2016/10/26/tesla-says-it-actually-posted-a-profit-this-quarter/</x:v>
      </x:c>
      <x:c r="R4" s="15" t="n">
        <x:v>3</x:v>
      </x:c>
      <x:c r="S4" s="15" t="str">
        <x:v>PASS</x:v>
      </x:c>
    </x:row>
    <x:row r="5" ht="345" customHeight="1">
      <x:c r="A5" s="15" t="n">
        <x:v>3</x:v>
      </x:c>
      <x:c r="B5" s="15" t="str">
        <x:v>TSLA</x:v>
      </x:c>
      <x:c r="C5" s="15" t="str">
        <x:v>Tesla</x:v>
      </x:c>
      <x:c r="D5" s="15" t="str">
        <x:v>2017q1</x:v>
      </x:c>
      <x:c r="E5" s="15" t="str">
        <x:v>2017-02-22</x:v>
      </x:c>
      <x:c r="F5" s="18" t="n">
        <x:v>-1.22</x:v>
      </x:c>
      <x:c r="G5" s="18" t="n">
        <x:v>-6.31</x:v>
      </x:c>
      <x:c r="H5" s="18" t="n">
        <x:v>-7.46</x:v>
      </x:c>
      <x:c r="I5" s="18" t="n">
        <x:v>-6.25</x:v>
      </x:c>
      <x:c r="J5" s="18" t="n">
        <x:v>-10.05</x:v>
      </x:c>
      <x:c r="K5" s="15" t="str">
        <x:v>ret_1daypost_pct</x:v>
      </x:c>
      <x:c r="L5" s="15" t="str">
        <x:v>DOWN</x:v>
      </x:c>
      <x:c r="M5" s="15" t="str">
        <x:v>## Prior Context
Tesla had ended 2016 with strong Model S/X demand but production timing problems. The stock then rallied more than 50% into February as investors anticipated the Model 3 launch, leaving a very high expectations bar.
### Verified prior source
2017-01-03 | Tesla Investor Relations | Tesla Q4 2016 Production and Deliveries | https://ir.tesla.com/press-release/tesla-q4-2016-production-and-deliveries
## Current Earnings Release
Fourth-quarter revenue was about **$2.29 billion**, above consensus, while the adjusted loss of roughly **$0.69 per share** was wider than expected. Tesla said Model 3 production remained scheduled to begin in July and expected **$2.0–$2.5 billion of capital expenditure** before the launch.
The decisive issue was liquidity. Elon Musk said it would probably make sense to **raise additional capital to reduce risk**, even though Tesla had about $3.4 billion of cash. CFO Jason Wheeler also announced his departure. Shares initially rose after hours on the Model 3 update but reversed sharply during the next session as investors focused on cash burn and financing needs.
### Verified release source
2017-02-22 | Tesla Investor Relations | Tesla Releases Fourth Quarter and Full Year 2016 Financial Results | https://ir.tesla.com/press-release/tesla-releases-fourth-quarter-and-full-year-2016-financial
## Possible Drivers
**First-order driver.** The stock fell because Model 3 capex and cash burn made another capital raise increasingly likely.
**Second-order driver.** The adjusted loss was wider than expected despite a revenue beat.
**Third-order driver.** The CFO transition added uncertainty at the exact point when Tesla faced its largest manufacturing investment.
### Verified reaction source
2017-02-23 | TheStreet | Tesla's Q4 Report Provides Ammo for Both Bulls and Bears: What Wall Street's Saying | https://www.thestreet.com/investing/stocks/tesla-s-q4-report-provides-ammo-for-both-bulls-and-bears-what-wall-street-s-saying-14013474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5" s="15" t="str">
        <x:v>2017-01-03 | Tesla Investor Relations | Tesla Q4 2016 Production and Deliveries | https://ir.tesla.com/press-release/tesla-q4-2016-production-and-deliveries</x:v>
      </x:c>
      <x:c r="O5" s="15" t="str">
        <x:v>2017-02-22 | Tesla Investor Relations | Tesla Releases Fourth Quarter and Full Year 2016 Financial Results | https://ir.tesla.com/press-release/tesla-releases-fourth-quarter-and-full-year-2016-financial</x:v>
      </x:c>
      <x:c r="P5" s="15" t="str">
        <x:v>2017-02-23 | TheStreet | Tesla's Q4 Report Provides Ammo for Both Bulls and Bears: What Wall Street's Saying | https://www.thestreet.com/investing/stocks/tesla-s-q4-report-provides-ammo-for-both-bulls-and-bears-what-wall-street-s-saying-14013474</x:v>
      </x:c>
      <x:c r="Q5" s="15" t="str">
        <x:v>2017-01-03 | Tesla Investor Relations | Tesla Q4 2016 Production and Deliveries | https://ir.tesla.com/press-release/tesla-q4-2016-production-and-deliveries
2017-02-22 | Tesla Investor Relations | Tesla Releases Fourth Quarter and Full Year 2016 Financial Results | https://ir.tesla.com/press-release/tesla-releases-fourth-quarter-and-full-year-2016-financial
2017-02-23 | TheStreet | Tesla's Q4 Report Provides Ammo for Both Bulls and Bears: What Wall Street's Saying | https://www.thestreet.com/investing/stocks/tesla-s-q4-report-provides-ammo-for-both-bulls-and-bears-what-wall-street-s-saying-14013474</x:v>
      </x:c>
      <x:c r="R5" s="15" t="n">
        <x:v>3</x:v>
      </x:c>
      <x:c r="S5" s="15" t="str">
        <x:v>PASS</x:v>
      </x:c>
    </x:row>
    <x:row r="6" ht="345" customHeight="1">
      <x:c r="A6" s="15" t="n">
        <x:v>4</x:v>
      </x:c>
      <x:c r="B6" s="15" t="str">
        <x:v>TSLA</x:v>
      </x:c>
      <x:c r="C6" s="15" t="str">
        <x:v>Tesla</x:v>
      </x:c>
      <x:c r="D6" s="15" t="str">
        <x:v>2017q2</x:v>
      </x:c>
      <x:c r="E6" s="15" t="str">
        <x:v>2017-05-03</x:v>
      </x:c>
      <x:c r="F6" s="18" t="n">
        <x:v>-2.21</x:v>
      </x:c>
      <x:c r="G6" s="18" t="n">
        <x:v>-4.93</x:v>
      </x:c>
      <x:c r="H6" s="18" t="n">
        <x:v>-7.03</x:v>
      </x:c>
      <x:c r="I6" s="18" t="n">
        <x:v>-8.19</x:v>
      </x:c>
      <x:c r="J6" s="18" t="n">
        <x:v>-4.99</x:v>
      </x:c>
      <x:c r="K6" s="15" t="str">
        <x:v>ret_1daypost_pct</x:v>
      </x:c>
      <x:c r="L6" s="15" t="str">
        <x:v>DOWN</x:v>
      </x:c>
      <x:c r="M6" s="15" t="str">
        <x:v>## Prior Context
By May, Tesla shares had risen dramatically on Model 3 optimism. The valuation assumed a successful July launch and rapid scale-up, so even modest financial weakness could trigger a large reaction.
### Verified prior source
2017-02-22 | Tesla Investor Relations | Tesla Releases Fourth Quarter and Full Year 2016 Financial Results | https://ir.tesla.com/press-release/tesla-releases-fourth-quarter-and-full-year-2016-financial
## Current Earnings Release
Tesla reported record revenue of about **$2.7 billion**, but its adjusted loss of **$1.33 per share** was substantially wider than consensus near $0.83. The miss was driven largely by higher R&amp;D and SG&amp;A spending as Tesla prepared Model 3, expanded service infrastructure and integrated SolarCity.
Operationally, Tesla reaffirmed that **Model 3 production would begin in July**, ended the quarter with about **$4 billion of cash**, and expected more than $2 billion of capital expenditures ahead of launch. The core long-term plan remained intact, but the quarterly loss showed how expensive the transition would be.
### Verified release source
2017-05-03 | Tesla Investor Relations | Tesla Releases First Quarter 2017 Financial Results | https://ir.tesla.com/press-release/tesla-releases-first-quarter-2017-financial-results
## Possible Drivers
**First-order driver.** Shares fell because the loss was materially wider than expected.
**Second-order driver.** Higher R&amp;D and SG&amp;A spending showed the heavy cost of preparing Model 3 and scaling Tesla's infrastructure.
**Third-order driver.** A large pre-earnings stock rally made the valuation unusually sensitive to any earnings disappointment.
### Verified reaction source
2017-05-04 | The Motley Fool | Why Tesla, Inc. Is Down Today | https://www.fool.com/investing/2017/05/04/why-tesla-inc-is-down-today.aspx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6" s="15" t="str">
        <x:v>2017-02-22 | Tesla Investor Relations | Tesla Releases Fourth Quarter and Full Year 2016 Financial Results | https://ir.tesla.com/press-release/tesla-releases-fourth-quarter-and-full-year-2016-financial</x:v>
      </x:c>
      <x:c r="O6" s="15" t="str">
        <x:v>2017-05-03 | Tesla Investor Relations | Tesla Releases First Quarter 2017 Financial Results | https://ir.tesla.com/press-release/tesla-releases-first-quarter-2017-financial-results</x:v>
      </x:c>
      <x:c r="P6" s="15" t="str">
        <x:v>2017-05-04 | The Motley Fool | Why Tesla, Inc. Is Down Today | https://www.fool.com/investing/2017/05/04/why-tesla-inc-is-down-today.aspx</x:v>
      </x:c>
      <x:c r="Q6" s="15" t="str">
        <x:v>2017-02-22 | Tesla Investor Relations | Tesla Releases Fourth Quarter and Full Year 2016 Financial Results | https://ir.tesla.com/press-release/tesla-releases-fourth-quarter-and-full-year-2016-financial
2017-05-03 | Tesla Investor Relations | Tesla Releases First Quarter 2017 Financial Results | https://ir.tesla.com/press-release/tesla-releases-first-quarter-2017-financial-results
2017-05-04 | The Motley Fool | Why Tesla, Inc. Is Down Today | https://www.fool.com/investing/2017/05/04/why-tesla-inc-is-down-today.aspx</x:v>
      </x:c>
      <x:c r="R6" s="15" t="n">
        <x:v>3</x:v>
      </x:c>
      <x:c r="S6" s="15" t="str">
        <x:v>PASS</x:v>
      </x:c>
    </x:row>
    <x:row r="7" ht="345" customHeight="1">
      <x:c r="A7" s="15" t="n">
        <x:v>5</x:v>
      </x:c>
      <x:c r="B7" s="15" t="str">
        <x:v>TSLA</x:v>
      </x:c>
      <x:c r="C7" s="15" t="str">
        <x:v>Tesla</x:v>
      </x:c>
      <x:c r="D7" s="15" t="str">
        <x:v>2017q3</x:v>
      </x:c>
      <x:c r="E7" s="15" t="str">
        <x:v>2017-08-02</x:v>
      </x:c>
      <x:c r="F7" s="18" t="n">
        <x:v>2.08</x:v>
      </x:c>
      <x:c r="G7" s="18" t="n">
        <x:v>6.72</x:v>
      </x:c>
      <x:c r="H7" s="18" t="n">
        <x:v>8.94</x:v>
      </x:c>
      <x:c r="I7" s="18" t="n">
        <x:v>7.37</x:v>
      </x:c>
      <x:c r="J7" s="18" t="n">
        <x:v>9.5</x:v>
      </x:c>
      <x:c r="K7" s="15" t="str">
        <x:v>ret_1daypost_pct</x:v>
      </x:c>
      <x:c r="L7" s="15" t="str">
        <x:v>UP</x:v>
      </x:c>
      <x:c r="M7" s="15" t="str">
        <x:v>## Prior Context
Tesla had just delivered the first 30 Model 3s and entered what Musk called 'production hell.' Investors cared far more about the Model 3 ramp, reservation demand and liquidity than about near-term GAAP profit.
### Verified prior source
2017-05-03 | Tesla Investor Relations | Tesla Releases First Quarter 2017 Financial Results | https://ir.tesla.com/press-release/tesla-releases-first-quarter-2017-financial-results
## Current Earnings Release
Q2 revenue rose to about **$2.79 billion**, above consensus near $2.51 billion, while the adjusted loss of **$1.33 per share** was narrower than the roughly $1.83 loss expected. Tesla ended the quarter with slightly more than **$3 billion in cash** despite heavy capex.
The most important update was Model 3. Net reservations were about **455,000**, with roughly **1,800 new reservations per day**, and Tesla maintained a target of reaching **5,000 Model 3s per week by year-end**. Management also expected Model S/X second-half deliveries to exceed the first half. Investors treated those demand and production signals as more important than widening GAAP losses.
### Verified release source
2017-08-02 | Tesla Investor Relations | Tesla Releases Second Quarter 2017 Financial Results | https://ir.tesla.com/press-release/tesla-releases-second-quarter-2017-financial-results
## Possible Drivers
**First-order driver.** Shares surged because revenue and the adjusted loss were better than expected while Model 3 demand remained extremely strong.
**Second-order driver.** Tesla reaffirmed the 5,000-per-week Model 3 target, supporting confidence in the production ramp.
**Third-order driver.** Better-than-feared cash and capex trends reduced near-term financing anxiety.
### Verified reaction source
2017-08-03 | Fortune | Why Tesla Shares Are Rising Even As Its Losses Widen | https://fortune.com/2017/08/03/tesla-shares-rising/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7" s="15" t="str">
        <x:v>2017-05-03 | Tesla Investor Relations | Tesla Releases First Quarter 2017 Financial Results | https://ir.tesla.com/press-release/tesla-releases-first-quarter-2017-financial-results</x:v>
      </x:c>
      <x:c r="O7" s="15" t="str">
        <x:v>2017-08-02 | Tesla Investor Relations | Tesla Releases Second Quarter 2017 Financial Results | https://ir.tesla.com/press-release/tesla-releases-second-quarter-2017-financial-results</x:v>
      </x:c>
      <x:c r="P7" s="15" t="str">
        <x:v>2017-08-03 | Fortune | Why Tesla Shares Are Rising Even As Its Losses Widen | https://fortune.com/2017/08/03/tesla-shares-rising/</x:v>
      </x:c>
      <x:c r="Q7" s="15" t="str">
        <x:v>2017-05-03 | Tesla Investor Relations | Tesla Releases First Quarter 2017 Financial Results | https://ir.tesla.com/press-release/tesla-releases-first-quarter-2017-financial-results
2017-08-02 | Tesla Investor Relations | Tesla Releases Second Quarter 2017 Financial Results | https://ir.tesla.com/press-release/tesla-releases-second-quarter-2017-financial-results
2017-08-03 | Fortune | Why Tesla Shares Are Rising Even As Its Losses Widen | https://fortune.com/2017/08/03/tesla-shares-rising/</x:v>
      </x:c>
      <x:c r="R7" s="15" t="n">
        <x:v>3</x:v>
      </x:c>
      <x:c r="S7" s="15" t="str">
        <x:v>PASS</x:v>
      </x:c>
    </x:row>
    <x:row r="8" ht="345" customHeight="1">
      <x:c r="A8" s="15" t="n">
        <x:v>6</x:v>
      </x:c>
      <x:c r="B8" s="15" t="str">
        <x:v>TSLA</x:v>
      </x:c>
      <x:c r="C8" s="15" t="str">
        <x:v>Tesla</x:v>
      </x:c>
      <x:c r="D8" s="15" t="str">
        <x:v>2017q4</x:v>
      </x:c>
      <x:c r="E8" s="15" t="str">
        <x:v>2017-11-01</x:v>
      </x:c>
      <x:c r="F8" s="18" t="n">
        <x:v>-3.23</x:v>
      </x:c>
      <x:c r="G8" s="18" t="n">
        <x:v>-6.83</x:v>
      </x:c>
      <x:c r="H8" s="18" t="n">
        <x:v>-9.84</x:v>
      </x:c>
      <x:c r="I8" s="18" t="n">
        <x:v>-6.79</x:v>
      </x:c>
      <x:c r="J8" s="18" t="n">
        <x:v>-6.16</x:v>
      </x:c>
      <x:c r="K8" s="15" t="str">
        <x:v>ret_1daypost_pct</x:v>
      </x:c>
      <x:c r="L8" s="15" t="str">
        <x:v>DOWN</x:v>
      </x:c>
      <x:c r="M8" s="15" t="str">
        <x:v>## Prior Context
Q3 was the first quarter in which Model 3 production was supposed to become visible. Instead, Tesla had already disclosed only 220 Model 3 deliveries, so the earnings event became a direct test of whether the bottlenecks were temporary.
### Verified prior source
2017-08-02 | Tesla Investor Relations | Tesla Releases Second Quarter 2017 Financial Results | https://ir.tesla.com/press-release/tesla-releases-second-quarter-2017-financial-results
## Current Earnings Release
Tesla reported Q3 revenue of about **$2.98 billion**, slightly above consensus, but an adjusted loss of **$2.92 per share**, worse than the roughly $2.31 expected. Cash burn was heavy and automotive gross margin fell sharply as low-volume Model 3 production carried high initial costs.
The major negative was the production schedule. Tesla pushed its target of **5,000 Model 3s per week from year-end 2017 to late Q1 2018**, citing manufacturing bottlenecks. Model 3 production was only 260 units in the quarter. This converted the vague idea of 'production hell' into a measurable delay in the company's most important growth program.
### Verified release source
2017-11-01 | Tesla Investor Relations | Tesla Releases Third Quarter 2017 Financial Results | https://ir.tesla.com/press-release/tesla-releases-third-quarter-2017-financial-results
## Possible Drivers
**First-order driver.** The stock fell because Model 3's 5,000-per-week target was delayed by roughly three months.
**Second-order driver.** The adjusted loss was wider than expected and cash burn remained very high.
**Third-order driver.** Low-volume Model 3 production depressed automotive margin, linking execution problems directly to financial performance.
### Verified reaction source
2017-11-02 | The Motley Fool | Ouch! Why Tesla, Inc. Stock Got Slammed Thursday | https://www.fool.com/investing/2017/11/02/ouch-why-tesla-inc-stock-got-slammed-thursday.aspx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8" s="15" t="str">
        <x:v>2017-08-02 | Tesla Investor Relations | Tesla Releases Second Quarter 2017 Financial Results | https://ir.tesla.com/press-release/tesla-releases-second-quarter-2017-financial-results</x:v>
      </x:c>
      <x:c r="O8" s="15" t="str">
        <x:v>2017-11-01 | Tesla Investor Relations | Tesla Releases Third Quarter 2017 Financial Results | https://ir.tesla.com/press-release/tesla-releases-third-quarter-2017-financial-results</x:v>
      </x:c>
      <x:c r="P8" s="15" t="str">
        <x:v>2017-11-02 | The Motley Fool | Ouch! Why Tesla, Inc. Stock Got Slammed Thursday | https://www.fool.com/investing/2017/11/02/ouch-why-tesla-inc-stock-got-slammed-thursday.aspx</x:v>
      </x:c>
      <x:c r="Q8" s="15" t="str">
        <x:v>2017-08-02 | Tesla Investor Relations | Tesla Releases Second Quarter 2017 Financial Results | https://ir.tesla.com/press-release/tesla-releases-second-quarter-2017-financial-results
2017-11-01 | Tesla Investor Relations | Tesla Releases Third Quarter 2017 Financial Results | https://ir.tesla.com/press-release/tesla-releases-third-quarter-2017-financial-results
2017-11-02 | The Motley Fool | Ouch! Why Tesla, Inc. Stock Got Slammed Thursday | https://www.fool.com/investing/2017/11/02/ouch-why-tesla-inc-stock-got-slammed-thursday.aspx</x:v>
      </x:c>
      <x:c r="R8" s="15" t="n">
        <x:v>3</x:v>
      </x:c>
      <x:c r="S8" s="15" t="str">
        <x:v>PASS</x:v>
      </x:c>
    </x:row>
    <x:row r="9" ht="345" customHeight="1">
      <x:c r="A9" s="15" t="n">
        <x:v>7</x:v>
      </x:c>
      <x:c r="B9" s="15" t="str">
        <x:v>TSLA</x:v>
      </x:c>
      <x:c r="C9" s="15" t="str">
        <x:v>Tesla</x:v>
      </x:c>
      <x:c r="D9" s="15" t="str">
        <x:v>2018q1</x:v>
      </x:c>
      <x:c r="E9" s="15" t="str">
        <x:v>2018-02-07</x:v>
      </x:c>
      <x:c r="F9" s="18" t="n">
        <x:v>3.72</x:v>
      </x:c>
      <x:c r="G9" s="18" t="n">
        <x:v>-5.16</x:v>
      </x:c>
      <x:c r="H9" s="18" t="n">
        <x:v>-1.63</x:v>
      </x:c>
      <x:c r="I9" s="18" t="n">
        <x:v>-2.89</x:v>
      </x:c>
      <x:c r="J9" s="18" t="n">
        <x:v>-5.2</x:v>
      </x:c>
      <x:c r="K9" s="15" t="str">
        <x:v>ret_1daypost_pct</x:v>
      </x:c>
      <x:c r="L9" s="15" t="str">
        <x:v>DOWN</x:v>
      </x:c>
      <x:c r="M9" s="15" t="str">
        <x:v>## Prior Context
Tesla had reset Model 3 guidance in January to 2,500 units per week by the end of Q1 and 5,000 by the end of Q2. The quarter therefore tested whether manufacturing bottlenecks were finally easing without exhausting liquidity.
### Verified prior source
2017-11-01 | Tesla Investor Relations | Tesla Releases Third Quarter 2017 Financial Results | https://ir.tesla.com/press-release/tesla-releases-third-quarter-2017-financial-results
## Current Earnings Release
Tesla's adjusted Q4 loss was **narrower than expected**, and management reaffirmed the recently revised Model 3 production targets. Q4 Model S/X deliveries were strong, but Model 3 production remained far below the original 2017 plan.
The concern was cash economics. Tesla expected **Model 3 gross margin to remain negative in Q1**, while free cash flow was also expected to stay negative as production spending continued. The company needed to prove that rising Model 3 output would soon improve both unit margin and cash generation. The next-session decline shows investors were not fully reassured by unchanged production targets alone.
### Verified release source
2018-02-07 | Tesla Investor Relations | Tesla Releases Fourth Quarter and Full Year 2017 Financial Results | https://ir.tesla.com/press-release/tesla-releases-fourth-quarter-and-full-year-2017-financial
## Possible Drivers
**First-order driver.** Shares fell because cash burn and negative near-term Model 3 margin overshadowed the narrower-than-expected loss.
**Second-order driver.** Reaffirming production targets was positive but did not eliminate execution risk after repeated delays.
**Third-order driver.** Investors increasingly demanded evidence that Model 3 volume would convert into positive cash flow, not merely higher output.
### Verified reaction source
2018-02-08 | The Motley Fool | Why Tesla, Inc. Stock Fell Thursday | https://www.fool.com/investing/2018/02/08/why-tesla-inc-stock-fell-thursday.aspx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9" s="15" t="str">
        <x:v>2017-11-01 | Tesla Investor Relations | Tesla Releases Third Quarter 2017 Financial Results | https://ir.tesla.com/press-release/tesla-releases-third-quarter-2017-financial-results</x:v>
      </x:c>
      <x:c r="O9" s="15" t="str">
        <x:v>2018-02-07 | Tesla Investor Relations | Tesla Releases Fourth Quarter and Full Year 2017 Financial Results | https://ir.tesla.com/press-release/tesla-releases-fourth-quarter-and-full-year-2017-financial</x:v>
      </x:c>
      <x:c r="P9" s="15" t="str">
        <x:v>2018-02-08 | The Motley Fool | Why Tesla, Inc. Stock Fell Thursday | https://www.fool.com/investing/2018/02/08/why-tesla-inc-stock-fell-thursday.aspx</x:v>
      </x:c>
      <x:c r="Q9" s="15" t="str">
        <x:v>2017-11-01 | Tesla Investor Relations | Tesla Releases Third Quarter 2017 Financial Results | https://ir.tesla.com/press-release/tesla-releases-third-quarter-2017-financial-results
2018-02-07 | Tesla Investor Relations | Tesla Releases Fourth Quarter and Full Year 2017 Financial Results | https://ir.tesla.com/press-release/tesla-releases-fourth-quarter-and-full-year-2017-financial
2018-02-08 | The Motley Fool | Why Tesla, Inc. Stock Fell Thursday | https://www.fool.com/investing/2018/02/08/why-tesla-inc-stock-fell-thursday.aspx</x:v>
      </x:c>
      <x:c r="R9" s="15" t="n">
        <x:v>3</x:v>
      </x:c>
      <x:c r="S9" s="15" t="str">
        <x:v>PASS</x:v>
      </x:c>
    </x:row>
    <x:row r="10" ht="345" customHeight="1">
      <x:c r="A10" s="15" t="n">
        <x:v>8</x:v>
      </x:c>
      <x:c r="B10" s="15" t="str">
        <x:v>TSLA</x:v>
      </x:c>
      <x:c r="C10" s="15" t="str">
        <x:v>Tesla</x:v>
      </x:c>
      <x:c r="D10" s="15" t="str">
        <x:v>2018q2</x:v>
      </x:c>
      <x:c r="E10" s="15" t="str">
        <x:v>2018-05-02</x:v>
      </x:c>
      <x:c r="F10" s="18" t="n">
        <x:v>0.97</x:v>
      </x:c>
      <x:c r="G10" s="18" t="n">
        <x:v>-5.32</x:v>
      </x:c>
      <x:c r="H10" s="18" t="n">
        <x:v>-4.4</x:v>
      </x:c>
      <x:c r="I10" s="18" t="n">
        <x:v>-2.66</x:v>
      </x:c>
      <x:c r="J10" s="18" t="n">
        <x:v>1.97</x:v>
      </x:c>
      <x:c r="K10" s="15" t="str">
        <x:v>ret_1daypost_pct</x:v>
      </x:c>
      <x:c r="L10" s="15" t="str">
        <x:v>DOWN</x:v>
      </x:c>
      <x:c r="M10" s="15" t="str">
        <x:v>## Prior Context
Tesla entered Q1 under intense scrutiny over Model 3 production, liquidity and whether it would need to raise capital. Production had improved, but sustained 5,000-per-week output remained unproven.
### Verified prior source
2018-02-07 | Tesla Investor Relations | Tesla Releases Fourth Quarter and Full Year 2017 Financial Results | https://ir.tesla.com/press-release/tesla-releases-fourth-quarter-and-full-year-2017-financial
## Current Earnings Release
Tesla reported record quarterly revenue of about **$3.4 billion** and an adjusted loss of **$3.35 per share**, slightly better than consensus. However, the GAAP net loss reached a record roughly **$785 million**, cash fell to about **$2.7 billion**, and Model 3 gross margin was still slightly negative.
Tesla said it had sustained more than **2,000 Model 3s per week** for several weeks in April and still aimed for around 5,000 per week. The earnings call then became a major part of the market reaction: Elon Musk dismissed analysts' questions about capital requirements and reservations as 'boring' or 'bonehead,' creating additional uncertainty about governance and financing communication.
### Verified release source
2018-05-02 | Tesla Investor Relations | Tesla Releases First Quarter 2018 Financial Results | https://ir.tesla.com/press-release/tesla-releases-first-quarter-2018-financial-results
## Possible Drivers
**First-order driver.** The stock fell because record losses and Model 3's still-negative margin reinforced cash-burn concerns.
**Second-order driver.** Musk's combative treatment of analyst questions worsened the reaction by raising communication and governance concerns.
**Third-order driver.** Better-than-expected revenue and adjusted loss were insufficient because investors were focused on liquidity and production economics.
### Verified reaction source
2018-05-03 | The Motley Fool | Why Tesla Stock Was Slammed Today | https://www.fool.com/investing/2018/05/03/why-tesla-stock-was-slammed-today.aspx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10" s="15" t="str">
        <x:v>2018-02-07 | Tesla Investor Relations | Tesla Releases Fourth Quarter and Full Year 2017 Financial Results | https://ir.tesla.com/press-release/tesla-releases-fourth-quarter-and-full-year-2017-financial</x:v>
      </x:c>
      <x:c r="O10" s="15" t="str">
        <x:v>2018-05-02 | Tesla Investor Relations | Tesla Releases First Quarter 2018 Financial Results | https://ir.tesla.com/press-release/tesla-releases-first-quarter-2018-financial-results</x:v>
      </x:c>
      <x:c r="P10" s="15" t="str">
        <x:v>2018-05-03 | The Motley Fool | Why Tesla Stock Was Slammed Today | https://www.fool.com/investing/2018/05/03/why-tesla-stock-was-slammed-today.aspx</x:v>
      </x:c>
      <x:c r="Q10" s="15" t="str">
        <x:v>2018-02-07 | Tesla Investor Relations | Tesla Releases Fourth Quarter and Full Year 2017 Financial Results | https://ir.tesla.com/press-release/tesla-releases-fourth-quarter-and-full-year-2017-financial
2018-05-02 | Tesla Investor Relations | Tesla Releases First Quarter 2018 Financial Results | https://ir.tesla.com/press-release/tesla-releases-first-quarter-2018-financial-results
2018-05-03 | The Motley Fool | Why Tesla Stock Was Slammed Today | https://www.fool.com/investing/2018/05/03/why-tesla-stock-was-slammed-today.aspx</x:v>
      </x:c>
      <x:c r="R10" s="15" t="n">
        <x:v>3</x:v>
      </x:c>
      <x:c r="S10" s="15" t="str">
        <x:v>PASS</x:v>
      </x:c>
    </x:row>
    <x:row r="11" ht="345" customHeight="1">
      <x:c r="A11" s="15" t="n">
        <x:v>9</x:v>
      </x:c>
      <x:c r="B11" s="15" t="str">
        <x:v>TSLA</x:v>
      </x:c>
      <x:c r="C11" s="15" t="str">
        <x:v>Tesla</x:v>
      </x:c>
      <x:c r="D11" s="15" t="str">
        <x:v>2018q3</x:v>
      </x:c>
      <x:c r="E11" s="15" t="str">
        <x:v>2018-08-01</x:v>
      </x:c>
      <x:c r="F11" s="18" t="n">
        <x:v>1.04</x:v>
      </x:c>
      <x:c r="G11" s="18" t="n">
        <x:v>15.64</x:v>
      </x:c>
      <x:c r="H11" s="18" t="n">
        <x:v>16.83</x:v>
      </x:c>
      <x:c r="I11" s="18" t="n">
        <x:v>19.4</x:v>
      </x:c>
      <x:c r="J11" s="18" t="n">
        <x:v>15.98</x:v>
      </x:c>
      <x:c r="K11" s="15" t="str">
        <x:v>ret_1daypost_pct</x:v>
      </x:c>
      <x:c r="L11" s="15" t="str">
        <x:v>UP</x:v>
      </x:c>
      <x:c r="M11" s="15" t="str">
        <x:v>## Prior Context
By Q2, Tesla had finally reached roughly 5,000 Model 3s in the final week of June. Investors now needed evidence that this production milestone could produce positive gross margin and cash flow rather than simply accelerate losses.
### Verified prior source
2018-05-02 | Tesla Investor Relations | Tesla Releases First Quarter 2018 Financial Results | https://ir.tesla.com/press-release/tesla-releases-first-quarter-2018-financial-results
## Current Earnings Release
Q2 revenue rose **43% to about $4.0 billion**, above consensus, while the adjusted loss of **$3.06 per share** was slightly wider than expected but improved sequentially. Free-cash-flow burn of roughly **$740 million** was better than feared, and Tesla ended the quarter with about **$2.2 billion in cash**.
The forward outlook drove the reaction. Tesla said it expected to be **GAAP profitable and cash-flow positive in Q3 and Q4**, excluding certain debt repayments, and said Model 3 gross margin should improve significantly as production stabilized. Management also reduced planned capital spending. Musk apologized for his behavior on the prior call, removing one nonfinancial overhang.
### Verified release source
2018-08-01 | Tesla Investor Relations | Tesla Releases Second Quarter 2018 Financial Results | https://ir.tesla.com/press-release/tesla-releases-second-quarter-2018-financial-results
## Possible Drivers
**First-order driver.** Shares surged because lower-than-feared cash burn and a Q3/Q4 profit-and-cash-flow outlook changed the financing narrative.
**Second-order driver.** Stable Model 3 production near 5,000 per week made positive unit economics more credible.
**Third-order driver.** Lower capex plans and Musk's apology reduced both liquidity and governance concerns.
### Verified reaction source
2018-08-02 | The Motley Fool | Why Tesla, Inc. Stock Has Jumped Thursday | https://www.fool.com/investing/2018/08/02/why-tesla-inc-stock-jumped-thursday.aspx
## Verification Status
All included pages were opened and checked for Tesla/TSLA identity, the correct earnings event, publication date, timing window and source origin. Tesla Investor Relations is the factual anchor. No WSJ, Reuters, Dow Jones or MarketWatch-syndicated article is included.
</x:v>
      </x:c>
      <x:c r="N11" s="15" t="str">
        <x:v>2018-05-02 | Tesla Investor Relations | Tesla Releases First Quarter 2018 Financial Results | https://ir.tesla.com/press-release/tesla-releases-first-quarter-2018-financial-results</x:v>
      </x:c>
      <x:c r="O11" s="15" t="str">
        <x:v>2018-08-01 | Tesla Investor Relations | Tesla Releases Second Quarter 2018 Financial Results | https://ir.tesla.com/press-release/tesla-releases-second-quarter-2018-financial-results</x:v>
      </x:c>
      <x:c r="P11" s="15" t="str">
        <x:v>2018-08-02 | The Motley Fool | Why Tesla, Inc. Stock Has Jumped Thursday | https://www.fool.com/investing/2018/08/02/why-tesla-inc-stock-jumped-thursday.aspx</x:v>
      </x:c>
      <x:c r="Q11" s="15" t="str">
        <x:v>2018-05-02 | Tesla Investor Relations | Tesla Releases First Quarter 2018 Financial Results | https://ir.tesla.com/press-release/tesla-releases-first-quarter-2018-financial-results
2018-08-01 | Tesla Investor Relations | Tesla Releases Second Quarter 2018 Financial Results | https://ir.tesla.com/press-release/tesla-releases-second-quarter-2018-financial-results
2018-08-02 | The Motley Fool | Why Tesla, Inc. Stock Has Jumped Thursday | https://www.fool.com/investing/2018/08/02/why-tesla-inc-stock-jumped-thursday.aspx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8"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2016-05-04</x:v>
      </x:c>
      <x:c r="B2" s="12" t="str">
        <x:v>TSLA</x:v>
      </x:c>
      <x:c r="C2" s="12" t="str">
        <x:v>prior</x:v>
      </x:c>
      <x:c r="D2" s="12" t="str">
        <x:v>2016-02-10</x:v>
      </x:c>
      <x:c r="E2" s="12" t="n">
        <x:v>-84</x:v>
      </x:c>
      <x:c r="F2" s="12" t="str">
        <x:v>Tesla Investor Relations</x:v>
      </x:c>
      <x:c r="G2" s="12" t="str">
        <x:v>Tesla Releases Fourth Quarter and Full Year 2015 Financial Results</x:v>
      </x:c>
      <x:c r="H2" s="12" t="str">
        <x:v>https://ir.tesla.com/press-release/tesla-releases-fourth-quarter-and-full-year-2015-financial</x:v>
      </x:c>
      <x:c r="I2" s="12" t="str">
        <x:v>OPENED_OK</x:v>
      </x:c>
      <x:c r="J2" s="12" t="str">
        <x:v>PASS</x:v>
      </x:c>
      <x:c r="K2" s="12" t="str">
        <x:v>PASS</x:v>
      </x:c>
      <x:c r="L2" s="12" t="str">
        <x:v>PASS</x:v>
      </x:c>
      <x:c r="M2" s="12" t="str">
        <x:v>NO</x:v>
      </x:c>
      <x:c r="N2" s="12" t="str">
        <x:v>PASS</x:v>
      </x:c>
      <x:c r="O2" s="12" t="str">
        <x:v>FACTUAL</x:v>
      </x:c>
      <x:c r="P2" s="12" t="str">
        <x:v>PASS</x:v>
      </x:c>
      <x:c r="Q2" s="12" t="str">
        <x:v>Opened and checked for Tesla/TSLA identity, event/date, timing and source origin.</x:v>
      </x:c>
    </x:row>
    <x:row r="3">
      <x:c r="A3" s="12" t="str">
        <x:v>2016-05-04</x:v>
      </x:c>
      <x:c r="B3" s="12" t="str">
        <x:v>TSLA</x:v>
      </x:c>
      <x:c r="C3" s="12" t="str">
        <x:v>release</x:v>
      </x:c>
      <x:c r="D3" s="12" t="str">
        <x:v>2016-05-04</x:v>
      </x:c>
      <x:c r="E3" s="12" t="n">
        <x:v>0</x:v>
      </x:c>
      <x:c r="F3" s="12" t="str">
        <x:v>Tesla Investor Relations</x:v>
      </x:c>
      <x:c r="G3" s="12" t="str">
        <x:v>Tesla Releases First Quarter 2016 Financial Results</x:v>
      </x:c>
      <x:c r="H3" s="12" t="str">
        <x:v>https://ir.tesla.com/press-release/tesla-releases-first-quarter-2016-financial-results</x:v>
      </x:c>
      <x:c r="I3" s="12" t="str">
        <x:v>OPENED_OK</x:v>
      </x:c>
      <x:c r="J3" s="12" t="str">
        <x:v>PASS</x:v>
      </x:c>
      <x:c r="K3" s="12" t="str">
        <x:v>PASS</x:v>
      </x:c>
      <x:c r="L3" s="12" t="str">
        <x:v>PASS</x:v>
      </x:c>
      <x:c r="M3" s="12" t="str">
        <x:v>NO</x:v>
      </x:c>
      <x:c r="N3" s="12" t="str">
        <x:v>PASS</x:v>
      </x:c>
      <x:c r="O3" s="12" t="str">
        <x:v>FACTUAL</x:v>
      </x:c>
      <x:c r="P3" s="12" t="str">
        <x:v>PASS</x:v>
      </x:c>
      <x:c r="Q3" s="12" t="str">
        <x:v>Opened and checked for Tesla/TSLA identity, event/date, timing and source origin.</x:v>
      </x:c>
    </x:row>
    <x:row r="4">
      <x:c r="A4" s="12" t="str">
        <x:v>2016-05-04</x:v>
      </x:c>
      <x:c r="B4" s="12" t="str">
        <x:v>TSLA</x:v>
      </x:c>
      <x:c r="C4" s="12" t="str">
        <x:v>reaction</x:v>
      </x:c>
      <x:c r="D4" s="12" t="str">
        <x:v>2016-05-05</x:v>
      </x:c>
      <x:c r="E4" s="12" t="n">
        <x:v>1</x:v>
      </x:c>
      <x:c r="F4" s="12" t="str">
        <x:v>The Motley Fool</x:v>
      </x:c>
      <x:c r="G4" s="12" t="str">
        <x:v>Tesla Downshifts and Fitbit Inc. Slumps on a Flat Day for Stocks</x:v>
      </x:c>
      <x:c r="H4" s="12" t="str">
        <x:v>https://www.fool.com/investing/general/2016/05/05/tesla-downshifts-and-fitbit-inc-slumps-on-a-flat-d.aspx</x:v>
      </x:c>
      <x:c r="I4" s="12" t="str">
        <x:v>OPENED_OK</x:v>
      </x:c>
      <x:c r="J4" s="12" t="str">
        <x:v>PASS</x:v>
      </x:c>
      <x:c r="K4" s="12" t="str">
        <x:v>PASS</x:v>
      </x:c>
      <x:c r="L4" s="12" t="str">
        <x:v>PASS</x:v>
      </x:c>
      <x:c r="M4" s="12" t="str">
        <x:v>NO</x:v>
      </x:c>
      <x:c r="N4" s="12" t="str">
        <x:v>PASS</x:v>
      </x:c>
      <x:c r="O4" s="12" t="str">
        <x:v>CONTEMPORANEOUS_ATTRIBUTION</x:v>
      </x:c>
      <x:c r="P4" s="12" t="str">
        <x:v>PASS</x:v>
      </x:c>
      <x:c r="Q4" s="12" t="str">
        <x:v>Opened and checked for Tesla/TSLA identity, event/date, timing and source origin.</x:v>
      </x:c>
    </x:row>
    <x:row r="5">
      <x:c r="A5" s="12" t="str">
        <x:v>2016-08-03</x:v>
      </x:c>
      <x:c r="B5" s="12" t="str">
        <x:v>TSLA</x:v>
      </x:c>
      <x:c r="C5" s="12" t="str">
        <x:v>prior</x:v>
      </x:c>
      <x:c r="D5" s="12" t="str">
        <x:v>2016-05-04</x:v>
      </x:c>
      <x:c r="E5" s="12" t="n">
        <x:v>-91</x:v>
      </x:c>
      <x:c r="F5" s="12" t="str">
        <x:v>Tesla Investor Relations</x:v>
      </x:c>
      <x:c r="G5" s="12" t="str">
        <x:v>Tesla Releases First Quarter 2016 Financial Results</x:v>
      </x:c>
      <x:c r="H5" s="12" t="str">
        <x:v>https://ir.tesla.com/press-release/tesla-releases-first-quarter-2016-financial-results</x:v>
      </x:c>
      <x:c r="I5" s="12" t="str">
        <x:v>OPENED_OK</x:v>
      </x:c>
      <x:c r="J5" s="12" t="str">
        <x:v>PASS</x:v>
      </x:c>
      <x:c r="K5" s="12" t="str">
        <x:v>PASS</x:v>
      </x:c>
      <x:c r="L5" s="12" t="str">
        <x:v>PASS</x:v>
      </x:c>
      <x:c r="M5" s="12" t="str">
        <x:v>NO</x:v>
      </x:c>
      <x:c r="N5" s="12" t="str">
        <x:v>PASS</x:v>
      </x:c>
      <x:c r="O5" s="12" t="str">
        <x:v>FACTUAL</x:v>
      </x:c>
      <x:c r="P5" s="12" t="str">
        <x:v>PASS</x:v>
      </x:c>
      <x:c r="Q5" s="12" t="str">
        <x:v>Opened and checked for Tesla/TSLA identity, event/date, timing and source origin.</x:v>
      </x:c>
    </x:row>
    <x:row r="6">
      <x:c r="A6" s="12" t="str">
        <x:v>2016-08-03</x:v>
      </x:c>
      <x:c r="B6" s="12" t="str">
        <x:v>TSLA</x:v>
      </x:c>
      <x:c r="C6" s="12" t="str">
        <x:v>release</x:v>
      </x:c>
      <x:c r="D6" s="12" t="str">
        <x:v>2016-08-03</x:v>
      </x:c>
      <x:c r="E6" s="12" t="n">
        <x:v>0</x:v>
      </x:c>
      <x:c r="F6" s="12" t="str">
        <x:v>Tesla Investor Relations</x:v>
      </x:c>
      <x:c r="G6" s="12" t="str">
        <x:v>Tesla Releases Second Quarter 2016 Financial Results</x:v>
      </x:c>
      <x:c r="H6" s="12" t="str">
        <x:v>https://ir.tesla.com/press-release/tesla-releases-second-quarter-2016-financial-results</x:v>
      </x:c>
      <x:c r="I6" s="12" t="str">
        <x:v>OPENED_OK</x:v>
      </x:c>
      <x:c r="J6" s="12" t="str">
        <x:v>PASS</x:v>
      </x:c>
      <x:c r="K6" s="12" t="str">
        <x:v>PASS</x:v>
      </x:c>
      <x:c r="L6" s="12" t="str">
        <x:v>PASS</x:v>
      </x:c>
      <x:c r="M6" s="12" t="str">
        <x:v>NO</x:v>
      </x:c>
      <x:c r="N6" s="12" t="str">
        <x:v>PASS</x:v>
      </x:c>
      <x:c r="O6" s="12" t="str">
        <x:v>FACTUAL</x:v>
      </x:c>
      <x:c r="P6" s="12" t="str">
        <x:v>PASS</x:v>
      </x:c>
      <x:c r="Q6" s="12" t="str">
        <x:v>Opened and checked for Tesla/TSLA identity, event/date, timing and source origin. Tesla IR page header renders Aug. 2, but the release body and webcast date explicitly state Aug. 3, 2016; event date therefore recorded as Aug. 3.</x:v>
      </x:c>
    </x:row>
    <x:row r="7">
      <x:c r="A7" s="12" t="str">
        <x:v>2016-08-03</x:v>
      </x:c>
      <x:c r="B7" s="12" t="str">
        <x:v>TSLA</x:v>
      </x:c>
      <x:c r="C7" s="12" t="str">
        <x:v>reaction</x:v>
      </x:c>
      <x:c r="D7" s="12" t="str">
        <x:v>2016-08-03</x:v>
      </x:c>
      <x:c r="E7" s="12" t="n">
        <x:v>0</x:v>
      </x:c>
      <x:c r="F7" s="12" t="str">
        <x:v>TechCrunch</x:v>
      </x:c>
      <x:c r="G7" s="12" t="str">
        <x:v>Tesla misses Q2 earnings, delivers 14,402 vehicles</x:v>
      </x:c>
      <x:c r="H7" s="12" t="str">
        <x:v>https://techcrunch.com/2016/08/03/tesla-misses-q2-earnings-delivers-14402-vehicles/</x:v>
      </x:c>
      <x:c r="I7" s="12" t="str">
        <x:v>OPENED_OK</x:v>
      </x:c>
      <x:c r="J7" s="12" t="str">
        <x:v>PASS</x:v>
      </x:c>
      <x:c r="K7" s="12" t="str">
        <x:v>PASS</x:v>
      </x:c>
      <x:c r="L7" s="12" t="str">
        <x:v>PASS</x:v>
      </x:c>
      <x:c r="M7" s="12" t="str">
        <x:v>NO</x:v>
      </x:c>
      <x:c r="N7" s="12" t="str">
        <x:v>PASS</x:v>
      </x:c>
      <x:c r="O7" s="12" t="str">
        <x:v>CONTEMPORANEOUS_ATTRIBUTION</x:v>
      </x:c>
      <x:c r="P7" s="12" t="str">
        <x:v>PASS</x:v>
      </x:c>
      <x:c r="Q7" s="12" t="str">
        <x:v>Opened and checked for Tesla/TSLA identity, event/date, timing and source origin.</x:v>
      </x:c>
    </x:row>
    <x:row r="8">
      <x:c r="A8" s="12" t="str">
        <x:v>2016-10-26</x:v>
      </x:c>
      <x:c r="B8" s="12" t="str">
        <x:v>TSLA</x:v>
      </x:c>
      <x:c r="C8" s="12" t="str">
        <x:v>prior</x:v>
      </x:c>
      <x:c r="D8" s="12" t="str">
        <x:v>2016-08-03</x:v>
      </x:c>
      <x:c r="E8" s="12" t="n">
        <x:v>-84</x:v>
      </x:c>
      <x:c r="F8" s="12" t="str">
        <x:v>Tesla Investor Relations</x:v>
      </x:c>
      <x:c r="G8" s="12" t="str">
        <x:v>Tesla Releases Second Quarter 2016 Financial Results</x:v>
      </x:c>
      <x:c r="H8" s="12" t="str">
        <x:v>https://ir.tesla.com/press-release/tesla-releases-second-quarter-2016-financial-results</x:v>
      </x:c>
      <x:c r="I8" s="12" t="str">
        <x:v>OPENED_OK</x:v>
      </x:c>
      <x:c r="J8" s="12" t="str">
        <x:v>PASS</x:v>
      </x:c>
      <x:c r="K8" s="12" t="str">
        <x:v>PASS</x:v>
      </x:c>
      <x:c r="L8" s="12" t="str">
        <x:v>PASS</x:v>
      </x:c>
      <x:c r="M8" s="12" t="str">
        <x:v>NO</x:v>
      </x:c>
      <x:c r="N8" s="12" t="str">
        <x:v>PASS</x:v>
      </x:c>
      <x:c r="O8" s="12" t="str">
        <x:v>FACTUAL</x:v>
      </x:c>
      <x:c r="P8" s="12" t="str">
        <x:v>PASS</x:v>
      </x:c>
      <x:c r="Q8" s="12" t="str">
        <x:v>Opened and checked for Tesla/TSLA identity, event/date, timing and source origin.</x:v>
      </x:c>
    </x:row>
    <x:row r="9">
      <x:c r="A9" s="12" t="str">
        <x:v>2016-10-26</x:v>
      </x:c>
      <x:c r="B9" s="12" t="str">
        <x:v>TSLA</x:v>
      </x:c>
      <x:c r="C9" s="12" t="str">
        <x:v>release</x:v>
      </x:c>
      <x:c r="D9" s="12" t="str">
        <x:v>2016-10-26</x:v>
      </x:c>
      <x:c r="E9" s="12" t="n">
        <x:v>0</x:v>
      </x:c>
      <x:c r="F9" s="12" t="str">
        <x:v>Tesla Investor Relations</x:v>
      </x:c>
      <x:c r="G9" s="12" t="str">
        <x:v>Tesla Releases Third Quarter 2016 Financial Results</x:v>
      </x:c>
      <x:c r="H9" s="12" t="str">
        <x:v>https://ir.tesla.com/press-release/tesla-releases-third-quarter-2016-financial-results</x:v>
      </x:c>
      <x:c r="I9" s="12" t="str">
        <x:v>OPENED_OK</x:v>
      </x:c>
      <x:c r="J9" s="12" t="str">
        <x:v>PASS</x:v>
      </x:c>
      <x:c r="K9" s="12" t="str">
        <x:v>PASS</x:v>
      </x:c>
      <x:c r="L9" s="12" t="str">
        <x:v>PASS</x:v>
      </x:c>
      <x:c r="M9" s="12" t="str">
        <x:v>NO</x:v>
      </x:c>
      <x:c r="N9" s="12" t="str">
        <x:v>PASS</x:v>
      </x:c>
      <x:c r="O9" s="12" t="str">
        <x:v>FACTUAL</x:v>
      </x:c>
      <x:c r="P9" s="12" t="str">
        <x:v>PASS</x:v>
      </x:c>
      <x:c r="Q9" s="12" t="str">
        <x:v>Opened and checked for Tesla/TSLA identity, event/date, timing and source origin.</x:v>
      </x:c>
    </x:row>
    <x:row r="10">
      <x:c r="A10" s="12" t="str">
        <x:v>2016-10-26</x:v>
      </x:c>
      <x:c r="B10" s="12" t="str">
        <x:v>TSLA</x:v>
      </x:c>
      <x:c r="C10" s="12" t="str">
        <x:v>reaction</x:v>
      </x:c>
      <x:c r="D10" s="12" t="str">
        <x:v>2016-10-26</x:v>
      </x:c>
      <x:c r="E10" s="12" t="n">
        <x:v>0</x:v>
      </x:c>
      <x:c r="F10" s="12" t="str">
        <x:v>TechCrunch</x:v>
      </x:c>
      <x:c r="G10" s="12" t="str">
        <x:v>Tesla says it actually posted a profit this quarter</x:v>
      </x:c>
      <x:c r="H10" s="12" t="str">
        <x:v>https://techcrunch.com/2016/10/26/tesla-says-it-actually-posted-a-profit-this-quarter/</x:v>
      </x:c>
      <x:c r="I10" s="12" t="str">
        <x:v>OPENED_OK</x:v>
      </x:c>
      <x:c r="J10" s="12" t="str">
        <x:v>PASS</x:v>
      </x:c>
      <x:c r="K10" s="12" t="str">
        <x:v>PASS</x:v>
      </x:c>
      <x:c r="L10" s="12" t="str">
        <x:v>PASS</x:v>
      </x:c>
      <x:c r="M10" s="12" t="str">
        <x:v>NO</x:v>
      </x:c>
      <x:c r="N10" s="12" t="str">
        <x:v>PASS</x:v>
      </x:c>
      <x:c r="O10" s="12" t="str">
        <x:v>CONTEMPORANEOUS_ATTRIBUTION</x:v>
      </x:c>
      <x:c r="P10" s="12" t="str">
        <x:v>PASS</x:v>
      </x:c>
      <x:c r="Q10" s="12" t="str">
        <x:v>Opened and checked for Tesla/TSLA identity, event/date, timing and source origin.</x:v>
      </x:c>
    </x:row>
    <x:row r="11">
      <x:c r="A11" s="12" t="str">
        <x:v>2017-02-22</x:v>
      </x:c>
      <x:c r="B11" s="12" t="str">
        <x:v>TSLA</x:v>
      </x:c>
      <x:c r="C11" s="12" t="str">
        <x:v>prior</x:v>
      </x:c>
      <x:c r="D11" s="12" t="str">
        <x:v>2017-01-03</x:v>
      </x:c>
      <x:c r="E11" s="12" t="n">
        <x:v>-50</x:v>
      </x:c>
      <x:c r="F11" s="12" t="str">
        <x:v>Tesla Investor Relations</x:v>
      </x:c>
      <x:c r="G11" s="12" t="str">
        <x:v>Tesla Q4 2016 Production and Deliveries</x:v>
      </x:c>
      <x:c r="H11" s="12" t="str">
        <x:v>https://ir.tesla.com/press-release/tesla-q4-2016-production-and-deliveries</x:v>
      </x:c>
      <x:c r="I11" s="12" t="str">
        <x:v>OPENED_OK</x:v>
      </x:c>
      <x:c r="J11" s="12" t="str">
        <x:v>PASS</x:v>
      </x:c>
      <x:c r="K11" s="12" t="str">
        <x:v>PASS</x:v>
      </x:c>
      <x:c r="L11" s="12" t="str">
        <x:v>PASS</x:v>
      </x:c>
      <x:c r="M11" s="12" t="str">
        <x:v>NO</x:v>
      </x:c>
      <x:c r="N11" s="12" t="str">
        <x:v>PASS</x:v>
      </x:c>
      <x:c r="O11" s="12" t="str">
        <x:v>FACTUAL</x:v>
      </x:c>
      <x:c r="P11" s="12" t="str">
        <x:v>PASS</x:v>
      </x:c>
      <x:c r="Q11" s="12" t="str">
        <x:v>Opened and checked for Tesla/TSLA identity, event/date, timing and source origin.</x:v>
      </x:c>
    </x:row>
    <x:row r="12">
      <x:c r="A12" s="12" t="str">
        <x:v>2017-02-22</x:v>
      </x:c>
      <x:c r="B12" s="12" t="str">
        <x:v>TSLA</x:v>
      </x:c>
      <x:c r="C12" s="12" t="str">
        <x:v>release</x:v>
      </x:c>
      <x:c r="D12" s="12" t="str">
        <x:v>2017-02-22</x:v>
      </x:c>
      <x:c r="E12" s="12" t="n">
        <x:v>0</x:v>
      </x:c>
      <x:c r="F12" s="12" t="str">
        <x:v>Tesla Investor Relations</x:v>
      </x:c>
      <x:c r="G12" s="12" t="str">
        <x:v>Tesla Releases Fourth Quarter and Full Year 2016 Financial Results</x:v>
      </x:c>
      <x:c r="H12" s="12" t="str">
        <x:v>https://ir.tesla.com/press-release/tesla-releases-fourth-quarter-and-full-year-2016-financial</x:v>
      </x:c>
      <x:c r="I12" s="12" t="str">
        <x:v>OPENED_OK</x:v>
      </x:c>
      <x:c r="J12" s="12" t="str">
        <x:v>PASS</x:v>
      </x:c>
      <x:c r="K12" s="12" t="str">
        <x:v>PASS</x:v>
      </x:c>
      <x:c r="L12" s="12" t="str">
        <x:v>PASS</x:v>
      </x:c>
      <x:c r="M12" s="12" t="str">
        <x:v>NO</x:v>
      </x:c>
      <x:c r="N12" s="12" t="str">
        <x:v>PASS</x:v>
      </x:c>
      <x:c r="O12" s="12" t="str">
        <x:v>FACTUAL</x:v>
      </x:c>
      <x:c r="P12" s="12" t="str">
        <x:v>PASS</x:v>
      </x:c>
      <x:c r="Q12" s="12" t="str">
        <x:v>Opened and checked for Tesla/TSLA identity, event/date, timing and source origin.</x:v>
      </x:c>
    </x:row>
    <x:row r="13">
      <x:c r="A13" s="12" t="str">
        <x:v>2017-02-22</x:v>
      </x:c>
      <x:c r="B13" s="12" t="str">
        <x:v>TSLA</x:v>
      </x:c>
      <x:c r="C13" s="12" t="str">
        <x:v>reaction</x:v>
      </x:c>
      <x:c r="D13" s="12" t="str">
        <x:v>2017-02-23</x:v>
      </x:c>
      <x:c r="E13" s="12" t="n">
        <x:v>1</x:v>
      </x:c>
      <x:c r="F13" s="12" t="str">
        <x:v>TheStreet</x:v>
      </x:c>
      <x:c r="G13" s="12" t="str">
        <x:v>Tesla's Q4 Report Provides Ammo for Both Bulls and Bears: What Wall Street's Saying</x:v>
      </x:c>
      <x:c r="H13" s="12" t="str">
        <x:v>https://www.thestreet.com/investing/stocks/tesla-s-q4-report-provides-ammo-for-both-bulls-and-bears-what-wall-street-s-saying-14013474</x:v>
      </x:c>
      <x:c r="I13" s="12" t="str">
        <x:v>OPENED_OK</x:v>
      </x:c>
      <x:c r="J13" s="12" t="str">
        <x:v>PASS</x:v>
      </x:c>
      <x:c r="K13" s="12" t="str">
        <x:v>PASS</x:v>
      </x:c>
      <x:c r="L13" s="12" t="str">
        <x:v>PASS</x:v>
      </x:c>
      <x:c r="M13" s="12" t="str">
        <x:v>NO</x:v>
      </x:c>
      <x:c r="N13" s="12" t="str">
        <x:v>PASS</x:v>
      </x:c>
      <x:c r="O13" s="12" t="str">
        <x:v>CONTEMPORANEOUS_ATTRIBUTION</x:v>
      </x:c>
      <x:c r="P13" s="12" t="str">
        <x:v>PASS</x:v>
      </x:c>
      <x:c r="Q13" s="12" t="str">
        <x:v>Opened and checked for Tesla/TSLA identity, event/date, timing and source origin.</x:v>
      </x:c>
    </x:row>
    <x:row r="14">
      <x:c r="A14" s="12" t="str">
        <x:v>2017-05-03</x:v>
      </x:c>
      <x:c r="B14" s="12" t="str">
        <x:v>TSLA</x:v>
      </x:c>
      <x:c r="C14" s="12" t="str">
        <x:v>prior</x:v>
      </x:c>
      <x:c r="D14" s="12" t="str">
        <x:v>2017-02-22</x:v>
      </x:c>
      <x:c r="E14" s="12" t="n">
        <x:v>-70</x:v>
      </x:c>
      <x:c r="F14" s="12" t="str">
        <x:v>Tesla Investor Relations</x:v>
      </x:c>
      <x:c r="G14" s="12" t="str">
        <x:v>Tesla Releases Fourth Quarter and Full Year 2016 Financial Results</x:v>
      </x:c>
      <x:c r="H14" s="12" t="str">
        <x:v>https://ir.tesla.com/press-release/tesla-releases-fourth-quarter-and-full-year-2016-financial</x:v>
      </x:c>
      <x:c r="I14" s="12" t="str">
        <x:v>OPENED_OK</x:v>
      </x:c>
      <x:c r="J14" s="12" t="str">
        <x:v>PASS</x:v>
      </x:c>
      <x:c r="K14" s="12" t="str">
        <x:v>PASS</x:v>
      </x:c>
      <x:c r="L14" s="12" t="str">
        <x:v>PASS</x:v>
      </x:c>
      <x:c r="M14" s="12" t="str">
        <x:v>NO</x:v>
      </x:c>
      <x:c r="N14" s="12" t="str">
        <x:v>PASS</x:v>
      </x:c>
      <x:c r="O14" s="12" t="str">
        <x:v>FACTUAL</x:v>
      </x:c>
      <x:c r="P14" s="12" t="str">
        <x:v>PASS</x:v>
      </x:c>
      <x:c r="Q14" s="12" t="str">
        <x:v>Opened and checked for Tesla/TSLA identity, event/date, timing and source origin.</x:v>
      </x:c>
    </x:row>
    <x:row r="15">
      <x:c r="A15" s="12" t="str">
        <x:v>2017-05-03</x:v>
      </x:c>
      <x:c r="B15" s="12" t="str">
        <x:v>TSLA</x:v>
      </x:c>
      <x:c r="C15" s="12" t="str">
        <x:v>release</x:v>
      </x:c>
      <x:c r="D15" s="12" t="str">
        <x:v>2017-05-03</x:v>
      </x:c>
      <x:c r="E15" s="12" t="n">
        <x:v>0</x:v>
      </x:c>
      <x:c r="F15" s="12" t="str">
        <x:v>Tesla Investor Relations</x:v>
      </x:c>
      <x:c r="G15" s="12" t="str">
        <x:v>Tesla Releases First Quarter 2017 Financial Results</x:v>
      </x:c>
      <x:c r="H15" s="12" t="str">
        <x:v>https://ir.tesla.com/press-release/tesla-releases-first-quarter-2017-financial-results</x:v>
      </x:c>
      <x:c r="I15" s="12" t="str">
        <x:v>OPENED_OK</x:v>
      </x:c>
      <x:c r="J15" s="12" t="str">
        <x:v>PASS</x:v>
      </x:c>
      <x:c r="K15" s="12" t="str">
        <x:v>PASS</x:v>
      </x:c>
      <x:c r="L15" s="12" t="str">
        <x:v>PASS</x:v>
      </x:c>
      <x:c r="M15" s="12" t="str">
        <x:v>NO</x:v>
      </x:c>
      <x:c r="N15" s="12" t="str">
        <x:v>PASS</x:v>
      </x:c>
      <x:c r="O15" s="12" t="str">
        <x:v>FACTUAL</x:v>
      </x:c>
      <x:c r="P15" s="12" t="str">
        <x:v>PASS</x:v>
      </x:c>
      <x:c r="Q15" s="12" t="str">
        <x:v>Opened and checked for Tesla/TSLA identity, event/date, timing and source origin.</x:v>
      </x:c>
    </x:row>
    <x:row r="16">
      <x:c r="A16" s="12" t="str">
        <x:v>2017-05-03</x:v>
      </x:c>
      <x:c r="B16" s="12" t="str">
        <x:v>TSLA</x:v>
      </x:c>
      <x:c r="C16" s="12" t="str">
        <x:v>reaction</x:v>
      </x:c>
      <x:c r="D16" s="12" t="str">
        <x:v>2017-05-04</x:v>
      </x:c>
      <x:c r="E16" s="12" t="n">
        <x:v>1</x:v>
      </x:c>
      <x:c r="F16" s="12" t="str">
        <x:v>The Motley Fool</x:v>
      </x:c>
      <x:c r="G16" s="12" t="str">
        <x:v>Why Tesla, Inc. Is Down Today</x:v>
      </x:c>
      <x:c r="H16" s="12" t="str">
        <x:v>https://www.fool.com/investing/2017/05/04/why-tesla-inc-is-down-today.aspx</x:v>
      </x:c>
      <x:c r="I16" s="12" t="str">
        <x:v>OPENED_OK</x:v>
      </x:c>
      <x:c r="J16" s="12" t="str">
        <x:v>PASS</x:v>
      </x:c>
      <x:c r="K16" s="12" t="str">
        <x:v>PASS</x:v>
      </x:c>
      <x:c r="L16" s="12" t="str">
        <x:v>PASS</x:v>
      </x:c>
      <x:c r="M16" s="12" t="str">
        <x:v>NO</x:v>
      </x:c>
      <x:c r="N16" s="12" t="str">
        <x:v>PASS</x:v>
      </x:c>
      <x:c r="O16" s="12" t="str">
        <x:v>CONTEMPORANEOUS_ATTRIBUTION</x:v>
      </x:c>
      <x:c r="P16" s="12" t="str">
        <x:v>PASS</x:v>
      </x:c>
      <x:c r="Q16" s="12" t="str">
        <x:v>Opened and checked for Tesla/TSLA identity, event/date, timing and source origin.</x:v>
      </x:c>
    </x:row>
    <x:row r="17">
      <x:c r="A17" s="12" t="str">
        <x:v>2017-08-02</x:v>
      </x:c>
      <x:c r="B17" s="12" t="str">
        <x:v>TSLA</x:v>
      </x:c>
      <x:c r="C17" s="12" t="str">
        <x:v>prior</x:v>
      </x:c>
      <x:c r="D17" s="12" t="str">
        <x:v>2017-05-03</x:v>
      </x:c>
      <x:c r="E17" s="12" t="n">
        <x:v>-91</x:v>
      </x:c>
      <x:c r="F17" s="12" t="str">
        <x:v>Tesla Investor Relations</x:v>
      </x:c>
      <x:c r="G17" s="12" t="str">
        <x:v>Tesla Releases First Quarter 2017 Financial Results</x:v>
      </x:c>
      <x:c r="H17" s="12" t="str">
        <x:v>https://ir.tesla.com/press-release/tesla-releases-first-quarter-2017-financial-results</x:v>
      </x:c>
      <x:c r="I17" s="12" t="str">
        <x:v>OPENED_OK</x:v>
      </x:c>
      <x:c r="J17" s="12" t="str">
        <x:v>PASS</x:v>
      </x:c>
      <x:c r="K17" s="12" t="str">
        <x:v>PASS</x:v>
      </x:c>
      <x:c r="L17" s="12" t="str">
        <x:v>PASS</x:v>
      </x:c>
      <x:c r="M17" s="12" t="str">
        <x:v>NO</x:v>
      </x:c>
      <x:c r="N17" s="12" t="str">
        <x:v>PASS</x:v>
      </x:c>
      <x:c r="O17" s="12" t="str">
        <x:v>FACTUAL</x:v>
      </x:c>
      <x:c r="P17" s="12" t="str">
        <x:v>PASS</x:v>
      </x:c>
      <x:c r="Q17" s="12" t="str">
        <x:v>Opened and checked for Tesla/TSLA identity, event/date, timing and source origin.</x:v>
      </x:c>
    </x:row>
    <x:row r="18">
      <x:c r="A18" s="12" t="str">
        <x:v>2017-08-02</x:v>
      </x:c>
      <x:c r="B18" s="12" t="str">
        <x:v>TSLA</x:v>
      </x:c>
      <x:c r="C18" s="12" t="str">
        <x:v>release</x:v>
      </x:c>
      <x:c r="D18" s="12" t="str">
        <x:v>2017-08-02</x:v>
      </x:c>
      <x:c r="E18" s="12" t="n">
        <x:v>0</x:v>
      </x:c>
      <x:c r="F18" s="12" t="str">
        <x:v>Tesla Investor Relations</x:v>
      </x:c>
      <x:c r="G18" s="12" t="str">
        <x:v>Tesla Releases Second Quarter 2017 Financial Results</x:v>
      </x:c>
      <x:c r="H18" s="12" t="str">
        <x:v>https://ir.tesla.com/press-release/tesla-releases-second-quarter-2017-financial-results</x:v>
      </x:c>
      <x:c r="I18" s="12" t="str">
        <x:v>OPENED_OK</x:v>
      </x:c>
      <x:c r="J18" s="12" t="str">
        <x:v>PASS</x:v>
      </x:c>
      <x:c r="K18" s="12" t="str">
        <x:v>PASS</x:v>
      </x:c>
      <x:c r="L18" s="12" t="str">
        <x:v>PASS</x:v>
      </x:c>
      <x:c r="M18" s="12" t="str">
        <x:v>NO</x:v>
      </x:c>
      <x:c r="N18" s="12" t="str">
        <x:v>PASS</x:v>
      </x:c>
      <x:c r="O18" s="12" t="str">
        <x:v>FACTUAL</x:v>
      </x:c>
      <x:c r="P18" s="12" t="str">
        <x:v>PASS</x:v>
      </x:c>
      <x:c r="Q18" s="12" t="str">
        <x:v>Opened and checked for Tesla/TSLA identity, event/date, timing and source origin.</x:v>
      </x:c>
    </x:row>
    <x:row r="19">
      <x:c r="A19" s="12" t="str">
        <x:v>2017-08-02</x:v>
      </x:c>
      <x:c r="B19" s="12" t="str">
        <x:v>TSLA</x:v>
      </x:c>
      <x:c r="C19" s="12" t="str">
        <x:v>reaction</x:v>
      </x:c>
      <x:c r="D19" s="12" t="str">
        <x:v>2017-08-03</x:v>
      </x:c>
      <x:c r="E19" s="12" t="n">
        <x:v>1</x:v>
      </x:c>
      <x:c r="F19" s="12" t="str">
        <x:v>Fortune</x:v>
      </x:c>
      <x:c r="G19" s="12" t="str">
        <x:v>Why Tesla Shares Are Rising Even As Its Losses Widen</x:v>
      </x:c>
      <x:c r="H19" s="12" t="str">
        <x:v>https://fortune.com/2017/08/03/tesla-shares-rising/</x:v>
      </x:c>
      <x:c r="I19" s="12" t="str">
        <x:v>OPENED_OK</x:v>
      </x:c>
      <x:c r="J19" s="12" t="str">
        <x:v>PASS</x:v>
      </x:c>
      <x:c r="K19" s="12" t="str">
        <x:v>PASS</x:v>
      </x:c>
      <x:c r="L19" s="12" t="str">
        <x:v>PASS</x:v>
      </x:c>
      <x:c r="M19" s="12" t="str">
        <x:v>NO</x:v>
      </x:c>
      <x:c r="N19" s="12" t="str">
        <x:v>PASS</x:v>
      </x:c>
      <x:c r="O19" s="12" t="str">
        <x:v>CONTEMPORANEOUS_ATTRIBUTION</x:v>
      </x:c>
      <x:c r="P19" s="12" t="str">
        <x:v>PASS</x:v>
      </x:c>
      <x:c r="Q19" s="12" t="str">
        <x:v>Opened and checked for Tesla/TSLA identity, event/date, timing and source origin.</x:v>
      </x:c>
    </x:row>
    <x:row r="20">
      <x:c r="A20" s="12" t="str">
        <x:v>2017-11-01</x:v>
      </x:c>
      <x:c r="B20" s="12" t="str">
        <x:v>TSLA</x:v>
      </x:c>
      <x:c r="C20" s="12" t="str">
        <x:v>prior</x:v>
      </x:c>
      <x:c r="D20" s="12" t="str">
        <x:v>2017-08-02</x:v>
      </x:c>
      <x:c r="E20" s="12" t="n">
        <x:v>-91</x:v>
      </x:c>
      <x:c r="F20" s="12" t="str">
        <x:v>Tesla Investor Relations</x:v>
      </x:c>
      <x:c r="G20" s="12" t="str">
        <x:v>Tesla Releases Second Quarter 2017 Financial Results</x:v>
      </x:c>
      <x:c r="H20" s="12" t="str">
        <x:v>https://ir.tesla.com/press-release/tesla-releases-second-quarter-2017-financial-results</x:v>
      </x:c>
      <x:c r="I20" s="12" t="str">
        <x:v>OPENED_OK</x:v>
      </x:c>
      <x:c r="J20" s="12" t="str">
        <x:v>PASS</x:v>
      </x:c>
      <x:c r="K20" s="12" t="str">
        <x:v>PASS</x:v>
      </x:c>
      <x:c r="L20" s="12" t="str">
        <x:v>PASS</x:v>
      </x:c>
      <x:c r="M20" s="12" t="str">
        <x:v>NO</x:v>
      </x:c>
      <x:c r="N20" s="12" t="str">
        <x:v>PASS</x:v>
      </x:c>
      <x:c r="O20" s="12" t="str">
        <x:v>FACTUAL</x:v>
      </x:c>
      <x:c r="P20" s="12" t="str">
        <x:v>PASS</x:v>
      </x:c>
      <x:c r="Q20" s="12" t="str">
        <x:v>Opened and checked for Tesla/TSLA identity, event/date, timing and source origin.</x:v>
      </x:c>
    </x:row>
    <x:row r="21">
      <x:c r="A21" s="12" t="str">
        <x:v>2017-11-01</x:v>
      </x:c>
      <x:c r="B21" s="12" t="str">
        <x:v>TSLA</x:v>
      </x:c>
      <x:c r="C21" s="12" t="str">
        <x:v>release</x:v>
      </x:c>
      <x:c r="D21" s="12" t="str">
        <x:v>2017-11-01</x:v>
      </x:c>
      <x:c r="E21" s="12" t="n">
        <x:v>0</x:v>
      </x:c>
      <x:c r="F21" s="12" t="str">
        <x:v>Tesla Investor Relations</x:v>
      </x:c>
      <x:c r="G21" s="12" t="str">
        <x:v>Tesla Releases Third Quarter 2017 Financial Results</x:v>
      </x:c>
      <x:c r="H21" s="12" t="str">
        <x:v>https://ir.tesla.com/press-release/tesla-releases-third-quarter-2017-financial-results</x:v>
      </x:c>
      <x:c r="I21" s="12" t="str">
        <x:v>OPENED_OK</x:v>
      </x:c>
      <x:c r="J21" s="12" t="str">
        <x:v>PASS</x:v>
      </x:c>
      <x:c r="K21" s="12" t="str">
        <x:v>PASS</x:v>
      </x:c>
      <x:c r="L21" s="12" t="str">
        <x:v>PASS</x:v>
      </x:c>
      <x:c r="M21" s="12" t="str">
        <x:v>NO</x:v>
      </x:c>
      <x:c r="N21" s="12" t="str">
        <x:v>PASS</x:v>
      </x:c>
      <x:c r="O21" s="12" t="str">
        <x:v>FACTUAL</x:v>
      </x:c>
      <x:c r="P21" s="12" t="str">
        <x:v>PASS</x:v>
      </x:c>
      <x:c r="Q21" s="12" t="str">
        <x:v>Opened and checked for Tesla/TSLA identity, event/date, timing and source origin.</x:v>
      </x:c>
    </x:row>
    <x:row r="22">
      <x:c r="A22" s="12" t="str">
        <x:v>2017-11-01</x:v>
      </x:c>
      <x:c r="B22" s="12" t="str">
        <x:v>TSLA</x:v>
      </x:c>
      <x:c r="C22" s="12" t="str">
        <x:v>reaction</x:v>
      </x:c>
      <x:c r="D22" s="12" t="str">
        <x:v>2017-11-02</x:v>
      </x:c>
      <x:c r="E22" s="12" t="n">
        <x:v>1</x:v>
      </x:c>
      <x:c r="F22" s="12" t="str">
        <x:v>The Motley Fool</x:v>
      </x:c>
      <x:c r="G22" s="12" t="str">
        <x:v>Ouch! Why Tesla, Inc. Stock Got Slammed Thursday</x:v>
      </x:c>
      <x:c r="H22" s="12" t="str">
        <x:v>https://www.fool.com/investing/2017/11/02/ouch-why-tesla-inc-stock-got-slammed-thursday.aspx</x:v>
      </x:c>
      <x:c r="I22" s="12" t="str">
        <x:v>OPENED_OK</x:v>
      </x:c>
      <x:c r="J22" s="12" t="str">
        <x:v>PASS</x:v>
      </x:c>
      <x:c r="K22" s="12" t="str">
        <x:v>PASS</x:v>
      </x:c>
      <x:c r="L22" s="12" t="str">
        <x:v>PASS</x:v>
      </x:c>
      <x:c r="M22" s="12" t="str">
        <x:v>NO</x:v>
      </x:c>
      <x:c r="N22" s="12" t="str">
        <x:v>PASS</x:v>
      </x:c>
      <x:c r="O22" s="12" t="str">
        <x:v>CONTEMPORANEOUS_ATTRIBUTION</x:v>
      </x:c>
      <x:c r="P22" s="12" t="str">
        <x:v>PASS</x:v>
      </x:c>
      <x:c r="Q22" s="12" t="str">
        <x:v>Opened and checked for Tesla/TSLA identity, event/date, timing and source origin.</x:v>
      </x:c>
    </x:row>
    <x:row r="23">
      <x:c r="A23" s="12" t="str">
        <x:v>2018-02-07</x:v>
      </x:c>
      <x:c r="B23" s="12" t="str">
        <x:v>TSLA</x:v>
      </x:c>
      <x:c r="C23" s="12" t="str">
        <x:v>prior</x:v>
      </x:c>
      <x:c r="D23" s="12" t="str">
        <x:v>2017-11-01</x:v>
      </x:c>
      <x:c r="E23" s="12" t="n">
        <x:v>-98</x:v>
      </x:c>
      <x:c r="F23" s="12" t="str">
        <x:v>Tesla Investor Relations</x:v>
      </x:c>
      <x:c r="G23" s="12" t="str">
        <x:v>Tesla Releases Third Quarter 2017 Financial Results</x:v>
      </x:c>
      <x:c r="H23" s="12" t="str">
        <x:v>https://ir.tesla.com/press-release/tesla-releases-third-quarter-2017-financial-results</x:v>
      </x:c>
      <x:c r="I23" s="12" t="str">
        <x:v>OPENED_OK</x:v>
      </x:c>
      <x:c r="J23" s="12" t="str">
        <x:v>PASS</x:v>
      </x:c>
      <x:c r="K23" s="12" t="str">
        <x:v>PASS</x:v>
      </x:c>
      <x:c r="L23" s="12" t="str">
        <x:v>PASS</x:v>
      </x:c>
      <x:c r="M23" s="12" t="str">
        <x:v>NO</x:v>
      </x:c>
      <x:c r="N23" s="12" t="str">
        <x:v>PASS</x:v>
      </x:c>
      <x:c r="O23" s="12" t="str">
        <x:v>FACTUAL</x:v>
      </x:c>
      <x:c r="P23" s="12" t="str">
        <x:v>PASS</x:v>
      </x:c>
      <x:c r="Q23" s="12" t="str">
        <x:v>Opened and checked for Tesla/TSLA identity, event/date, timing and source origin.</x:v>
      </x:c>
    </x:row>
    <x:row r="24">
      <x:c r="A24" s="12" t="str">
        <x:v>2018-02-07</x:v>
      </x:c>
      <x:c r="B24" s="12" t="str">
        <x:v>TSLA</x:v>
      </x:c>
      <x:c r="C24" s="12" t="str">
        <x:v>release</x:v>
      </x:c>
      <x:c r="D24" s="12" t="str">
        <x:v>2018-02-07</x:v>
      </x:c>
      <x:c r="E24" s="12" t="n">
        <x:v>0</x:v>
      </x:c>
      <x:c r="F24" s="12" t="str">
        <x:v>Tesla Investor Relations</x:v>
      </x:c>
      <x:c r="G24" s="12" t="str">
        <x:v>Tesla Releases Fourth Quarter and Full Year 2017 Financial Results</x:v>
      </x:c>
      <x:c r="H24" s="12" t="str">
        <x:v>https://ir.tesla.com/press-release/tesla-releases-fourth-quarter-and-full-year-2017-financial</x:v>
      </x:c>
      <x:c r="I24" s="12" t="str">
        <x:v>OPENED_OK</x:v>
      </x:c>
      <x:c r="J24" s="12" t="str">
        <x:v>PASS</x:v>
      </x:c>
      <x:c r="K24" s="12" t="str">
        <x:v>PASS</x:v>
      </x:c>
      <x:c r="L24" s="12" t="str">
        <x:v>PASS</x:v>
      </x:c>
      <x:c r="M24" s="12" t="str">
        <x:v>NO</x:v>
      </x:c>
      <x:c r="N24" s="12" t="str">
        <x:v>PASS</x:v>
      </x:c>
      <x:c r="O24" s="12" t="str">
        <x:v>FACTUAL</x:v>
      </x:c>
      <x:c r="P24" s="12" t="str">
        <x:v>PASS</x:v>
      </x:c>
      <x:c r="Q24" s="12" t="str">
        <x:v>Opened and checked for Tesla/TSLA identity, event/date, timing and source origin.</x:v>
      </x:c>
    </x:row>
    <x:row r="25">
      <x:c r="A25" s="12" t="str">
        <x:v>2018-02-07</x:v>
      </x:c>
      <x:c r="B25" s="12" t="str">
        <x:v>TSLA</x:v>
      </x:c>
      <x:c r="C25" s="12" t="str">
        <x:v>reaction</x:v>
      </x:c>
      <x:c r="D25" s="12" t="str">
        <x:v>2018-02-08</x:v>
      </x:c>
      <x:c r="E25" s="12" t="n">
        <x:v>1</x:v>
      </x:c>
      <x:c r="F25" s="12" t="str">
        <x:v>The Motley Fool</x:v>
      </x:c>
      <x:c r="G25" s="12" t="str">
        <x:v>Why Tesla, Inc. Stock Fell Thursday</x:v>
      </x:c>
      <x:c r="H25" s="12" t="str">
        <x:v>https://www.fool.com/investing/2018/02/08/why-tesla-inc-stock-fell-thursday.aspx</x:v>
      </x:c>
      <x:c r="I25" s="12" t="str">
        <x:v>OPENED_OK</x:v>
      </x:c>
      <x:c r="J25" s="12" t="str">
        <x:v>PASS</x:v>
      </x:c>
      <x:c r="K25" s="12" t="str">
        <x:v>PASS</x:v>
      </x:c>
      <x:c r="L25" s="12" t="str">
        <x:v>PASS</x:v>
      </x:c>
      <x:c r="M25" s="12" t="str">
        <x:v>NO</x:v>
      </x:c>
      <x:c r="N25" s="12" t="str">
        <x:v>PASS</x:v>
      </x:c>
      <x:c r="O25" s="12" t="str">
        <x:v>CONTEMPORANEOUS_ATTRIBUTION</x:v>
      </x:c>
      <x:c r="P25" s="12" t="str">
        <x:v>PASS</x:v>
      </x:c>
      <x:c r="Q25" s="12" t="str">
        <x:v>Opened and checked for Tesla/TSLA identity, event/date, timing and source origin.</x:v>
      </x:c>
    </x:row>
    <x:row r="26">
      <x:c r="A26" s="12" t="str">
        <x:v>2018-05-02</x:v>
      </x:c>
      <x:c r="B26" s="12" t="str">
        <x:v>TSLA</x:v>
      </x:c>
      <x:c r="C26" s="12" t="str">
        <x:v>prior</x:v>
      </x:c>
      <x:c r="D26" s="12" t="str">
        <x:v>2018-02-07</x:v>
      </x:c>
      <x:c r="E26" s="12" t="n">
        <x:v>-84</x:v>
      </x:c>
      <x:c r="F26" s="12" t="str">
        <x:v>Tesla Investor Relations</x:v>
      </x:c>
      <x:c r="G26" s="12" t="str">
        <x:v>Tesla Releases Fourth Quarter and Full Year 2017 Financial Results</x:v>
      </x:c>
      <x:c r="H26" s="12" t="str">
        <x:v>https://ir.tesla.com/press-release/tesla-releases-fourth-quarter-and-full-year-2017-financial</x:v>
      </x:c>
      <x:c r="I26" s="12" t="str">
        <x:v>OPENED_OK</x:v>
      </x:c>
      <x:c r="J26" s="12" t="str">
        <x:v>PASS</x:v>
      </x:c>
      <x:c r="K26" s="12" t="str">
        <x:v>PASS</x:v>
      </x:c>
      <x:c r="L26" s="12" t="str">
        <x:v>PASS</x:v>
      </x:c>
      <x:c r="M26" s="12" t="str">
        <x:v>NO</x:v>
      </x:c>
      <x:c r="N26" s="12" t="str">
        <x:v>PASS</x:v>
      </x:c>
      <x:c r="O26" s="12" t="str">
        <x:v>FACTUAL</x:v>
      </x:c>
      <x:c r="P26" s="12" t="str">
        <x:v>PASS</x:v>
      </x:c>
      <x:c r="Q26" s="12" t="str">
        <x:v>Opened and checked for Tesla/TSLA identity, event/date, timing and source origin.</x:v>
      </x:c>
    </x:row>
    <x:row r="27">
      <x:c r="A27" s="12" t="str">
        <x:v>2018-05-02</x:v>
      </x:c>
      <x:c r="B27" s="12" t="str">
        <x:v>TSLA</x:v>
      </x:c>
      <x:c r="C27" s="12" t="str">
        <x:v>release</x:v>
      </x:c>
      <x:c r="D27" s="12" t="str">
        <x:v>2018-05-02</x:v>
      </x:c>
      <x:c r="E27" s="12" t="n">
        <x:v>0</x:v>
      </x:c>
      <x:c r="F27" s="12" t="str">
        <x:v>Tesla Investor Relations</x:v>
      </x:c>
      <x:c r="G27" s="12" t="str">
        <x:v>Tesla Releases First Quarter 2018 Financial Results</x:v>
      </x:c>
      <x:c r="H27" s="12" t="str">
        <x:v>https://ir.tesla.com/press-release/tesla-releases-first-quarter-2018-financial-results</x:v>
      </x:c>
      <x:c r="I27" s="12" t="str">
        <x:v>OPENED_OK</x:v>
      </x:c>
      <x:c r="J27" s="12" t="str">
        <x:v>PASS</x:v>
      </x:c>
      <x:c r="K27" s="12" t="str">
        <x:v>PASS</x:v>
      </x:c>
      <x:c r="L27" s="12" t="str">
        <x:v>PASS</x:v>
      </x:c>
      <x:c r="M27" s="12" t="str">
        <x:v>NO</x:v>
      </x:c>
      <x:c r="N27" s="12" t="str">
        <x:v>PASS</x:v>
      </x:c>
      <x:c r="O27" s="12" t="str">
        <x:v>FACTUAL</x:v>
      </x:c>
      <x:c r="P27" s="12" t="str">
        <x:v>PASS</x:v>
      </x:c>
      <x:c r="Q27" s="12" t="str">
        <x:v>Opened and checked for Tesla/TSLA identity, event/date, timing and source origin.</x:v>
      </x:c>
    </x:row>
    <x:row r="28">
      <x:c r="A28" s="12" t="str">
        <x:v>2018-05-02</x:v>
      </x:c>
      <x:c r="B28" s="12" t="str">
        <x:v>TSLA</x:v>
      </x:c>
      <x:c r="C28" s="12" t="str">
        <x:v>reaction</x:v>
      </x:c>
      <x:c r="D28" s="12" t="str">
        <x:v>2018-05-03</x:v>
      </x:c>
      <x:c r="E28" s="12" t="n">
        <x:v>1</x:v>
      </x:c>
      <x:c r="F28" s="12" t="str">
        <x:v>The Motley Fool</x:v>
      </x:c>
      <x:c r="G28" s="12" t="str">
        <x:v>Why Tesla Stock Was Slammed Today</x:v>
      </x:c>
      <x:c r="H28" s="12" t="str">
        <x:v>https://www.fool.com/investing/2018/05/03/why-tesla-stock-was-slammed-today.aspx</x:v>
      </x:c>
      <x:c r="I28" s="12" t="str">
        <x:v>OPENED_OK</x:v>
      </x:c>
      <x:c r="J28" s="12" t="str">
        <x:v>PASS</x:v>
      </x:c>
      <x:c r="K28" s="12" t="str">
        <x:v>PASS</x:v>
      </x:c>
      <x:c r="L28" s="12" t="str">
        <x:v>PASS</x:v>
      </x:c>
      <x:c r="M28" s="12" t="str">
        <x:v>NO</x:v>
      </x:c>
      <x:c r="N28" s="12" t="str">
        <x:v>PASS</x:v>
      </x:c>
      <x:c r="O28" s="12" t="str">
        <x:v>CONTEMPORANEOUS_ATTRIBUTION</x:v>
      </x:c>
      <x:c r="P28" s="12" t="str">
        <x:v>PASS</x:v>
      </x:c>
      <x:c r="Q28" s="12" t="str">
        <x:v>Opened and checked for Tesla/TSLA identity, event/date, timing and source origin.</x:v>
      </x:c>
    </x:row>
    <x:row r="29">
      <x:c r="A29" s="12" t="str">
        <x:v>2018-08-01</x:v>
      </x:c>
      <x:c r="B29" s="12" t="str">
        <x:v>TSLA</x:v>
      </x:c>
      <x:c r="C29" s="12" t="str">
        <x:v>prior</x:v>
      </x:c>
      <x:c r="D29" s="12" t="str">
        <x:v>2018-05-02</x:v>
      </x:c>
      <x:c r="E29" s="12" t="n">
        <x:v>-91</x:v>
      </x:c>
      <x:c r="F29" s="12" t="str">
        <x:v>Tesla Investor Relations</x:v>
      </x:c>
      <x:c r="G29" s="12" t="str">
        <x:v>Tesla Releases First Quarter 2018 Financial Results</x:v>
      </x:c>
      <x:c r="H29" s="12" t="str">
        <x:v>https://ir.tesla.com/press-release/tesla-releases-first-quarter-2018-financial-results</x:v>
      </x:c>
      <x:c r="I29" s="12" t="str">
        <x:v>OPENED_OK</x:v>
      </x:c>
      <x:c r="J29" s="12" t="str">
        <x:v>PASS</x:v>
      </x:c>
      <x:c r="K29" s="12" t="str">
        <x:v>PASS</x:v>
      </x:c>
      <x:c r="L29" s="12" t="str">
        <x:v>PASS</x:v>
      </x:c>
      <x:c r="M29" s="12" t="str">
        <x:v>NO</x:v>
      </x:c>
      <x:c r="N29" s="12" t="str">
        <x:v>PASS</x:v>
      </x:c>
      <x:c r="O29" s="12" t="str">
        <x:v>FACTUAL</x:v>
      </x:c>
      <x:c r="P29" s="12" t="str">
        <x:v>PASS</x:v>
      </x:c>
      <x:c r="Q29" s="12" t="str">
        <x:v>Opened and checked for Tesla/TSLA identity, event/date, timing and source origin.</x:v>
      </x:c>
    </x:row>
    <x:row r="30">
      <x:c r="A30" s="12" t="str">
        <x:v>2018-08-01</x:v>
      </x:c>
      <x:c r="B30" s="12" t="str">
        <x:v>TSLA</x:v>
      </x:c>
      <x:c r="C30" s="12" t="str">
        <x:v>release</x:v>
      </x:c>
      <x:c r="D30" s="12" t="str">
        <x:v>2018-08-01</x:v>
      </x:c>
      <x:c r="E30" s="12" t="n">
        <x:v>0</x:v>
      </x:c>
      <x:c r="F30" s="12" t="str">
        <x:v>Tesla Investor Relations</x:v>
      </x:c>
      <x:c r="G30" s="12" t="str">
        <x:v>Tesla Releases Second Quarter 2018 Financial Results</x:v>
      </x:c>
      <x:c r="H30" s="12" t="str">
        <x:v>https://ir.tesla.com/press-release/tesla-releases-second-quarter-2018-financial-results</x:v>
      </x:c>
      <x:c r="I30" s="12" t="str">
        <x:v>OPENED_OK</x:v>
      </x:c>
      <x:c r="J30" s="12" t="str">
        <x:v>PASS</x:v>
      </x:c>
      <x:c r="K30" s="12" t="str">
        <x:v>PASS</x:v>
      </x:c>
      <x:c r="L30" s="12" t="str">
        <x:v>PASS</x:v>
      </x:c>
      <x:c r="M30" s="12" t="str">
        <x:v>NO</x:v>
      </x:c>
      <x:c r="N30" s="12" t="str">
        <x:v>PASS</x:v>
      </x:c>
      <x:c r="O30" s="12" t="str">
        <x:v>FACTUAL</x:v>
      </x:c>
      <x:c r="P30" s="12" t="str">
        <x:v>PASS</x:v>
      </x:c>
      <x:c r="Q30" s="12" t="str">
        <x:v>Opened and checked for Tesla/TSLA identity, event/date, timing and source origin.</x:v>
      </x:c>
    </x:row>
    <x:row r="31">
      <x:c r="A31" s="12" t="str">
        <x:v>2018-08-01</x:v>
      </x:c>
      <x:c r="B31" s="12" t="str">
        <x:v>TSLA</x:v>
      </x:c>
      <x:c r="C31" s="12" t="str">
        <x:v>reaction</x:v>
      </x:c>
      <x:c r="D31" s="12" t="str">
        <x:v>2018-08-02</x:v>
      </x:c>
      <x:c r="E31" s="12" t="n">
        <x:v>1</x:v>
      </x:c>
      <x:c r="F31" s="12" t="str">
        <x:v>The Motley Fool</x:v>
      </x:c>
      <x:c r="G31" s="12" t="str">
        <x:v>Why Tesla, Inc. Stock Has Jumped Thursday</x:v>
      </x:c>
      <x:c r="H31" s="12" t="str">
        <x:v>https://www.fool.com/investing/2018/08/02/why-tesla-inc-stock-jumped-thursday.aspx</x:v>
      </x:c>
      <x:c r="I31" s="12" t="str">
        <x:v>OPENED_OK</x:v>
      </x:c>
      <x:c r="J31" s="12" t="str">
        <x:v>PASS</x:v>
      </x:c>
      <x:c r="K31" s="12" t="str">
        <x:v>PASS</x:v>
      </x:c>
      <x:c r="L31" s="12" t="str">
        <x:v>PASS</x:v>
      </x:c>
      <x:c r="M31" s="12" t="str">
        <x:v>NO</x:v>
      </x:c>
      <x:c r="N31" s="12" t="str">
        <x:v>PASS</x:v>
      </x:c>
      <x:c r="O31" s="12" t="str">
        <x:v>CONTEMPORANEOUS_ATTRIBUTION</x:v>
      </x:c>
      <x:c r="P31" s="12" t="str">
        <x:v>PASS</x:v>
      </x:c>
      <x:c r="Q31" s="12" t="str">
        <x:v>Opened and checked for Tesla/TSLA identity, event/date, timing and 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2016-05-04</x:v>
      </x:c>
      <x:c r="B2" t="str">
        <x:v>TSLA</x:v>
      </x:c>
      <x:c r="C2" s="20" t="n">
        <x:v>-3.58</x:v>
      </x:c>
      <x:c r="D2" s="20" t="n">
        <x:v>-4.91</x:v>
      </x:c>
      <x:c r="E2" t="str">
        <x:v>ret_1daypost_pct</x:v>
      </x:c>
      <x:c r="F2" t="str">
        <x:f>IF(D2&gt;0.1,"UP",IF(D2&lt;-0.1,"DOWN","FLAT"))</x:f>
        <x:v>DOWN</x:v>
      </x:c>
      <x:c r="G2" t="str">
        <x:v>DOWN</x:v>
      </x:c>
      <x:c r="H2" t="str">
        <x:f>IF(F2=G2,"PASS","FAIL")</x:f>
        <x:v>PASS</x:v>
      </x:c>
      <x:c r="I2" t="n">
        <x:v>3</x:v>
      </x:c>
      <x:c r="J2" t="n">
        <x:f>COUNTIFS('Source Audit'!$A:$A,A2,'Source Audit'!$P:$P,"PASS")</x:f>
        <x:v>3</x:v>
      </x:c>
      <x:c r="K2" t="str">
        <x:f>IF(AND(H2="PASS",J2=I2),"PASS","FAIL")</x:f>
        <x:v>PASS</x:v>
      </x:c>
    </x:row>
    <x:row r="3">
      <x:c r="A3" t="str">
        <x:v>2016-08-03</x:v>
      </x:c>
      <x:c r="B3" t="str">
        <x:v>TSLA</x:v>
      </x:c>
      <x:c r="C3" s="20" t="n">
        <x:v>-1.06</x:v>
      </x:c>
      <x:c r="D3" s="20" t="n">
        <x:v>2.05</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2016-10-26</x:v>
      </x:c>
      <x:c r="B4" t="str">
        <x:v>TSLA</x:v>
      </x:c>
      <x:c r="C4" s="20" t="n">
        <x:v>0.23</x:v>
      </x:c>
      <x:c r="D4" s="20" t="n">
        <x:v>1.27</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2017-02-22</x:v>
      </x:c>
      <x:c r="B5" t="str">
        <x:v>TSLA</x:v>
      </x:c>
      <x:c r="C5" s="20" t="n">
        <x:v>-1.22</x:v>
      </x:c>
      <x:c r="D5" s="20" t="n">
        <x:v>-6.31</x:v>
      </x:c>
      <x:c r="E5" t="str">
        <x:v>ret_1daypost_pct</x:v>
      </x:c>
      <x:c r="F5" t="str">
        <x:f>IF(D5&gt;0.1,"UP",IF(D5&lt;-0.1,"DOWN","FLAT"))</x:f>
        <x:v>DOWN</x:v>
      </x:c>
      <x:c r="G5" t="str">
        <x:v>DOWN</x:v>
      </x:c>
      <x:c r="H5" t="str">
        <x:f>IF(F5=G5,"PASS","FAIL")</x:f>
        <x:v>PASS</x:v>
      </x:c>
      <x:c r="I5" t="n">
        <x:v>3</x:v>
      </x:c>
      <x:c r="J5" t="n">
        <x:f>COUNTIFS('Source Audit'!$A:$A,A5,'Source Audit'!$P:$P,"PASS")</x:f>
        <x:v>3</x:v>
      </x:c>
      <x:c r="K5" t="str">
        <x:f>IF(AND(H5="PASS",J5=I5),"PASS","FAIL")</x:f>
        <x:v>PASS</x:v>
      </x:c>
    </x:row>
    <x:row r="6">
      <x:c r="A6" t="str">
        <x:v>2017-05-03</x:v>
      </x:c>
      <x:c r="B6" t="str">
        <x:v>TSLA</x:v>
      </x:c>
      <x:c r="C6" s="20" t="n">
        <x:v>-2.21</x:v>
      </x:c>
      <x:c r="D6" s="20" t="n">
        <x:v>-4.93</x:v>
      </x:c>
      <x:c r="E6" t="str">
        <x:v>ret_1daypost_pct</x:v>
      </x:c>
      <x:c r="F6" t="str">
        <x:f>IF(D6&gt;0.1,"UP",IF(D6&lt;-0.1,"DOWN","FLAT"))</x:f>
        <x:v>DOWN</x:v>
      </x:c>
      <x:c r="G6" t="str">
        <x:v>DOWN</x:v>
      </x:c>
      <x:c r="H6" t="str">
        <x:f>IF(F6=G6,"PASS","FAIL")</x:f>
        <x:v>PASS</x:v>
      </x:c>
      <x:c r="I6" t="n">
        <x:v>3</x:v>
      </x:c>
      <x:c r="J6" t="n">
        <x:f>COUNTIFS('Source Audit'!$A:$A,A6,'Source Audit'!$P:$P,"PASS")</x:f>
        <x:v>3</x:v>
      </x:c>
      <x:c r="K6" t="str">
        <x:f>IF(AND(H6="PASS",J6=I6),"PASS","FAIL")</x:f>
        <x:v>PASS</x:v>
      </x:c>
    </x:row>
    <x:row r="7">
      <x:c r="A7" t="str">
        <x:v>2017-08-02</x:v>
      </x:c>
      <x:c r="B7" t="str">
        <x:v>TSLA</x:v>
      </x:c>
      <x:c r="C7" s="20" t="n">
        <x:v>2.08</x:v>
      </x:c>
      <x:c r="D7" s="20" t="n">
        <x:v>6.72</x:v>
      </x:c>
      <x:c r="E7" t="str">
        <x:v>ret_1daypost_pct</x:v>
      </x:c>
      <x:c r="F7" t="str">
        <x:f>IF(D7&gt;0.1,"UP",IF(D7&lt;-0.1,"DOWN","FLAT"))</x:f>
        <x:v>UP</x:v>
      </x:c>
      <x:c r="G7" t="str">
        <x:v>UP</x:v>
      </x:c>
      <x:c r="H7" t="str">
        <x:f>IF(F7=G7,"PASS","FAIL")</x:f>
        <x:v>PASS</x:v>
      </x:c>
      <x:c r="I7" t="n">
        <x:v>3</x:v>
      </x:c>
      <x:c r="J7" t="n">
        <x:f>COUNTIFS('Source Audit'!$A:$A,A7,'Source Audit'!$P:$P,"PASS")</x:f>
        <x:v>3</x:v>
      </x:c>
      <x:c r="K7" t="str">
        <x:f>IF(AND(H7="PASS",J7=I7),"PASS","FAIL")</x:f>
        <x:v>PASS</x:v>
      </x:c>
    </x:row>
    <x:row r="8">
      <x:c r="A8" t="str">
        <x:v>2017-11-01</x:v>
      </x:c>
      <x:c r="B8" t="str">
        <x:v>TSLA</x:v>
      </x:c>
      <x:c r="C8" s="20" t="n">
        <x:v>-3.23</x:v>
      </x:c>
      <x:c r="D8" s="20" t="n">
        <x:v>-6.83</x:v>
      </x:c>
      <x:c r="E8" t="str">
        <x:v>ret_1daypost_pct</x:v>
      </x:c>
      <x:c r="F8" t="str">
        <x:f>IF(D8&gt;0.1,"UP",IF(D8&lt;-0.1,"DOWN","FLAT"))</x:f>
        <x:v>DOWN</x:v>
      </x:c>
      <x:c r="G8" t="str">
        <x:v>DOWN</x:v>
      </x:c>
      <x:c r="H8" t="str">
        <x:f>IF(F8=G8,"PASS","FAIL")</x:f>
        <x:v>PASS</x:v>
      </x:c>
      <x:c r="I8" t="n">
        <x:v>3</x:v>
      </x:c>
      <x:c r="J8" t="n">
        <x:f>COUNTIFS('Source Audit'!$A:$A,A8,'Source Audit'!$P:$P,"PASS")</x:f>
        <x:v>3</x:v>
      </x:c>
      <x:c r="K8" t="str">
        <x:f>IF(AND(H8="PASS",J8=I8),"PASS","FAIL")</x:f>
        <x:v>PASS</x:v>
      </x:c>
    </x:row>
    <x:row r="9">
      <x:c r="A9" t="str">
        <x:v>2018-02-07</x:v>
      </x:c>
      <x:c r="B9" t="str">
        <x:v>TSLA</x:v>
      </x:c>
      <x:c r="C9" s="20" t="n">
        <x:v>3.72</x:v>
      </x:c>
      <x:c r="D9" s="20" t="n">
        <x:v>-5.16</x:v>
      </x:c>
      <x:c r="E9" t="str">
        <x:v>ret_1daypost_pct</x:v>
      </x:c>
      <x:c r="F9" t="str">
        <x:f>IF(D9&gt;0.1,"UP",IF(D9&lt;-0.1,"DOWN","FLAT"))</x:f>
        <x:v>DOWN</x:v>
      </x:c>
      <x:c r="G9" t="str">
        <x:v>DOWN</x:v>
      </x:c>
      <x:c r="H9" t="str">
        <x:f>IF(F9=G9,"PASS","FAIL")</x:f>
        <x:v>PASS</x:v>
      </x:c>
      <x:c r="I9" t="n">
        <x:v>3</x:v>
      </x:c>
      <x:c r="J9" t="n">
        <x:f>COUNTIFS('Source Audit'!$A:$A,A9,'Source Audit'!$P:$P,"PASS")</x:f>
        <x:v>3</x:v>
      </x:c>
      <x:c r="K9" t="str">
        <x:f>IF(AND(H9="PASS",J9=I9),"PASS","FAIL")</x:f>
        <x:v>PASS</x:v>
      </x:c>
    </x:row>
    <x:row r="10">
      <x:c r="A10" t="str">
        <x:v>2018-05-02</x:v>
      </x:c>
      <x:c r="B10" t="str">
        <x:v>TSLA</x:v>
      </x:c>
      <x:c r="C10" s="20" t="n">
        <x:v>0.97</x:v>
      </x:c>
      <x:c r="D10" s="20" t="n">
        <x:v>-5.32</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2018-08-01</x:v>
      </x:c>
      <x:c r="B11" t="str">
        <x:v>TSLA</x:v>
      </x:c>
      <x:c r="C11" s="20" t="n">
        <x:v>1.04</x:v>
      </x:c>
      <x:c r="D11" s="20" t="n">
        <x:v>15.64</x:v>
      </x:c>
      <x:c r="E11" t="str">
        <x:v>ret_1daypost_pct</x:v>
      </x:c>
      <x:c r="F11" t="str">
        <x:f>IF(D11&gt;0.1,"UP",IF(D11&lt;-0.1,"DOWN","FLAT"))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TSLA rebuilt from scratch; no narrative/source assertions carried over from the old TSLA file.</x:v>
      </x:c>
    </x:row>
    <x:row r="3">
      <x:c r="A3" s="12" t="str">
        <x:v>Identity source</x:v>
      </x:c>
      <x:c r="B3" s="12" t="str">
        <x:v>Ticker/company, exact earnings dates and all return fields come directly from group_observations.csv.</x:v>
      </x:c>
    </x:row>
    <x:row r="4">
      <x:c r="A4" s="12" t="str">
        <x:v>Reaction basis</x:v>
      </x:c>
      <x:c r="B4" s="12" t="str">
        <x:v>Tesla's sampled earnings releases were after market close. ret_1daypost_pct is therefore the first full post-release session and the primary reaction field.</x:v>
      </x:c>
    </x:row>
    <x:row r="5">
      <x:c r="A5" s="12" t="str">
        <x:v>Narrative</x:v>
      </x:c>
      <x:c r="B5" s="12" t="str">
        <x:v>Short Prior Context, detailed Current Earnings Release, three concise event-specific Possible Drivers. No long return-path paragraph.</x:v>
      </x:c>
    </x:row>
    <x:row r="6">
      <x:c r="A6" s="12" t="str">
        <x:v>Source verification</x:v>
      </x:c>
      <x:c r="B6" s="12" t="str">
        <x:v>All included Tesla IR and reaction pages were opened and checked. Tesla Investor Relations anchors factual timing/results.</x:v>
      </x:c>
    </x:row>
    <x:row r="7">
      <x:c r="A7" s="12" t="str">
        <x:v>Timing</x:v>
      </x:c>
      <x:c r="B7" s="12" t="str">
        <x:v>Prior = -100..-1 calendar days; release = day 0; reaction = day 0..+3.</x:v>
      </x:c>
    </x:row>
    <x:row r="8">
      <x:c r="A8" s="12" t="str">
        <x:v>Restrictions</x:v>
      </x:c>
      <x:c r="B8" s="12" t="str">
        <x:v>No WSJ, Reuters, Dow Jones or MarketWatch-syndicated article is included. Reuters-hosted/syndicated versions found during research were rejected.</x:v>
      </x:c>
    </x:row>
    <x:row r="9">
      <x:c r="A9" s="12" t="str">
        <x:v>QA</x:v>
      </x:c>
      <x:c r="B9" s="12" t="str">
        <x:v>Event QA mechanically recomputes direction from ret_1daypost_pct and requires exactly three PASS source rows per event.</x:v>
      </x:c>
    </x:row>
    <x:row r="10">
      <x:c r="A10" s="12" t="str">
        <x:v>Special timing note</x:v>
      </x:c>
      <x:c r="B10" s="12" t="str">
        <x:v>Tesla IR's Q2 2016 page displays an Aug. 2 header in the current site rendering, but its original Marketwired text and webcast schedule explicitly identify Aug. 3, 2016; the CSV earnings date and audit use Aug. 3.</x:v>
      </x:c>
    </x:row>
  </x:sheetData>
  <x:pageMargins left="0.7" right="0.7" top="0.75" bottom="0.75" header="0.3" footer="0.3"/>
</x:worksheet>
</file>