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92dcc403634c02" /></Relationships>
</file>

<file path=xl/workbook.xml><?xml version="1.0" encoding="utf-8"?>
<x:workbook xmlns:x="http://schemas.openxmlformats.org/spreadsheetml/2006/main">
  <x:sheets>
    <x:sheet xmlns:r="http://schemas.openxmlformats.org/officeDocument/2006/relationships" name="AAPL" sheetId="1" r:id="Rf401b50bec0c4644"/>
    <x:sheet xmlns:r="http://schemas.openxmlformats.org/officeDocument/2006/relationships" name="Source Audit" sheetId="2" r:id="R946ffc29fbd94994"/>
    <x:sheet xmlns:r="http://schemas.openxmlformats.org/officeDocument/2006/relationships" name="Event QA" sheetId="3" r:id="Rf539c51cf98447fb"/>
    <x:sheet xmlns:r="http://schemas.openxmlformats.org/officeDocument/2006/relationships" name="Methodology" sheetId="4" r:id="R0d963c97e72544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740fd6352d4c73" /><Relationship Type="http://schemas.openxmlformats.org/officeDocument/2006/relationships/theme" Target="/xl/theme/theme1.xml" Id="R4e5f861494f743cb" /><Relationship Type="http://schemas.openxmlformats.org/officeDocument/2006/relationships/sharedStrings" Target="/xl/sharedStrings.xml" Id="R93df28aa7ea34e54" /><Relationship Type="http://schemas.openxmlformats.org/officeDocument/2006/relationships/worksheet" Target="/xl/worksheets/sheet1.xml" Id="Rf401b50bec0c4644" /><Relationship Type="http://schemas.openxmlformats.org/officeDocument/2006/relationships/worksheet" Target="/xl/worksheets/sheet2.xml" Id="R946ffc29fbd94994" /><Relationship Type="http://schemas.openxmlformats.org/officeDocument/2006/relationships/worksheet" Target="/xl/worksheets/sheet3.xml" Id="Rf539c51cf98447fb" /><Relationship Type="http://schemas.openxmlformats.org/officeDocument/2006/relationships/worksheet" Target="/xl/worksheets/sheet4.xml" Id="R0d963c97e72544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6"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6" hidden="0" customWidth="1"/>
    <x:col min="15" max="15" width="66" hidden="0" customWidth="1"/>
    <x:col min="16" max="16" width="66"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AAPL</x:v>
      </x:c>
      <x:c r="C2" s="15" t="str">
        <x:v>Apple</x:v>
      </x:c>
      <x:c r="D2" s="15" t="str">
        <x:v>2016q2</x:v>
      </x:c>
      <x:c r="E2" s="15" t="str">
        <x:v>2016-04-26</x:v>
      </x:c>
      <x:c r="F2" s="18" t="n">
        <x:v>-1.03</x:v>
      </x:c>
      <x:c r="G2" s="18" t="n">
        <x:v>-6.52</x:v>
      </x:c>
      <x:c r="H2" s="18" t="n">
        <x:v>-7.49</x:v>
      </x:c>
      <x:c r="I2" s="18" t="n">
        <x:v>-7.75</x:v>
      </x:c>
      <x:c r="J2" s="18" t="n">
        <x:v>-10.42</x:v>
      </x:c>
      <x:c r="K2" s="15" t="str">
        <x:v>ret_1daypost_pct</x:v>
      </x:c>
      <x:c r="L2" s="15" t="str">
        <x:v>DOWN</x:v>
      </x:c>
      <x:c r="M2" s="15" t="str">
        <x:v>## Prior Context
The January quarter was still a record quarter, but Apple’s own guidance already pointed to a sharp slowdown. The April report was therefore a test of whether the iPhone 6s cycle was merely slowing or had entered a genuine contraction.
### Verified prior source
2016-01-26 | Apple | Apple Reports Record First Quarter Results | https://www.apple.com/newsroom/2016/01/26Apple-Reports-Record-First-Quarter-Results/
## Current Earnings Release
Apple reported fiscal Q2 revenue of **$50.6 billion**, down from $58.0 billion a year earlier, and diluted EPS of **$1.90**. Both missed contemporaneous expectations of roughly $52 billion of revenue and $2.00 EPS. iPhone sales fell sharply year over year, and Greater China revenue also declined materially.
The most important information was the **forward guide**: Apple projected fiscal Q3 revenue of only **$41–$43 billion**, far below the prior-year quarter and below Wall Street expectations. Services was a positive and the active-device base remained large, but the release confirmed that the iPhone slowdown would persist for more than one quarter.
### Verified release source
2016-04-26 | Apple | Apple Reports Second Quarter Results | https://www.apple.com/ca/newsroom/2016/04/26Apple-Reports-Second-Quarter-Results/
## Possible Drivers
**First-order driver.** The stock fell sharply because Apple missed revenue/EPS expectations and issued a much weaker Q3 revenue guide.
**Second-order driver.** The first year-over-year iPhone contraction made the slowdown look structural rather than merely seasonal.
**Third-order driver.** Services growth helped the long-term thesis but was not yet large enough to offset hardware weakness.
### Verified reaction source
2016-04-26 | TechCrunch | Why Apple’s stock fell off a cliff today | https://techcrunch.com/2016/04/26/why-apples-stock-fell-off-a-cliff-today/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2" s="15" t="str">
        <x:v>2016-01-26 | Apple | Apple Reports Record First Quarter Results | https://www.apple.com/newsroom/2016/01/26Apple-Reports-Record-First-Quarter-Results/</x:v>
      </x:c>
      <x:c r="O2" s="15" t="str">
        <x:v>2016-04-26 | Apple | Apple Reports Second Quarter Results | https://www.apple.com/ca/newsroom/2016/04/26Apple-Reports-Second-Quarter-Results/</x:v>
      </x:c>
      <x:c r="P2" s="15" t="str">
        <x:v>2016-04-26 | TechCrunch | Why Apple’s stock fell off a cliff today | https://techcrunch.com/2016/04/26/why-apples-stock-fell-off-a-cliff-today/</x:v>
      </x:c>
      <x:c r="Q2" s="15" t="str">
        <x:v>2016-01-26 | Apple | Apple Reports Record First Quarter Results | https://www.apple.com/newsroom/2016/01/26Apple-Reports-Record-First-Quarter-Results/
2016-04-26 | Apple | Apple Reports Second Quarter Results | https://www.apple.com/ca/newsroom/2016/04/26Apple-Reports-Second-Quarter-Results/
2016-04-26 | TechCrunch | Why Apple’s stock fell off a cliff today | https://techcrunch.com/2016/04/26/why-apples-stock-fell-off-a-cliff-today/</x:v>
      </x:c>
      <x:c r="R2" s="15" t="n">
        <x:v>3</x:v>
      </x:c>
      <x:c r="S2" s="15" t="str">
        <x:v>PASS</x:v>
      </x:c>
    </x:row>
    <x:row r="3" ht="340" customHeight="1">
      <x:c r="A3" s="15" t="n">
        <x:v>1</x:v>
      </x:c>
      <x:c r="B3" s="15" t="str">
        <x:v>AAPL</x:v>
      </x:c>
      <x:c r="C3" s="15" t="str">
        <x:v>Apple</x:v>
      </x:c>
      <x:c r="D3" s="15" t="str">
        <x:v>2016q3</x:v>
      </x:c>
      <x:c r="E3" s="15" t="str">
        <x:v>2016-07-26</x:v>
      </x:c>
      <x:c r="F3" s="18" t="n">
        <x:v>-0.85</x:v>
      </x:c>
      <x:c r="G3" s="18" t="n">
        <x:v>6.62</x:v>
      </x:c>
      <x:c r="H3" s="18" t="n">
        <x:v>5.71</x:v>
      </x:c>
      <x:c r="I3" s="18" t="n">
        <x:v>4.63</x:v>
      </x:c>
      <x:c r="J3" s="18" t="n">
        <x:v>5.46</x:v>
      </x:c>
      <x:c r="K3" s="15" t="str">
        <x:v>ret_1daypost_pct</x:v>
      </x:c>
      <x:c r="L3" s="15" t="str">
        <x:v>UP</x:v>
      </x:c>
      <x:c r="M3" s="15" t="str">
        <x:v>## Prior Context
After the April collapse, expectations were much lower. Apple had guided to $41–$43 billion of revenue, so the key question was whether the iPhone decline was stabilizing rather than whether the company had returned to growth.
### Verified prior source
2016-04-26 | Apple | Apple Reports Second Quarter Results | https://www.apple.com/ca/newsroom/2016/04/26Apple-Reports-Second-Quarter-Results/
## Current Earnings Release
Apple reported **$42.4 billion of revenue** and **$1.42 EPS**, both ahead of modest Wall Street expectations and within/above the company’s own guidance framework. Management said demand and business performance were stronger than it had anticipated at the start of the quarter.
The mix also improved. **Services revenue grew 19%**, while the lower-priced iPhone SE helped support unit demand. iPhone units were still down year over year, but the contraction was less severe than feared, which mattered because the market had already repriced Apple for a deep hardware downturn.
### Verified release source
2016-07-26 | Apple | Apple Reports Third Quarter Results | https://www.apple.com/newsroom/2016/07/apple-reports-third-quarter-results/
## Possible Drivers
**First-order driver.** Results were better than feared, driving a strong positive repricing after April’s reset.
**Second-order driver.** Better-than-expected iPhone SE demand reduced the severity of the unit decline.
**Third-order driver.** Services growth strengthened the case that Apple’s installed base could cushion hardware cycles.
### Verified reaction source
2016-07-27 | The Motley Fool | Apple Outperforms Expectations on Strong iPhone SE Sales | https://www.fool.com/investing/2016/07/27/apple-outperforms-expectations-on-strong-iphone-se.aspx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3" s="15" t="str">
        <x:v>2016-04-26 | Apple | Apple Reports Second Quarter Results | https://www.apple.com/ca/newsroom/2016/04/26Apple-Reports-Second-Quarter-Results/</x:v>
      </x:c>
      <x:c r="O3" s="15" t="str">
        <x:v>2016-07-26 | Apple | Apple Reports Third Quarter Results | https://www.apple.com/newsroom/2016/07/apple-reports-third-quarter-results/</x:v>
      </x:c>
      <x:c r="P3" s="15" t="str">
        <x:v>2016-07-27 | The Motley Fool | Apple Outperforms Expectations on Strong iPhone SE Sales | https://www.fool.com/investing/2016/07/27/apple-outperforms-expectations-on-strong-iphone-se.aspx</x:v>
      </x:c>
      <x:c r="Q3" s="15" t="str">
        <x:v>2016-04-26 | Apple | Apple Reports Second Quarter Results | https://www.apple.com/ca/newsroom/2016/04/26Apple-Reports-Second-Quarter-Results/
2016-07-26 | Apple | Apple Reports Third Quarter Results | https://www.apple.com/newsroom/2016/07/apple-reports-third-quarter-results/
2016-07-27 | The Motley Fool | Apple Outperforms Expectations on Strong iPhone SE Sales | https://www.fool.com/investing/2016/07/27/apple-outperforms-expectations-on-strong-iphone-se.aspx</x:v>
      </x:c>
      <x:c r="R3" s="15" t="n">
        <x:v>3</x:v>
      </x:c>
      <x:c r="S3" s="15" t="str">
        <x:v>PASS</x:v>
      </x:c>
    </x:row>
    <x:row r="4" ht="340" customHeight="1">
      <x:c r="A4" s="15" t="n">
        <x:v>2</x:v>
      </x:c>
      <x:c r="B4" s="15" t="str">
        <x:v>AAPL</x:v>
      </x:c>
      <x:c r="C4" s="15" t="str">
        <x:v>Apple</x:v>
      </x:c>
      <x:c r="D4" s="15" t="str">
        <x:v>2016q4</x:v>
      </x:c>
      <x:c r="E4" s="15" t="str">
        <x:v>2016-10-25</x:v>
      </x:c>
      <x:c r="F4" s="18" t="n">
        <x:v>0.95</x:v>
      </x:c>
      <x:c r="G4" s="18" t="n">
        <x:v>-1.97</x:v>
      </x:c>
      <x:c r="H4" s="18" t="n">
        <x:v>-1.04</x:v>
      </x:c>
      <x:c r="I4" s="18" t="n">
        <x:v>-0.59</x:v>
      </x:c>
      <x:c r="J4" s="18" t="n">
        <x:v>-1.55</x:v>
      </x:c>
      <x:c r="K4" s="15" t="str">
        <x:v>ret_1daypost_pct</x:v>
      </x:c>
      <x:c r="L4" s="15" t="str">
        <x:v>DOWN</x:v>
      </x:c>
      <x:c r="M4" s="15" t="str">
        <x:v>## Prior Context
The July quarter showed that Apple could beat a depressed expectations bar. By October, attention had shifted to the iPhone 7 launch and whether the holiday quarter would finally return the company to year-over-year revenue growth.
### Verified prior source
2016-07-26 | Apple | Apple Reports Third Quarter Results | https://www.apple.com/newsroom/2016/07/apple-reports-third-quarter-results/
## Current Earnings Release
Fiscal Q4 revenue was **$46.9 billion** and EPS **$1.67**, roughly in line to slightly above expectations. iPhone shipments were **45.5 million**, still down from 48.0 million a year earlier, while Services revenue increased **24% to $6.3 billion**.
Apple guided holiday-quarter revenue to **$76–$78 billion**, implying a return to growth. But the gross-margin outlook was only **38%–38.5%**, and the stock had already rallied substantially into the report. The result was therefore good, but not good enough relative to the expectations embedded in the price.
### Verified release source
2016-10-25 | Apple | Apple Reports Fourth Quarter Results | https://www.apple.com/newsroom/2016/10/apple-reports-fourth-quarter-results/
## Possible Drivers
**First-order driver.** Shares fell because a decent quarter and positive revenue guide did not clear the elevated expectations bar.
**Second-order driver.** The gross-margin outlook was slightly disappointing and limited expected earnings leverage.
**Third-order driver.** iPhone units were still declining year over year even as Services hit a record.
### Verified reaction source
2016-10-26 | TheStreet | Apple's Results and Guidance Were Decent, but Markets Wanted More | https://www.thestreet.com/investing/stocks/apple-s-results-and-guidance-were-decent-but-markets-wanted-more-13866938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4" s="15" t="str">
        <x:v>2016-07-26 | Apple | Apple Reports Third Quarter Results | https://www.apple.com/newsroom/2016/07/apple-reports-third-quarter-results/</x:v>
      </x:c>
      <x:c r="O4" s="15" t="str">
        <x:v>2016-10-25 | Apple | Apple Reports Fourth Quarter Results | https://www.apple.com/newsroom/2016/10/apple-reports-fourth-quarter-results/</x:v>
      </x:c>
      <x:c r="P4" s="15" t="str">
        <x:v>2016-10-26 | TheStreet | Apple's Results and Guidance Were Decent, but Markets Wanted More | https://www.thestreet.com/investing/stocks/apple-s-results-and-guidance-were-decent-but-markets-wanted-more-13866938</x:v>
      </x:c>
      <x:c r="Q4" s="15" t="str">
        <x:v>2016-07-26 | Apple | Apple Reports Third Quarter Results | https://www.apple.com/newsroom/2016/07/apple-reports-third-quarter-results/
2016-10-25 | Apple | Apple Reports Fourth Quarter Results | https://www.apple.com/newsroom/2016/10/apple-reports-fourth-quarter-results/
2016-10-26 | TheStreet | Apple's Results and Guidance Were Decent, but Markets Wanted More | https://www.thestreet.com/investing/stocks/apple-s-results-and-guidance-were-decent-but-markets-wanted-more-13866938</x:v>
      </x:c>
      <x:c r="R4" s="15" t="n">
        <x:v>3</x:v>
      </x:c>
      <x:c r="S4" s="15" t="str">
        <x:v>PASS</x:v>
      </x:c>
    </x:row>
    <x:row r="5" ht="340" customHeight="1">
      <x:c r="A5" s="15" t="n">
        <x:v>3</x:v>
      </x:c>
      <x:c r="B5" s="15" t="str">
        <x:v>AAPL</x:v>
      </x:c>
      <x:c r="C5" s="15" t="str">
        <x:v>Apple</x:v>
      </x:c>
      <x:c r="D5" s="15" t="str">
        <x:v>2017q1</x:v>
      </x:c>
      <x:c r="E5" s="15" t="str">
        <x:v>2017-01-31</x:v>
      </x:c>
      <x:c r="F5" s="18" t="n">
        <x:v>-0.31</x:v>
      </x:c>
      <x:c r="G5" s="18" t="n">
        <x:v>6.07</x:v>
      </x:c>
      <x:c r="H5" s="18" t="n">
        <x:v>5.74</x:v>
      </x:c>
      <x:c r="I5" s="18" t="n">
        <x:v>6.21</x:v>
      </x:c>
      <x:c r="J5" s="18" t="n">
        <x:v>5.59</x:v>
      </x:c>
      <x:c r="K5" s="15" t="str">
        <x:v>ret_1daypost_pct</x:v>
      </x:c>
      <x:c r="L5" s="15" t="str">
        <x:v>UP</x:v>
      </x:c>
      <x:c r="M5" s="15" t="str">
        <x:v>## Prior Context
Apple entered the holiday quarter expecting its first return to year-over-year revenue growth after three declining quarters. The key question was whether the iPhone 7/7 Plus cycle could create a genuine growth inflection.
### Verified prior source
2016-10-25 | Apple | Apple Reports Fourth Quarter Results | https://www.apple.com/newsroom/2016/10/apple-reports-fourth-quarter-results/
## Current Earnings Release
Apple delivered record fiscal Q1 revenue of **$78.4 billion** and EPS of **$3.36**, both above contemporaneous consensus. iPhone shipments reached a record **78.3 million**, also above expectations. Services, Mac and Apple Watch revenue all set records.
The quality of the result came from both volume and mix. Strong iPhone 7 Plus demand supported revenue, while Services continued to scale. Next-quarter revenue guidance was slightly softer than consensus, but the market focused on the return to top-line growth and the stronger-than-expected holiday iPhone performance.
### Verified release source
2017-01-31 | Apple | Apple Reports Record First Quarter Results | https://www.apple.com/newsroom/2017/01/apple-reports-record-first-quarter-results/
## Possible Drivers
**First-order driver.** The stock rose on a broad revenue, EPS and iPhone-unit beat.
**Second-order driver.** Higher-end iPhone mix improved revenue quality.
**Third-order driver.** Record Services revenue reinforced the installed-base monetization story.
### Verified reaction source
2017-01-31 | TechCrunch | Apple shares up 3% after company beats earnings expectations | https://techcrunch.com/2017/01/31/apple-shares-up-3-after-company-beats-earnings-expectations/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5" s="15" t="str">
        <x:v>2016-10-25 | Apple | Apple Reports Fourth Quarter Results | https://www.apple.com/newsroom/2016/10/apple-reports-fourth-quarter-results/</x:v>
      </x:c>
      <x:c r="O5" s="15" t="str">
        <x:v>2017-01-31 | Apple | Apple Reports Record First Quarter Results | https://www.apple.com/newsroom/2017/01/apple-reports-record-first-quarter-results/</x:v>
      </x:c>
      <x:c r="P5" s="15" t="str">
        <x:v>2017-01-31 | TechCrunch | Apple shares up 3% after company beats earnings expectations | https://techcrunch.com/2017/01/31/apple-shares-up-3-after-company-beats-earnings-expectations/</x:v>
      </x:c>
      <x:c r="Q5" s="15" t="str">
        <x:v>2016-10-25 | Apple | Apple Reports Fourth Quarter Results | https://www.apple.com/newsroom/2016/10/apple-reports-fourth-quarter-results/
2017-01-31 | Apple | Apple Reports Record First Quarter Results | https://www.apple.com/newsroom/2017/01/apple-reports-record-first-quarter-results/
2017-01-31 | TechCrunch | Apple shares up 3% after company beats earnings expectations | https://techcrunch.com/2017/01/31/apple-shares-up-3-after-company-beats-earnings-expectations/</x:v>
      </x:c>
      <x:c r="R5" s="15" t="n">
        <x:v>3</x:v>
      </x:c>
      <x:c r="S5" s="15" t="str">
        <x:v>PASS</x:v>
      </x:c>
    </x:row>
    <x:row r="6" ht="340" customHeight="1">
      <x:c r="A6" s="15" t="n">
        <x:v>4</x:v>
      </x:c>
      <x:c r="B6" s="15" t="str">
        <x:v>AAPL</x:v>
      </x:c>
      <x:c r="C6" s="15" t="str">
        <x:v>Apple</x:v>
      </x:c>
      <x:c r="D6" s="15" t="str">
        <x:v>2017q2</x:v>
      </x:c>
      <x:c r="E6" s="15" t="str">
        <x:v>2017-05-02</x:v>
      </x:c>
      <x:c r="F6" s="18" t="n">
        <x:v>0.61</x:v>
      </x:c>
      <x:c r="G6" s="18" t="n">
        <x:v>-0.05</x:v>
      </x:c>
      <x:c r="H6" s="18" t="n">
        <x:v>0.56</x:v>
      </x:c>
      <x:c r="I6" s="18" t="n">
        <x:v>2.41</x:v>
      </x:c>
      <x:c r="J6" s="18" t="n">
        <x:v>3.22</x:v>
      </x:c>
      <x:c r="K6" s="15" t="str">
        <x:v>ret_1daypost_pct</x:v>
      </x:c>
      <x:c r="L6" s="15" t="str">
        <x:v>FLAT</x:v>
      </x:c>
      <x:c r="M6" s="15" t="str">
        <x:v>## Prior Context
Following the record holiday quarter, Apple shares had rallied strongly. Expectations were increasingly influenced by anticipation of the next flagship iPhone, creating a risk that customers would delay upgrades.
### Verified prior source
2017-01-31 | Apple | Apple Reports Record First Quarter Results | https://www.apple.com/newsroom/2017/01/apple-reports-record-first-quarter-results/
## Current Earnings Release
Fiscal Q2 revenue was **$52.9 billion** and EPS **$2.10**. EPS beat consensus, but revenue was slightly below expectations and iPhone shipments of **50.8 million** missed estimates. Management attributed part of the softness to customers delaying purchases ahead of widely discussed future iPhones.
Services remained strong and Apple expanded its capital-return program to **$300 billion**. The quarter therefore combined a modest iPhone/revenue disappointment with solid profitability, Services growth and larger capital returns. Consistent with that mixed picture, the first full post-release session was essentially flat.
### Verified release source
2017-05-02 | Apple | Apple Reports Second Quarter Results | https://www.apple.com/newsroom/2017/05/apple-reports-second-quarter-results/
## Possible Drivers
**First-order driver.** The reaction was essentially flat because the iPhone/revenue miss was offset by solid EPS and capital returns.
**Second-order driver.** Upgrade deferral ahead of the next iPhone likely weighed on unit demand.
**Third-order driver.** Services growth and the enlarged capital-return program limited the downside.
### Verified reaction source
2017-05-03 | TheStreet | Apple Analysts Remain Bullish Despite Mixed Second-Quarter Results | https://www.thestreet.com/investing/stocks/apple-analysts-remain-bullish-despite-mixed-q2-results-what-wall-street-s-saying-14116429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6" s="15" t="str">
        <x:v>2017-01-31 | Apple | Apple Reports Record First Quarter Results | https://www.apple.com/newsroom/2017/01/apple-reports-record-first-quarter-results/</x:v>
      </x:c>
      <x:c r="O6" s="15" t="str">
        <x:v>2017-05-02 | Apple | Apple Reports Second Quarter Results | https://www.apple.com/newsroom/2017/05/apple-reports-second-quarter-results/</x:v>
      </x:c>
      <x:c r="P6" s="15" t="str">
        <x:v>2017-05-03 | TheStreet | Apple Analysts Remain Bullish Despite Mixed Second-Quarter Results | https://www.thestreet.com/investing/stocks/apple-analysts-remain-bullish-despite-mixed-q2-results-what-wall-street-s-saying-14116429</x:v>
      </x:c>
      <x:c r="Q6" s="15" t="str">
        <x:v>2017-01-31 | Apple | Apple Reports Record First Quarter Results | https://www.apple.com/newsroom/2017/01/apple-reports-record-first-quarter-results/
2017-05-02 | Apple | Apple Reports Second Quarter Results | https://www.apple.com/newsroom/2017/05/apple-reports-second-quarter-results/
2017-05-03 | TheStreet | Apple Analysts Remain Bullish Despite Mixed Second-Quarter Results | https://www.thestreet.com/investing/stocks/apple-analysts-remain-bullish-despite-mixed-q2-results-what-wall-street-s-saying-14116429</x:v>
      </x:c>
      <x:c r="R6" s="15" t="n">
        <x:v>3</x:v>
      </x:c>
      <x:c r="S6" s="15" t="str">
        <x:v>PASS</x:v>
      </x:c>
    </x:row>
    <x:row r="7" ht="340" customHeight="1">
      <x:c r="A7" s="15" t="n">
        <x:v>5</x:v>
      </x:c>
      <x:c r="B7" s="15" t="str">
        <x:v>AAPL</x:v>
      </x:c>
      <x:c r="C7" s="15" t="str">
        <x:v>Apple</x:v>
      </x:c>
      <x:c r="D7" s="15" t="str">
        <x:v>2017q3</x:v>
      </x:c>
      <x:c r="E7" s="15" t="str">
        <x:v>2017-08-01</x:v>
      </x:c>
      <x:c r="F7" s="18" t="n">
        <x:v>0.65</x:v>
      </x:c>
      <x:c r="G7" s="18" t="n">
        <x:v>4.82</x:v>
      </x:c>
      <x:c r="H7" s="18" t="n">
        <x:v>5.51</x:v>
      </x:c>
      <x:c r="I7" s="18" t="n">
        <x:v>5.05</x:v>
      </x:c>
      <x:c r="J7" s="18" t="n">
        <x:v>4.57</x:v>
      </x:c>
      <x:c r="K7" s="15" t="str">
        <x:v>ret_1daypost_pct</x:v>
      </x:c>
      <x:c r="L7" s="15" t="str">
        <x:v>UP</x:v>
      </x:c>
      <x:c r="M7" s="15" t="str">
        <x:v>## Prior Context
The May quarter was stable but slightly disappointing on iPhone units. By August, investors wanted evidence that Services, iPad and the installed base could sustain growth before the next major iPhone launch.
### Verified prior source
2017-05-02 | Apple | Apple Reports Second Quarter Results | https://www.apple.com/newsroom/2017/05/apple-reports-second-quarter-results/
## Current Earnings Release
Fiscal Q3 revenue increased **7% to $45.4 billion** and EPS rose **17% to $1.67**, both above consensus. Services reached another quarterly record, while revenue increased across product categories.
The most important part was guidance. Apple projected fiscal Q4 revenue of **$49–$52 billion**, with the midpoint above the then-consensus estimate. That suggested accelerating company-wide growth immediately before the new iPhone cycle and reduced concern that upgrade deferral would create a weak bridge quarter.
### Verified release source
2017-08-01 | Apple | Apple Reports Third Quarter Results | https://www.apple.com/newsroom/2017/08/apple-reports-third-quarter-results/
## Possible Drivers
**First-order driver.** Shares jumped because revenue, EPS and forward guidance all beat expectations.
**Second-order driver.** Record Services revenue showed improving growth outside the iPhone.
**Third-order driver.** Strong guidance reduced concern about customers waiting for the next iPhone.
### Verified reaction source
2017-08-02 | The Motley Fool | Why Apple, Inc. Stock Jumped on Wednesday | https://www.fool.com/investing/2017/08/02/why-apple-inc-stock-jumped-on-wednesday.aspx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7" s="15" t="str">
        <x:v>2017-05-02 | Apple | Apple Reports Second Quarter Results | https://www.apple.com/newsroom/2017/05/apple-reports-second-quarter-results/</x:v>
      </x:c>
      <x:c r="O7" s="15" t="str">
        <x:v>2017-08-01 | Apple | Apple Reports Third Quarter Results | https://www.apple.com/newsroom/2017/08/apple-reports-third-quarter-results/</x:v>
      </x:c>
      <x:c r="P7" s="15" t="str">
        <x:v>2017-08-02 | The Motley Fool | Why Apple, Inc. Stock Jumped on Wednesday | https://www.fool.com/investing/2017/08/02/why-apple-inc-stock-jumped-on-wednesday.aspx</x:v>
      </x:c>
      <x:c r="Q7" s="15" t="str">
        <x:v>2017-05-02 | Apple | Apple Reports Second Quarter Results | https://www.apple.com/newsroom/2017/05/apple-reports-second-quarter-results/
2017-08-01 | Apple | Apple Reports Third Quarter Results | https://www.apple.com/newsroom/2017/08/apple-reports-third-quarter-results/
2017-08-02 | The Motley Fool | Why Apple, Inc. Stock Jumped on Wednesday | https://www.fool.com/investing/2017/08/02/why-apple-inc-stock-jumped-on-wednesday.aspx</x:v>
      </x:c>
      <x:c r="R7" s="15" t="n">
        <x:v>3</x:v>
      </x:c>
      <x:c r="S7" s="15" t="str">
        <x:v>PASS</x:v>
      </x:c>
    </x:row>
    <x:row r="8" ht="340" customHeight="1">
      <x:c r="A8" s="15" t="n">
        <x:v>6</x:v>
      </x:c>
      <x:c r="B8" s="15" t="str">
        <x:v>AAPL</x:v>
      </x:c>
      <x:c r="C8" s="15" t="str">
        <x:v>Apple</x:v>
      </x:c>
      <x:c r="D8" s="15" t="str">
        <x:v>2017q4</x:v>
      </x:c>
      <x:c r="E8" s="15" t="str">
        <x:v>2017-11-02</x:v>
      </x:c>
      <x:c r="F8" s="18" t="n">
        <x:v>0.7</x:v>
      </x:c>
      <x:c r="G8" s="18" t="n">
        <x:v>2.33</x:v>
      </x:c>
      <x:c r="H8" s="18" t="n">
        <x:v>3.04</x:v>
      </x:c>
      <x:c r="I8" s="18" t="n">
        <x:v>1.65</x:v>
      </x:c>
      <x:c r="J8" s="18" t="n">
        <x:v>2.99</x:v>
      </x:c>
      <x:c r="K8" s="15" t="str">
        <x:v>ret_1daypost_pct</x:v>
      </x:c>
      <x:c r="L8" s="15" t="str">
        <x:v>UP</x:v>
      </x:c>
      <x:c r="M8" s="15" t="str">
        <x:v>## Prior Context
The August quarter had re-established accelerating growth. Going into November, investors focused on whether the iPhone 8/8 Plus and imminent iPhone X could sustain that momentum despite supply constraints.
### Verified prior source
2017-08-01 | Apple | Apple Reports Third Quarter Results | https://www.apple.com/newsroom/2017/08/apple-reports-third-quarter-results/
## Current Earnings Release
Fiscal Q4 revenue increased **12% to $52.6 billion** and EPS rose **24% to $2.07**, both above consensus. Services reached an all-time high, and revenue grew across the major product categories.
The key detail was that the strong quarter occurred **before iPhone X had begun shipping**. Apple therefore entered the holiday quarter with momentum already in place, while management’s outlook and early iPhone X demand supported confidence in the next quarter.
### Verified release source
2017-11-02 | Apple | Apple Reports Fourth Quarter Results | https://www.apple.com/newsroom/2017/11/apple-reports-fourth-quarter-results/
## Possible Drivers
**First-order driver.** The stock rose on a broad earnings beat and strong holiday-quarter expectations.
**Second-order driver.** Growth was broad-based across iPhone, iPad, Mac, Services and other products.
**Third-order driver.** Strong pre-iPhone-X performance reduced concern that supply constraints would derail the holiday period.
### Verified reaction source
2017-11-03 | The Motley Fool | What Happened in the Stock Market Today | https://www.fool.com/investing/2017/11/03/what-happened-in-the-stock-market-today.aspx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8" s="15" t="str">
        <x:v>2017-08-01 | Apple | Apple Reports Third Quarter Results | https://www.apple.com/newsroom/2017/08/apple-reports-third-quarter-results/</x:v>
      </x:c>
      <x:c r="O8" s="15" t="str">
        <x:v>2017-11-02 | Apple | Apple Reports Fourth Quarter Results | https://www.apple.com/newsroom/2017/11/apple-reports-fourth-quarter-results/</x:v>
      </x:c>
      <x:c r="P8" s="15" t="str">
        <x:v>2017-11-03 | The Motley Fool | What Happened in the Stock Market Today | https://www.fool.com/investing/2017/11/03/what-happened-in-the-stock-market-today.aspx</x:v>
      </x:c>
      <x:c r="Q8" s="15" t="str">
        <x:v>2017-08-01 | Apple | Apple Reports Third Quarter Results | https://www.apple.com/newsroom/2017/08/apple-reports-third-quarter-results/
2017-11-02 | Apple | Apple Reports Fourth Quarter Results | https://www.apple.com/newsroom/2017/11/apple-reports-fourth-quarter-results/
2017-11-03 | The Motley Fool | What Happened in the Stock Market Today | https://www.fool.com/investing/2017/11/03/what-happened-in-the-stock-market-today.aspx</x:v>
      </x:c>
      <x:c r="R8" s="15" t="n">
        <x:v>3</x:v>
      </x:c>
      <x:c r="S8" s="15" t="str">
        <x:v>PASS</x:v>
      </x:c>
    </x:row>
    <x:row r="9" ht="340" customHeight="1">
      <x:c r="A9" s="15" t="n">
        <x:v>7</x:v>
      </x:c>
      <x:c r="B9" s="15" t="str">
        <x:v>AAPL</x:v>
      </x:c>
      <x:c r="C9" s="15" t="str">
        <x:v>Apple</x:v>
      </x:c>
      <x:c r="D9" s="15" t="str">
        <x:v>2018q1</x:v>
      </x:c>
      <x:c r="E9" s="15" t="str">
        <x:v>2018-02-01</x:v>
      </x:c>
      <x:c r="F9" s="18" t="n">
        <x:v>0.24</x:v>
      </x:c>
      <x:c r="G9" s="18" t="n">
        <x:v>-2.25</x:v>
      </x:c>
      <x:c r="H9" s="18" t="n">
        <x:v>-2.02</x:v>
      </x:c>
      <x:c r="I9" s="18" t="n">
        <x:v>-1.77</x:v>
      </x:c>
      <x:c r="J9" s="18" t="n">
        <x:v>2.15</x:v>
      </x:c>
      <x:c r="K9" s="15" t="str">
        <x:v>ret_1daypost_pct</x:v>
      </x:c>
      <x:c r="L9" s="15" t="str">
        <x:v>DOWN</x:v>
      </x:c>
      <x:c r="M9" s="15" t="str">
        <x:v>## Prior Context
Apple entered the holiday quarter with enormous expectations for the iPhone X. The central debate was whether the premium device would create a true unit ‘supercycle’ or mainly lift average selling prices.
### Verified prior source
2017-11-02 | Apple | Apple Reports Fourth Quarter Results | https://www.apple.com/newsroom/2017/11/apple-reports-fourth-quarter-results/
## Current Earnings Release
Apple reported record fiscal Q1 revenue of **$88.3 billion** and EPS of **$3.89**. iPhone shipments were **77.3 million**, below the roughly 80 million units many investors expected, but iPhone average selling price rose sharply because of the iPhone X. Services also posted another record.
The weaker signal was the **March-quarter revenue guide of $60–$62 billion**, which came in below the level implied by supercycle expectations. The report showed that premium pricing could generate record revenue, but it weakened the thesis that iPhone X would trigger an exceptional unit-upgrade wave.
### Verified release source
2018-02-01 | Apple | Apple Reports First Quarter Results | https://www.apple.com/newsroom/2018/02/apple-reports-first-quarter-results/
## Possible Drivers
**First-order driver.** Shares fell because iPhone unit demand and March-quarter expectations were weaker than the supercycle narrative.
**Second-order driver.** Higher iPhone ASP protected revenue despite softer unit volume.
**Third-order driver.** A broad market selloff amplified the negative earnings reaction on the next trading day.
### Verified reaction source
2018-02-02 | The Motley Fool | Why Apple, Alphabet, and Chevron Slumped Today | https://www.fool.com/investing/2018/02/02/why-apple-alphabet-and-chevron-slumped-today.aspx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9" s="15" t="str">
        <x:v>2017-11-02 | Apple | Apple Reports Fourth Quarter Results | https://www.apple.com/newsroom/2017/11/apple-reports-fourth-quarter-results/</x:v>
      </x:c>
      <x:c r="O9" s="15" t="str">
        <x:v>2018-02-01 | Apple | Apple Reports First Quarter Results | https://www.apple.com/newsroom/2018/02/apple-reports-first-quarter-results/</x:v>
      </x:c>
      <x:c r="P9" s="15" t="str">
        <x:v>2018-02-02 | The Motley Fool | Why Apple, Alphabet, and Chevron Slumped Today | https://www.fool.com/investing/2018/02/02/why-apple-alphabet-and-chevron-slumped-today.aspx</x:v>
      </x:c>
      <x:c r="Q9" s="15" t="str">
        <x:v>2017-11-02 | Apple | Apple Reports Fourth Quarter Results | https://www.apple.com/newsroom/2017/11/apple-reports-fourth-quarter-results/
2018-02-01 | Apple | Apple Reports First Quarter Results | https://www.apple.com/newsroom/2018/02/apple-reports-first-quarter-results/
2018-02-02 | The Motley Fool | Why Apple, Alphabet, and Chevron Slumped Today | https://www.fool.com/investing/2018/02/02/why-apple-alphabet-and-chevron-slumped-today.aspx</x:v>
      </x:c>
      <x:c r="R9" s="15" t="n">
        <x:v>3</x:v>
      </x:c>
      <x:c r="S9" s="15" t="str">
        <x:v>PASS</x:v>
      </x:c>
    </x:row>
    <x:row r="10" ht="340" customHeight="1">
      <x:c r="A10" s="15" t="n">
        <x:v>8</x:v>
      </x:c>
      <x:c r="B10" s="15" t="str">
        <x:v>AAPL</x:v>
      </x:c>
      <x:c r="C10" s="15" t="str">
        <x:v>Apple</x:v>
      </x:c>
      <x:c r="D10" s="15" t="str">
        <x:v>2018q2</x:v>
      </x:c>
      <x:c r="E10" s="15" t="str">
        <x:v>2018-05-01</x:v>
      </x:c>
      <x:c r="F10" s="18" t="n">
        <x:v>2.1</x:v>
      </x:c>
      <x:c r="G10" s="18" t="n">
        <x:v>4.97</x:v>
      </x:c>
      <x:c r="H10" s="18" t="n">
        <x:v>7.18</x:v>
      </x:c>
      <x:c r="I10" s="18" t="n">
        <x:v>9.9</x:v>
      </x:c>
      <x:c r="J10" s="18" t="n">
        <x:v>13.32</x:v>
      </x:c>
      <x:c r="K10" s="15" t="str">
        <x:v>ret_1daypost_pct</x:v>
      </x:c>
      <x:c r="L10" s="15" t="str">
        <x:v>UP</x:v>
      </x:c>
      <x:c r="M10" s="15" t="str">
        <x:v>## Prior Context
After February, investors were skeptical about iPhone X demand and feared a sharp slowdown. Tax reform also made Apple’s overseas cash more accessible, putting capital returns at the center of the investment case.
### Verified prior source
2018-02-01 | Apple | Apple Reports First Quarter Results | https://www.apple.com/newsroom/2018/02/apple-reports-first-quarter-results/
## Current Earnings Release
Fiscal Q2 revenue increased **16% to $61.1 billion** and EPS rose **30% to $2.73**, both above consensus. Apple said iPhone X had been its best-selling iPhone every week of the quarter, directly contradicting the most bearish supply-chain narratives. Services revenue increased **31%**.
Apple also authorized a new **$100 billion share-repurchase program** and raised its dividend **16%**. The release therefore combined an operating beat, evidence of resilient premium-iPhone demand and a major increase in shareholder returns.
### Verified release source
2018-05-01 | Apple | Apple Reports Second Quarter Results | https://www.apple.com/newsroom/2018/05/apple-reports-second-quarter-results/
## Possible Drivers
**First-order driver.** Shares rose sharply because revenue, EPS and guidance beat expectations and iPhone X demand proved better than feared.
**Second-order driver.** Services growth broadened the earnings story beyond handset units.
**Third-order driver.** The $100 billion buyback materially strengthened the capital-return thesis.
### Verified reaction source
2018-05-02 | The Motley Fool | Why Apple, Inc. Stock Popped 5% Wednesday | https://www.fool.com/investing/2018/05/02/why-apple-inc-stock-popped-5-wednesday.aspx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10" s="15" t="str">
        <x:v>2018-02-01 | Apple | Apple Reports First Quarter Results | https://www.apple.com/newsroom/2018/02/apple-reports-first-quarter-results/</x:v>
      </x:c>
      <x:c r="O10" s="15" t="str">
        <x:v>2018-05-01 | Apple | Apple Reports Second Quarter Results | https://www.apple.com/newsroom/2018/05/apple-reports-second-quarter-results/</x:v>
      </x:c>
      <x:c r="P10" s="15" t="str">
        <x:v>2018-05-02 | The Motley Fool | Why Apple, Inc. Stock Popped 5% Wednesday | https://www.fool.com/investing/2018/05/02/why-apple-inc-stock-popped-5-wednesday.aspx</x:v>
      </x:c>
      <x:c r="Q10" s="15" t="str">
        <x:v>2018-02-01 | Apple | Apple Reports First Quarter Results | https://www.apple.com/newsroom/2018/02/apple-reports-first-quarter-results/
2018-05-01 | Apple | Apple Reports Second Quarter Results | https://www.apple.com/newsroom/2018/05/apple-reports-second-quarter-results/
2018-05-02 | The Motley Fool | Why Apple, Inc. Stock Popped 5% Wednesday | https://www.fool.com/investing/2018/05/02/why-apple-inc-stock-popped-5-wednesday.aspx</x:v>
      </x:c>
      <x:c r="R10" s="15" t="n">
        <x:v>3</x:v>
      </x:c>
      <x:c r="S10" s="15" t="str">
        <x:v>PASS</x:v>
      </x:c>
    </x:row>
    <x:row r="11" ht="340" customHeight="1">
      <x:c r="A11" s="15" t="n">
        <x:v>9</x:v>
      </x:c>
      <x:c r="B11" s="15" t="str">
        <x:v>AAPL</x:v>
      </x:c>
      <x:c r="C11" s="15" t="str">
        <x:v>Apple</x:v>
      </x:c>
      <x:c r="D11" s="15" t="str">
        <x:v>2018q3</x:v>
      </x:c>
      <x:c r="E11" s="15" t="str">
        <x:v>2018-07-31</x:v>
      </x:c>
      <x:c r="F11" s="18" t="n">
        <x:v>-0.35</x:v>
      </x:c>
      <x:c r="G11" s="18" t="n">
        <x:v>6.02</x:v>
      </x:c>
      <x:c r="H11" s="18" t="n">
        <x:v>5.65</x:v>
      </x:c>
      <x:c r="I11" s="18" t="n">
        <x:v>5.64</x:v>
      </x:c>
      <x:c r="J11" s="18" t="n">
        <x:v>8.11</x:v>
      </x:c>
      <x:c r="K11" s="15" t="str">
        <x:v>ret_1daypost_pct</x:v>
      </x:c>
      <x:c r="L11" s="15" t="str">
        <x:v>UP</x:v>
      </x:c>
      <x:c r="M11" s="15" t="str">
        <x:v>## Prior Context
The May quarter had relieved iPhone X demand fears and introduced a massive new buyback. By July, the key question was whether Apple could sustain double-digit growth with mature iPhone units.
### Verified prior source
2018-05-01 | Apple | Apple Reports Second Quarter Results | https://www.apple.com/newsroom/2018/05/apple-reports-second-quarter-results/
## Current Earnings Release
Fiscal Q3 revenue increased **17% to $53.3 billion** and EPS rose **40% to $2.34**, both above consensus. Services reached a new all-time high. iPhone unit growth was limited, but higher average selling prices allowed the handset business to generate more revenue from a relatively stable unit base.
Apple guided fiscal Q4 revenue to **$60–$62 billion**, above the then-consensus expectation. The quarter demonstrated that Apple no longer required rapid iPhone unit growth to produce strong company-wide revenue and EPS growth.
### Verified release source
2018-07-31 | Apple | Apple Reports Third Quarter Results | https://www.apple.com/newsroom/2018/07/apple-reports-third-quarter-results/
## Possible Drivers
**First-order driver.** Shares jumped because revenue, EPS and forward guidance all exceeded expectations.
**Second-order driver.** Higher iPhone pricing compensated for mature unit volumes.
**Third-order driver.** Record Services growth reinforced the transition toward a more diversified earnings mix.
### Verified reaction source
2018-08-01 | The Motley Fool | Why Apple, Inc. Stock Jumped Today | https://www.fool.com/investing/2018/08/01/why-apple-inc-stock-jumped-today.aspx
## Verification Status
Every included URL was re-checked on the live web on **2026-08-31**. The page had to open successfully and match Apple/AAPL, the correct earnings event, displayed publication date and timing window. No WSJ, Reuters, Dow Jones or MarketWatch-syndicated article is included.
</x:v>
      </x:c>
      <x:c r="N11" s="15" t="str">
        <x:v>2018-05-01 | Apple | Apple Reports Second Quarter Results | https://www.apple.com/newsroom/2018/05/apple-reports-second-quarter-results/</x:v>
      </x:c>
      <x:c r="O11" s="15" t="str">
        <x:v>2018-07-31 | Apple | Apple Reports Third Quarter Results | https://www.apple.com/newsroom/2018/07/apple-reports-third-quarter-results/</x:v>
      </x:c>
      <x:c r="P11" s="15" t="str">
        <x:v>2018-08-01 | The Motley Fool | Why Apple, Inc. Stock Jumped Today | https://www.fool.com/investing/2018/08/01/why-apple-inc-stock-jumped-today.aspx</x:v>
      </x:c>
      <x:c r="Q11" s="15" t="str">
        <x:v>2018-05-01 | Apple | Apple Reports Second Quarter Results | https://www.apple.com/newsroom/2018/05/apple-reports-second-quarter-results/
2018-07-31 | Apple | Apple Reports Third Quarter Results | https://www.apple.com/newsroom/2018/07/apple-reports-third-quarter-results/
2018-08-01 | The Motley Fool | Why Apple, Inc. Stock Jumped Today | https://www.fool.com/investing/2018/08/01/why-apple-inc-stock-jumped-today.aspx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2" hidden="0" customWidth="1"/>
    <x:col min="7" max="7" width="58" hidden="0" customWidth="1"/>
    <x:col min="8" max="8" width="92" hidden="0" customWidth="1"/>
    <x:col min="9" max="9" width="24"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14" hidden="0" customWidth="1"/>
    <x:col min="18" max="18"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live_web_status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verified_url</x:v>
      </x:c>
      <x:c r="R1" s="6" t="str">
        <x:v>verification_note</x:v>
      </x:c>
    </x:row>
    <x:row r="2">
      <x:c r="A2" s="12" t="str">
        <x:v>2016-04-26</x:v>
      </x:c>
      <x:c r="B2" s="12" t="str">
        <x:v>AAPL</x:v>
      </x:c>
      <x:c r="C2" s="12" t="str">
        <x:v>prior</x:v>
      </x:c>
      <x:c r="D2" s="12" t="str">
        <x:v>2016-01-26</x:v>
      </x:c>
      <x:c r="E2" s="12" t="n">
        <x:v>-91</x:v>
      </x:c>
      <x:c r="F2" s="12" t="str">
        <x:v>Apple</x:v>
      </x:c>
      <x:c r="G2" s="12" t="str">
        <x:v>Apple Reports Record First Quarter Results</x:v>
      </x:c>
      <x:c r="H2" s="12" t="str">
        <x:v>https://www.apple.com/newsroom/2016/01/26Apple-Reports-Record-First-Quarter-Results/</x:v>
      </x:c>
      <x:c r="I2" s="12" t="str">
        <x:v>LIVE_VERIFIED_2026-08-31</x:v>
      </x:c>
      <x:c r="J2" s="12" t="str">
        <x:v>PASS</x:v>
      </x:c>
      <x:c r="K2" s="12" t="str">
        <x:v>PASS</x:v>
      </x:c>
      <x:c r="L2" s="12" t="str">
        <x:v>PASS</x:v>
      </x:c>
      <x:c r="M2" s="12" t="str">
        <x:v>NO</x:v>
      </x:c>
      <x:c r="N2" s="12" t="str">
        <x:v>PASS</x:v>
      </x:c>
      <x:c r="O2" s="12" t="str">
        <x:v>FACTUAL</x:v>
      </x:c>
      <x:c r="P2" s="12" t="str">
        <x:v>PASS</x:v>
      </x:c>
      <x:c r="Q2" s="12" t="str">
        <x:v>https://www.apple.com/newsroom/2016/01/26Apple-Reports-Record-First-Quarter-Results/</x:v>
      </x:c>
      <x:c r="R2" s="12" t="str">
        <x:v>URL was re-checked on the live web on 2026-08-31; page identity, event date and source origin were verified.</x:v>
      </x:c>
    </x:row>
    <x:row r="3">
      <x:c r="A3" s="12" t="str">
        <x:v>2016-04-26</x:v>
      </x:c>
      <x:c r="B3" s="12" t="str">
        <x:v>AAPL</x:v>
      </x:c>
      <x:c r="C3" s="12" t="str">
        <x:v>release</x:v>
      </x:c>
      <x:c r="D3" s="12" t="str">
        <x:v>2016-04-26</x:v>
      </x:c>
      <x:c r="E3" s="12" t="n">
        <x:v>0</x:v>
      </x:c>
      <x:c r="F3" s="12" t="str">
        <x:v>Apple</x:v>
      </x:c>
      <x:c r="G3" s="12" t="str">
        <x:v>Apple Reports Second Quarter Results</x:v>
      </x:c>
      <x:c r="H3" s="12" t="str">
        <x:v>https://www.apple.com/ca/newsroom/2016/04/26Apple-Reports-Second-Quarter-Results/</x:v>
      </x:c>
      <x:c r="I3" s="12" t="str">
        <x:v>LIVE_VERIFIED_2026-08-31</x:v>
      </x:c>
      <x:c r="J3" s="12" t="str">
        <x:v>PASS</x:v>
      </x:c>
      <x:c r="K3" s="12" t="str">
        <x:v>PASS</x:v>
      </x:c>
      <x:c r="L3" s="12" t="str">
        <x:v>PASS</x:v>
      </x:c>
      <x:c r="M3" s="12" t="str">
        <x:v>NO</x:v>
      </x:c>
      <x:c r="N3" s="12" t="str">
        <x:v>PASS</x:v>
      </x:c>
      <x:c r="O3" s="12" t="str">
        <x:v>FACTUAL</x:v>
      </x:c>
      <x:c r="P3" s="12" t="str">
        <x:v>PASS</x:v>
      </x:c>
      <x:c r="Q3" s="12" t="str">
        <x:v>https://www.apple.com/ca/newsroom/2016/04/26Apple-Reports-Second-Quarter-Results/</x:v>
      </x:c>
      <x:c r="R3" s="12" t="str">
        <x:v>URL was re-checked on the live web on 2026-08-31; page identity, event date and source origin were verified.</x:v>
      </x:c>
    </x:row>
    <x:row r="4">
      <x:c r="A4" s="12" t="str">
        <x:v>2016-04-26</x:v>
      </x:c>
      <x:c r="B4" s="12" t="str">
        <x:v>AAPL</x:v>
      </x:c>
      <x:c r="C4" s="12" t="str">
        <x:v>reaction</x:v>
      </x:c>
      <x:c r="D4" s="12" t="str">
        <x:v>2016-04-26</x:v>
      </x:c>
      <x:c r="E4" s="12" t="n">
        <x:v>0</x:v>
      </x:c>
      <x:c r="F4" s="12" t="str">
        <x:v>TechCrunch</x:v>
      </x:c>
      <x:c r="G4" s="12" t="str">
        <x:v>Why Apple’s stock fell off a cliff today</x:v>
      </x:c>
      <x:c r="H4" s="12" t="str">
        <x:v>https://techcrunch.com/2016/04/26/why-apples-stock-fell-off-a-cliff-today/</x:v>
      </x:c>
      <x:c r="I4" s="12" t="str">
        <x:v>LIVE_VERIFIED_2026-08-31</x:v>
      </x:c>
      <x:c r="J4" s="12" t="str">
        <x:v>PASS</x:v>
      </x:c>
      <x:c r="K4" s="12" t="str">
        <x:v>PASS</x:v>
      </x:c>
      <x:c r="L4" s="12" t="str">
        <x:v>PASS</x:v>
      </x:c>
      <x:c r="M4" s="12" t="str">
        <x:v>NO</x:v>
      </x:c>
      <x:c r="N4" s="12" t="str">
        <x:v>PASS</x:v>
      </x:c>
      <x:c r="O4" s="12" t="str">
        <x:v>CONTEMPORANEOUS_ATTRIBUTION</x:v>
      </x:c>
      <x:c r="P4" s="12" t="str">
        <x:v>PASS</x:v>
      </x:c>
      <x:c r="Q4" s="12" t="str">
        <x:v>https://techcrunch.com/2016/04/26/why-apples-stock-fell-off-a-cliff-today/</x:v>
      </x:c>
      <x:c r="R4" s="12" t="str">
        <x:v>URL was re-checked on the live web on 2026-08-31; page identity, event date and source origin were verified.</x:v>
      </x:c>
    </x:row>
    <x:row r="5">
      <x:c r="A5" s="12" t="str">
        <x:v>2016-07-26</x:v>
      </x:c>
      <x:c r="B5" s="12" t="str">
        <x:v>AAPL</x:v>
      </x:c>
      <x:c r="C5" s="12" t="str">
        <x:v>prior</x:v>
      </x:c>
      <x:c r="D5" s="12" t="str">
        <x:v>2016-04-26</x:v>
      </x:c>
      <x:c r="E5" s="12" t="n">
        <x:v>-91</x:v>
      </x:c>
      <x:c r="F5" s="12" t="str">
        <x:v>Apple</x:v>
      </x:c>
      <x:c r="G5" s="12" t="str">
        <x:v>Apple Reports Second Quarter Results</x:v>
      </x:c>
      <x:c r="H5" s="12" t="str">
        <x:v>https://www.apple.com/ca/newsroom/2016/04/26Apple-Reports-Second-Quarter-Results/</x:v>
      </x:c>
      <x:c r="I5" s="12" t="str">
        <x:v>LIVE_VERIFIED_2026-08-31</x:v>
      </x:c>
      <x:c r="J5" s="12" t="str">
        <x:v>PASS</x:v>
      </x:c>
      <x:c r="K5" s="12" t="str">
        <x:v>PASS</x:v>
      </x:c>
      <x:c r="L5" s="12" t="str">
        <x:v>PASS</x:v>
      </x:c>
      <x:c r="M5" s="12" t="str">
        <x:v>NO</x:v>
      </x:c>
      <x:c r="N5" s="12" t="str">
        <x:v>PASS</x:v>
      </x:c>
      <x:c r="O5" s="12" t="str">
        <x:v>FACTUAL</x:v>
      </x:c>
      <x:c r="P5" s="12" t="str">
        <x:v>PASS</x:v>
      </x:c>
      <x:c r="Q5" s="12" t="str">
        <x:v>https://www.apple.com/ca/newsroom/2016/04/26Apple-Reports-Second-Quarter-Results/</x:v>
      </x:c>
      <x:c r="R5" s="12" t="str">
        <x:v>URL was re-checked on the live web on 2026-08-31; page identity, event date and source origin were verified.</x:v>
      </x:c>
    </x:row>
    <x:row r="6">
      <x:c r="A6" s="12" t="str">
        <x:v>2016-07-26</x:v>
      </x:c>
      <x:c r="B6" s="12" t="str">
        <x:v>AAPL</x:v>
      </x:c>
      <x:c r="C6" s="12" t="str">
        <x:v>release</x:v>
      </x:c>
      <x:c r="D6" s="12" t="str">
        <x:v>2016-07-26</x:v>
      </x:c>
      <x:c r="E6" s="12" t="n">
        <x:v>0</x:v>
      </x:c>
      <x:c r="F6" s="12" t="str">
        <x:v>Apple</x:v>
      </x:c>
      <x:c r="G6" s="12" t="str">
        <x:v>Apple Reports Third Quarter Results</x:v>
      </x:c>
      <x:c r="H6" s="12" t="str">
        <x:v>https://www.apple.com/newsroom/2016/07/apple-reports-third-quarter-results/</x:v>
      </x:c>
      <x:c r="I6" s="12" t="str">
        <x:v>LIVE_VERIFIED_2026-08-31</x:v>
      </x:c>
      <x:c r="J6" s="12" t="str">
        <x:v>PASS</x:v>
      </x:c>
      <x:c r="K6" s="12" t="str">
        <x:v>PASS</x:v>
      </x:c>
      <x:c r="L6" s="12" t="str">
        <x:v>PASS</x:v>
      </x:c>
      <x:c r="M6" s="12" t="str">
        <x:v>NO</x:v>
      </x:c>
      <x:c r="N6" s="12" t="str">
        <x:v>PASS</x:v>
      </x:c>
      <x:c r="O6" s="12" t="str">
        <x:v>FACTUAL</x:v>
      </x:c>
      <x:c r="P6" s="12" t="str">
        <x:v>PASS</x:v>
      </x:c>
      <x:c r="Q6" s="12" t="str">
        <x:v>https://www.apple.com/newsroom/2016/07/apple-reports-third-quarter-results/</x:v>
      </x:c>
      <x:c r="R6" s="12" t="str">
        <x:v>URL was re-checked on the live web on 2026-08-31; page identity, event date and source origin were verified.</x:v>
      </x:c>
    </x:row>
    <x:row r="7">
      <x:c r="A7" s="12" t="str">
        <x:v>2016-07-26</x:v>
      </x:c>
      <x:c r="B7" s="12" t="str">
        <x:v>AAPL</x:v>
      </x:c>
      <x:c r="C7" s="12" t="str">
        <x:v>reaction</x:v>
      </x:c>
      <x:c r="D7" s="12" t="str">
        <x:v>2016-07-27</x:v>
      </x:c>
      <x:c r="E7" s="12" t="n">
        <x:v>1</x:v>
      </x:c>
      <x:c r="F7" s="12" t="str">
        <x:v>The Motley Fool</x:v>
      </x:c>
      <x:c r="G7" s="12" t="str">
        <x:v>Apple Outperforms Expectations on Strong iPhone SE Sales</x:v>
      </x:c>
      <x:c r="H7" s="12" t="str">
        <x:v>https://www.fool.com/investing/2016/07/27/apple-outperforms-expectations-on-strong-iphone-se.aspx</x:v>
      </x:c>
      <x:c r="I7" s="12" t="str">
        <x:v>LIVE_VERIFIED_2026-08-31</x:v>
      </x:c>
      <x:c r="J7" s="12" t="str">
        <x:v>PASS</x:v>
      </x:c>
      <x:c r="K7" s="12" t="str">
        <x:v>PASS</x:v>
      </x:c>
      <x:c r="L7" s="12" t="str">
        <x:v>PASS</x:v>
      </x:c>
      <x:c r="M7" s="12" t="str">
        <x:v>NO</x:v>
      </x:c>
      <x:c r="N7" s="12" t="str">
        <x:v>PASS</x:v>
      </x:c>
      <x:c r="O7" s="12" t="str">
        <x:v>CONTEMPORANEOUS_ATTRIBUTION</x:v>
      </x:c>
      <x:c r="P7" s="12" t="str">
        <x:v>PASS</x:v>
      </x:c>
      <x:c r="Q7" s="12" t="str">
        <x:v>https://www.fool.com/investing/2016/07/27/apple-outperforms-expectations-on-strong-iphone-se.aspx</x:v>
      </x:c>
      <x:c r="R7" s="12" t="str">
        <x:v>URL was re-checked on the live web on 2026-08-31; page identity, event date and source origin were verified.</x:v>
      </x:c>
    </x:row>
    <x:row r="8">
      <x:c r="A8" s="12" t="str">
        <x:v>2016-10-25</x:v>
      </x:c>
      <x:c r="B8" s="12" t="str">
        <x:v>AAPL</x:v>
      </x:c>
      <x:c r="C8" s="12" t="str">
        <x:v>prior</x:v>
      </x:c>
      <x:c r="D8" s="12" t="str">
        <x:v>2016-07-26</x:v>
      </x:c>
      <x:c r="E8" s="12" t="n">
        <x:v>-91</x:v>
      </x:c>
      <x:c r="F8" s="12" t="str">
        <x:v>Apple</x:v>
      </x:c>
      <x:c r="G8" s="12" t="str">
        <x:v>Apple Reports Third Quarter Results</x:v>
      </x:c>
      <x:c r="H8" s="12" t="str">
        <x:v>https://www.apple.com/newsroom/2016/07/apple-reports-third-quarter-results/</x:v>
      </x:c>
      <x:c r="I8" s="12" t="str">
        <x:v>LIVE_VERIFIED_2026-08-31</x:v>
      </x:c>
      <x:c r="J8" s="12" t="str">
        <x:v>PASS</x:v>
      </x:c>
      <x:c r="K8" s="12" t="str">
        <x:v>PASS</x:v>
      </x:c>
      <x:c r="L8" s="12" t="str">
        <x:v>PASS</x:v>
      </x:c>
      <x:c r="M8" s="12" t="str">
        <x:v>NO</x:v>
      </x:c>
      <x:c r="N8" s="12" t="str">
        <x:v>PASS</x:v>
      </x:c>
      <x:c r="O8" s="12" t="str">
        <x:v>FACTUAL</x:v>
      </x:c>
      <x:c r="P8" s="12" t="str">
        <x:v>PASS</x:v>
      </x:c>
      <x:c r="Q8" s="12" t="str">
        <x:v>https://www.apple.com/newsroom/2016/07/apple-reports-third-quarter-results/</x:v>
      </x:c>
      <x:c r="R8" s="12" t="str">
        <x:v>URL was re-checked on the live web on 2026-08-31; page identity, event date and source origin were verified.</x:v>
      </x:c>
    </x:row>
    <x:row r="9">
      <x:c r="A9" s="12" t="str">
        <x:v>2016-10-25</x:v>
      </x:c>
      <x:c r="B9" s="12" t="str">
        <x:v>AAPL</x:v>
      </x:c>
      <x:c r="C9" s="12" t="str">
        <x:v>release</x:v>
      </x:c>
      <x:c r="D9" s="12" t="str">
        <x:v>2016-10-25</x:v>
      </x:c>
      <x:c r="E9" s="12" t="n">
        <x:v>0</x:v>
      </x:c>
      <x:c r="F9" s="12" t="str">
        <x:v>Apple</x:v>
      </x:c>
      <x:c r="G9" s="12" t="str">
        <x:v>Apple Reports Fourth Quarter Results</x:v>
      </x:c>
      <x:c r="H9" s="12" t="str">
        <x:v>https://www.apple.com/newsroom/2016/10/apple-reports-fourth-quarter-results/</x:v>
      </x:c>
      <x:c r="I9" s="12" t="str">
        <x:v>LIVE_VERIFIED_2026-08-31</x:v>
      </x:c>
      <x:c r="J9" s="12" t="str">
        <x:v>PASS</x:v>
      </x:c>
      <x:c r="K9" s="12" t="str">
        <x:v>PASS</x:v>
      </x:c>
      <x:c r="L9" s="12" t="str">
        <x:v>PASS</x:v>
      </x:c>
      <x:c r="M9" s="12" t="str">
        <x:v>NO</x:v>
      </x:c>
      <x:c r="N9" s="12" t="str">
        <x:v>PASS</x:v>
      </x:c>
      <x:c r="O9" s="12" t="str">
        <x:v>FACTUAL</x:v>
      </x:c>
      <x:c r="P9" s="12" t="str">
        <x:v>PASS</x:v>
      </x:c>
      <x:c r="Q9" s="12" t="str">
        <x:v>https://www.apple.com/newsroom/2016/10/apple-reports-fourth-quarter-results/</x:v>
      </x:c>
      <x:c r="R9" s="12" t="str">
        <x:v>URL was re-checked on the live web on 2026-08-31; page identity, event date and source origin were verified.</x:v>
      </x:c>
    </x:row>
    <x:row r="10">
      <x:c r="A10" s="12" t="str">
        <x:v>2016-10-25</x:v>
      </x:c>
      <x:c r="B10" s="12" t="str">
        <x:v>AAPL</x:v>
      </x:c>
      <x:c r="C10" s="12" t="str">
        <x:v>reaction</x:v>
      </x:c>
      <x:c r="D10" s="12" t="str">
        <x:v>2016-10-26</x:v>
      </x:c>
      <x:c r="E10" s="12" t="n">
        <x:v>1</x:v>
      </x:c>
      <x:c r="F10" s="12" t="str">
        <x:v>TheStreet</x:v>
      </x:c>
      <x:c r="G10" s="12" t="str">
        <x:v>Apple's Results and Guidance Were Decent, but Markets Wanted More</x:v>
      </x:c>
      <x:c r="H10" s="12" t="str">
        <x:v>https://www.thestreet.com/investing/stocks/apple-s-results-and-guidance-were-decent-but-markets-wanted-more-13866938</x:v>
      </x:c>
      <x:c r="I10" s="12" t="str">
        <x:v>LIVE_VERIFIED_2026-08-31</x:v>
      </x:c>
      <x:c r="J10" s="12" t="str">
        <x:v>PASS</x:v>
      </x:c>
      <x:c r="K10" s="12" t="str">
        <x:v>PASS</x:v>
      </x:c>
      <x:c r="L10" s="12" t="str">
        <x:v>PASS</x:v>
      </x:c>
      <x:c r="M10" s="12" t="str">
        <x:v>NO</x:v>
      </x:c>
      <x:c r="N10" s="12" t="str">
        <x:v>PASS</x:v>
      </x:c>
      <x:c r="O10" s="12" t="str">
        <x:v>CONTEMPORANEOUS_ATTRIBUTION</x:v>
      </x:c>
      <x:c r="P10" s="12" t="str">
        <x:v>PASS</x:v>
      </x:c>
      <x:c r="Q10" s="12" t="str">
        <x:v>https://www.thestreet.com/investing/stocks/apple-s-results-and-guidance-were-decent-but-markets-wanted-more-13866938</x:v>
      </x:c>
      <x:c r="R10" s="12" t="str">
        <x:v>URL was re-checked on the live web on 2026-08-31; page identity, event date and source origin were verified.</x:v>
      </x:c>
    </x:row>
    <x:row r="11">
      <x:c r="A11" s="12" t="str">
        <x:v>2017-01-31</x:v>
      </x:c>
      <x:c r="B11" s="12" t="str">
        <x:v>AAPL</x:v>
      </x:c>
      <x:c r="C11" s="12" t="str">
        <x:v>prior</x:v>
      </x:c>
      <x:c r="D11" s="12" t="str">
        <x:v>2016-10-25</x:v>
      </x:c>
      <x:c r="E11" s="12" t="n">
        <x:v>-98</x:v>
      </x:c>
      <x:c r="F11" s="12" t="str">
        <x:v>Apple</x:v>
      </x:c>
      <x:c r="G11" s="12" t="str">
        <x:v>Apple Reports Fourth Quarter Results</x:v>
      </x:c>
      <x:c r="H11" s="12" t="str">
        <x:v>https://www.apple.com/newsroom/2016/10/apple-reports-fourth-quarter-results/</x:v>
      </x:c>
      <x:c r="I11" s="12" t="str">
        <x:v>LIVE_VERIFIED_2026-08-31</x:v>
      </x:c>
      <x:c r="J11" s="12" t="str">
        <x:v>PASS</x:v>
      </x:c>
      <x:c r="K11" s="12" t="str">
        <x:v>PASS</x:v>
      </x:c>
      <x:c r="L11" s="12" t="str">
        <x:v>PASS</x:v>
      </x:c>
      <x:c r="M11" s="12" t="str">
        <x:v>NO</x:v>
      </x:c>
      <x:c r="N11" s="12" t="str">
        <x:v>PASS</x:v>
      </x:c>
      <x:c r="O11" s="12" t="str">
        <x:v>FACTUAL</x:v>
      </x:c>
      <x:c r="P11" s="12" t="str">
        <x:v>PASS</x:v>
      </x:c>
      <x:c r="Q11" s="12" t="str">
        <x:v>https://www.apple.com/newsroom/2016/10/apple-reports-fourth-quarter-results/</x:v>
      </x:c>
      <x:c r="R11" s="12" t="str">
        <x:v>URL was re-checked on the live web on 2026-08-31; page identity, event date and source origin were verified.</x:v>
      </x:c>
    </x:row>
    <x:row r="12">
      <x:c r="A12" s="12" t="str">
        <x:v>2017-01-31</x:v>
      </x:c>
      <x:c r="B12" s="12" t="str">
        <x:v>AAPL</x:v>
      </x:c>
      <x:c r="C12" s="12" t="str">
        <x:v>release</x:v>
      </x:c>
      <x:c r="D12" s="12" t="str">
        <x:v>2017-01-31</x:v>
      </x:c>
      <x:c r="E12" s="12" t="n">
        <x:v>0</x:v>
      </x:c>
      <x:c r="F12" s="12" t="str">
        <x:v>Apple</x:v>
      </x:c>
      <x:c r="G12" s="12" t="str">
        <x:v>Apple Reports Record First Quarter Results</x:v>
      </x:c>
      <x:c r="H12" s="12" t="str">
        <x:v>https://www.apple.com/newsroom/2017/01/apple-reports-record-first-quarter-results/</x:v>
      </x:c>
      <x:c r="I12" s="12" t="str">
        <x:v>LIVE_VERIFIED_2026-08-31</x:v>
      </x:c>
      <x:c r="J12" s="12" t="str">
        <x:v>PASS</x:v>
      </x:c>
      <x:c r="K12" s="12" t="str">
        <x:v>PASS</x:v>
      </x:c>
      <x:c r="L12" s="12" t="str">
        <x:v>PASS</x:v>
      </x:c>
      <x:c r="M12" s="12" t="str">
        <x:v>NO</x:v>
      </x:c>
      <x:c r="N12" s="12" t="str">
        <x:v>PASS</x:v>
      </x:c>
      <x:c r="O12" s="12" t="str">
        <x:v>FACTUAL</x:v>
      </x:c>
      <x:c r="P12" s="12" t="str">
        <x:v>PASS</x:v>
      </x:c>
      <x:c r="Q12" s="12" t="str">
        <x:v>https://www.apple.com/newsroom/2017/01/apple-reports-record-first-quarter-results/</x:v>
      </x:c>
      <x:c r="R12" s="12" t="str">
        <x:v>URL was re-checked on the live web on 2026-08-31; page identity, event date and source origin were verified.</x:v>
      </x:c>
    </x:row>
    <x:row r="13">
      <x:c r="A13" s="12" t="str">
        <x:v>2017-01-31</x:v>
      </x:c>
      <x:c r="B13" s="12" t="str">
        <x:v>AAPL</x:v>
      </x:c>
      <x:c r="C13" s="12" t="str">
        <x:v>reaction</x:v>
      </x:c>
      <x:c r="D13" s="12" t="str">
        <x:v>2017-01-31</x:v>
      </x:c>
      <x:c r="E13" s="12" t="n">
        <x:v>0</x:v>
      </x:c>
      <x:c r="F13" s="12" t="str">
        <x:v>TechCrunch</x:v>
      </x:c>
      <x:c r="G13" s="12" t="str">
        <x:v>Apple shares up 3% after company beats earnings expectations</x:v>
      </x:c>
      <x:c r="H13" s="12" t="str">
        <x:v>https://techcrunch.com/2017/01/31/apple-shares-up-3-after-company-beats-earnings-expectations/</x:v>
      </x:c>
      <x:c r="I13" s="12" t="str">
        <x:v>LIVE_VERIFIED_2026-08-31</x:v>
      </x:c>
      <x:c r="J13" s="12" t="str">
        <x:v>PASS</x:v>
      </x:c>
      <x:c r="K13" s="12" t="str">
        <x:v>PASS</x:v>
      </x:c>
      <x:c r="L13" s="12" t="str">
        <x:v>PASS</x:v>
      </x:c>
      <x:c r="M13" s="12" t="str">
        <x:v>NO</x:v>
      </x:c>
      <x:c r="N13" s="12" t="str">
        <x:v>PASS</x:v>
      </x:c>
      <x:c r="O13" s="12" t="str">
        <x:v>CONTEMPORANEOUS_ATTRIBUTION</x:v>
      </x:c>
      <x:c r="P13" s="12" t="str">
        <x:v>PASS</x:v>
      </x:c>
      <x:c r="Q13" s="12" t="str">
        <x:v>https://techcrunch.com/2017/01/31/apple-shares-up-3-after-company-beats-earnings-expectations/</x:v>
      </x:c>
      <x:c r="R13" s="12" t="str">
        <x:v>URL was re-checked on the live web on 2026-08-31; page identity, event date and source origin were verified.</x:v>
      </x:c>
    </x:row>
    <x:row r="14">
      <x:c r="A14" s="12" t="str">
        <x:v>2017-05-02</x:v>
      </x:c>
      <x:c r="B14" s="12" t="str">
        <x:v>AAPL</x:v>
      </x:c>
      <x:c r="C14" s="12" t="str">
        <x:v>prior</x:v>
      </x:c>
      <x:c r="D14" s="12" t="str">
        <x:v>2017-01-31</x:v>
      </x:c>
      <x:c r="E14" s="12" t="n">
        <x:v>-91</x:v>
      </x:c>
      <x:c r="F14" s="12" t="str">
        <x:v>Apple</x:v>
      </x:c>
      <x:c r="G14" s="12" t="str">
        <x:v>Apple Reports Record First Quarter Results</x:v>
      </x:c>
      <x:c r="H14" s="12" t="str">
        <x:v>https://www.apple.com/newsroom/2017/01/apple-reports-record-first-quarter-results/</x:v>
      </x:c>
      <x:c r="I14" s="12" t="str">
        <x:v>LIVE_VERIFIED_2026-08-31</x:v>
      </x:c>
      <x:c r="J14" s="12" t="str">
        <x:v>PASS</x:v>
      </x:c>
      <x:c r="K14" s="12" t="str">
        <x:v>PASS</x:v>
      </x:c>
      <x:c r="L14" s="12" t="str">
        <x:v>PASS</x:v>
      </x:c>
      <x:c r="M14" s="12" t="str">
        <x:v>NO</x:v>
      </x:c>
      <x:c r="N14" s="12" t="str">
        <x:v>PASS</x:v>
      </x:c>
      <x:c r="O14" s="12" t="str">
        <x:v>FACTUAL</x:v>
      </x:c>
      <x:c r="P14" s="12" t="str">
        <x:v>PASS</x:v>
      </x:c>
      <x:c r="Q14" s="12" t="str">
        <x:v>https://www.apple.com/newsroom/2017/01/apple-reports-record-first-quarter-results/</x:v>
      </x:c>
      <x:c r="R14" s="12" t="str">
        <x:v>URL was re-checked on the live web on 2026-08-31; page identity, event date and source origin were verified.</x:v>
      </x:c>
    </x:row>
    <x:row r="15">
      <x:c r="A15" s="12" t="str">
        <x:v>2017-05-02</x:v>
      </x:c>
      <x:c r="B15" s="12" t="str">
        <x:v>AAPL</x:v>
      </x:c>
      <x:c r="C15" s="12" t="str">
        <x:v>release</x:v>
      </x:c>
      <x:c r="D15" s="12" t="str">
        <x:v>2017-05-02</x:v>
      </x:c>
      <x:c r="E15" s="12" t="n">
        <x:v>0</x:v>
      </x:c>
      <x:c r="F15" s="12" t="str">
        <x:v>Apple</x:v>
      </x:c>
      <x:c r="G15" s="12" t="str">
        <x:v>Apple Reports Second Quarter Results</x:v>
      </x:c>
      <x:c r="H15" s="12" t="str">
        <x:v>https://www.apple.com/newsroom/2017/05/apple-reports-second-quarter-results/</x:v>
      </x:c>
      <x:c r="I15" s="12" t="str">
        <x:v>LIVE_VERIFIED_2026-08-31</x:v>
      </x:c>
      <x:c r="J15" s="12" t="str">
        <x:v>PASS</x:v>
      </x:c>
      <x:c r="K15" s="12" t="str">
        <x:v>PASS</x:v>
      </x:c>
      <x:c r="L15" s="12" t="str">
        <x:v>PASS</x:v>
      </x:c>
      <x:c r="M15" s="12" t="str">
        <x:v>NO</x:v>
      </x:c>
      <x:c r="N15" s="12" t="str">
        <x:v>PASS</x:v>
      </x:c>
      <x:c r="O15" s="12" t="str">
        <x:v>FACTUAL</x:v>
      </x:c>
      <x:c r="P15" s="12" t="str">
        <x:v>PASS</x:v>
      </x:c>
      <x:c r="Q15" s="12" t="str">
        <x:v>https://www.apple.com/newsroom/2017/05/apple-reports-second-quarter-results/</x:v>
      </x:c>
      <x:c r="R15" s="12" t="str">
        <x:v>URL was re-checked on the live web on 2026-08-31; page identity, event date and source origin were verified.</x:v>
      </x:c>
    </x:row>
    <x:row r="16">
      <x:c r="A16" s="12" t="str">
        <x:v>2017-05-02</x:v>
      </x:c>
      <x:c r="B16" s="12" t="str">
        <x:v>AAPL</x:v>
      </x:c>
      <x:c r="C16" s="12" t="str">
        <x:v>reaction</x:v>
      </x:c>
      <x:c r="D16" s="12" t="str">
        <x:v>2017-05-03</x:v>
      </x:c>
      <x:c r="E16" s="12" t="n">
        <x:v>1</x:v>
      </x:c>
      <x:c r="F16" s="12" t="str">
        <x:v>TheStreet</x:v>
      </x:c>
      <x:c r="G16" s="12" t="str">
        <x:v>Apple Analysts Remain Bullish Despite Mixed Second-Quarter Results</x:v>
      </x:c>
      <x:c r="H16" s="12" t="str">
        <x:v>https://www.thestreet.com/investing/stocks/apple-analysts-remain-bullish-despite-mixed-q2-results-what-wall-street-s-saying-14116429</x:v>
      </x:c>
      <x:c r="I16" s="12" t="str">
        <x:v>LIVE_VERIFIED_2026-08-31</x:v>
      </x:c>
      <x:c r="J16" s="12" t="str">
        <x:v>PASS</x:v>
      </x:c>
      <x:c r="K16" s="12" t="str">
        <x:v>PASS</x:v>
      </x:c>
      <x:c r="L16" s="12" t="str">
        <x:v>PASS</x:v>
      </x:c>
      <x:c r="M16" s="12" t="str">
        <x:v>NO</x:v>
      </x:c>
      <x:c r="N16" s="12" t="str">
        <x:v>PASS</x:v>
      </x:c>
      <x:c r="O16" s="12" t="str">
        <x:v>CONTEMPORANEOUS_ATTRIBUTION</x:v>
      </x:c>
      <x:c r="P16" s="12" t="str">
        <x:v>PASS</x:v>
      </x:c>
      <x:c r="Q16" s="12" t="str">
        <x:v>https://www.thestreet.com/investing/stocks/apple-analysts-remain-bullish-despite-mixed-q2-results-what-wall-street-s-saying-14116429</x:v>
      </x:c>
      <x:c r="R16" s="12" t="str">
        <x:v>URL was re-checked on the live web on 2026-08-31; page identity, event date and source origin were verified.</x:v>
      </x:c>
    </x:row>
    <x:row r="17">
      <x:c r="A17" s="12" t="str">
        <x:v>2017-08-01</x:v>
      </x:c>
      <x:c r="B17" s="12" t="str">
        <x:v>AAPL</x:v>
      </x:c>
      <x:c r="C17" s="12" t="str">
        <x:v>prior</x:v>
      </x:c>
      <x:c r="D17" s="12" t="str">
        <x:v>2017-05-02</x:v>
      </x:c>
      <x:c r="E17" s="12" t="n">
        <x:v>-91</x:v>
      </x:c>
      <x:c r="F17" s="12" t="str">
        <x:v>Apple</x:v>
      </x:c>
      <x:c r="G17" s="12" t="str">
        <x:v>Apple Reports Second Quarter Results</x:v>
      </x:c>
      <x:c r="H17" s="12" t="str">
        <x:v>https://www.apple.com/newsroom/2017/05/apple-reports-second-quarter-results/</x:v>
      </x:c>
      <x:c r="I17" s="12" t="str">
        <x:v>LIVE_VERIFIED_2026-08-31</x:v>
      </x:c>
      <x:c r="J17" s="12" t="str">
        <x:v>PASS</x:v>
      </x:c>
      <x:c r="K17" s="12" t="str">
        <x:v>PASS</x:v>
      </x:c>
      <x:c r="L17" s="12" t="str">
        <x:v>PASS</x:v>
      </x:c>
      <x:c r="M17" s="12" t="str">
        <x:v>NO</x:v>
      </x:c>
      <x:c r="N17" s="12" t="str">
        <x:v>PASS</x:v>
      </x:c>
      <x:c r="O17" s="12" t="str">
        <x:v>FACTUAL</x:v>
      </x:c>
      <x:c r="P17" s="12" t="str">
        <x:v>PASS</x:v>
      </x:c>
      <x:c r="Q17" s="12" t="str">
        <x:v>https://www.apple.com/newsroom/2017/05/apple-reports-second-quarter-results/</x:v>
      </x:c>
      <x:c r="R17" s="12" t="str">
        <x:v>URL was re-checked on the live web on 2026-08-31; page identity, event date and source origin were verified.</x:v>
      </x:c>
    </x:row>
    <x:row r="18">
      <x:c r="A18" s="12" t="str">
        <x:v>2017-08-01</x:v>
      </x:c>
      <x:c r="B18" s="12" t="str">
        <x:v>AAPL</x:v>
      </x:c>
      <x:c r="C18" s="12" t="str">
        <x:v>release</x:v>
      </x:c>
      <x:c r="D18" s="12" t="str">
        <x:v>2017-08-01</x:v>
      </x:c>
      <x:c r="E18" s="12" t="n">
        <x:v>0</x:v>
      </x:c>
      <x:c r="F18" s="12" t="str">
        <x:v>Apple</x:v>
      </x:c>
      <x:c r="G18" s="12" t="str">
        <x:v>Apple Reports Third Quarter Results</x:v>
      </x:c>
      <x:c r="H18" s="12" t="str">
        <x:v>https://www.apple.com/newsroom/2017/08/apple-reports-third-quarter-results/</x:v>
      </x:c>
      <x:c r="I18" s="12" t="str">
        <x:v>LIVE_VERIFIED_2026-08-31</x:v>
      </x:c>
      <x:c r="J18" s="12" t="str">
        <x:v>PASS</x:v>
      </x:c>
      <x:c r="K18" s="12" t="str">
        <x:v>PASS</x:v>
      </x:c>
      <x:c r="L18" s="12" t="str">
        <x:v>PASS</x:v>
      </x:c>
      <x:c r="M18" s="12" t="str">
        <x:v>NO</x:v>
      </x:c>
      <x:c r="N18" s="12" t="str">
        <x:v>PASS</x:v>
      </x:c>
      <x:c r="O18" s="12" t="str">
        <x:v>FACTUAL</x:v>
      </x:c>
      <x:c r="P18" s="12" t="str">
        <x:v>PASS</x:v>
      </x:c>
      <x:c r="Q18" s="12" t="str">
        <x:v>https://www.apple.com/newsroom/2017/08/apple-reports-third-quarter-results/</x:v>
      </x:c>
      <x:c r="R18" s="12" t="str">
        <x:v>URL was re-checked on the live web on 2026-08-31; page identity, event date and source origin were verified.</x:v>
      </x:c>
    </x:row>
    <x:row r="19">
      <x:c r="A19" s="12" t="str">
        <x:v>2017-08-01</x:v>
      </x:c>
      <x:c r="B19" s="12" t="str">
        <x:v>AAPL</x:v>
      </x:c>
      <x:c r="C19" s="12" t="str">
        <x:v>reaction</x:v>
      </x:c>
      <x:c r="D19" s="12" t="str">
        <x:v>2017-08-02</x:v>
      </x:c>
      <x:c r="E19" s="12" t="n">
        <x:v>1</x:v>
      </x:c>
      <x:c r="F19" s="12" t="str">
        <x:v>The Motley Fool</x:v>
      </x:c>
      <x:c r="G19" s="12" t="str">
        <x:v>Why Apple, Inc. Stock Jumped on Wednesday</x:v>
      </x:c>
      <x:c r="H19" s="12" t="str">
        <x:v>https://www.fool.com/investing/2017/08/02/why-apple-inc-stock-jumped-on-wednesday.aspx</x:v>
      </x:c>
      <x:c r="I19" s="12" t="str">
        <x:v>LIVE_VERIFIED_2026-08-31</x:v>
      </x:c>
      <x:c r="J19" s="12" t="str">
        <x:v>PASS</x:v>
      </x:c>
      <x:c r="K19" s="12" t="str">
        <x:v>PASS</x:v>
      </x:c>
      <x:c r="L19" s="12" t="str">
        <x:v>PASS</x:v>
      </x:c>
      <x:c r="M19" s="12" t="str">
        <x:v>NO</x:v>
      </x:c>
      <x:c r="N19" s="12" t="str">
        <x:v>PASS</x:v>
      </x:c>
      <x:c r="O19" s="12" t="str">
        <x:v>CONTEMPORANEOUS_ATTRIBUTION</x:v>
      </x:c>
      <x:c r="P19" s="12" t="str">
        <x:v>PASS</x:v>
      </x:c>
      <x:c r="Q19" s="12" t="str">
        <x:v>https://www.fool.com/investing/2017/08/02/why-apple-inc-stock-jumped-on-wednesday.aspx</x:v>
      </x:c>
      <x:c r="R19" s="12" t="str">
        <x:v>URL was re-checked on the live web on 2026-08-31; page identity, event date and source origin were verified.</x:v>
      </x:c>
    </x:row>
    <x:row r="20">
      <x:c r="A20" s="12" t="str">
        <x:v>2017-11-02</x:v>
      </x:c>
      <x:c r="B20" s="12" t="str">
        <x:v>AAPL</x:v>
      </x:c>
      <x:c r="C20" s="12" t="str">
        <x:v>prior</x:v>
      </x:c>
      <x:c r="D20" s="12" t="str">
        <x:v>2017-08-01</x:v>
      </x:c>
      <x:c r="E20" s="12" t="n">
        <x:v>-93</x:v>
      </x:c>
      <x:c r="F20" s="12" t="str">
        <x:v>Apple</x:v>
      </x:c>
      <x:c r="G20" s="12" t="str">
        <x:v>Apple Reports Third Quarter Results</x:v>
      </x:c>
      <x:c r="H20" s="12" t="str">
        <x:v>https://www.apple.com/newsroom/2017/08/apple-reports-third-quarter-results/</x:v>
      </x:c>
      <x:c r="I20" s="12" t="str">
        <x:v>LIVE_VERIFIED_2026-08-31</x:v>
      </x:c>
      <x:c r="J20" s="12" t="str">
        <x:v>PASS</x:v>
      </x:c>
      <x:c r="K20" s="12" t="str">
        <x:v>PASS</x:v>
      </x:c>
      <x:c r="L20" s="12" t="str">
        <x:v>PASS</x:v>
      </x:c>
      <x:c r="M20" s="12" t="str">
        <x:v>NO</x:v>
      </x:c>
      <x:c r="N20" s="12" t="str">
        <x:v>PASS</x:v>
      </x:c>
      <x:c r="O20" s="12" t="str">
        <x:v>FACTUAL</x:v>
      </x:c>
      <x:c r="P20" s="12" t="str">
        <x:v>PASS</x:v>
      </x:c>
      <x:c r="Q20" s="12" t="str">
        <x:v>https://www.apple.com/newsroom/2017/08/apple-reports-third-quarter-results/</x:v>
      </x:c>
      <x:c r="R20" s="12" t="str">
        <x:v>URL was re-checked on the live web on 2026-08-31; page identity, event date and source origin were verified.</x:v>
      </x:c>
    </x:row>
    <x:row r="21">
      <x:c r="A21" s="12" t="str">
        <x:v>2017-11-02</x:v>
      </x:c>
      <x:c r="B21" s="12" t="str">
        <x:v>AAPL</x:v>
      </x:c>
      <x:c r="C21" s="12" t="str">
        <x:v>release</x:v>
      </x:c>
      <x:c r="D21" s="12" t="str">
        <x:v>2017-11-02</x:v>
      </x:c>
      <x:c r="E21" s="12" t="n">
        <x:v>0</x:v>
      </x:c>
      <x:c r="F21" s="12" t="str">
        <x:v>Apple</x:v>
      </x:c>
      <x:c r="G21" s="12" t="str">
        <x:v>Apple Reports Fourth Quarter Results</x:v>
      </x:c>
      <x:c r="H21" s="12" t="str">
        <x:v>https://www.apple.com/newsroom/2017/11/apple-reports-fourth-quarter-results/</x:v>
      </x:c>
      <x:c r="I21" s="12" t="str">
        <x:v>LIVE_VERIFIED_2026-08-31</x:v>
      </x:c>
      <x:c r="J21" s="12" t="str">
        <x:v>PASS</x:v>
      </x:c>
      <x:c r="K21" s="12" t="str">
        <x:v>PASS</x:v>
      </x:c>
      <x:c r="L21" s="12" t="str">
        <x:v>PASS</x:v>
      </x:c>
      <x:c r="M21" s="12" t="str">
        <x:v>NO</x:v>
      </x:c>
      <x:c r="N21" s="12" t="str">
        <x:v>PASS</x:v>
      </x:c>
      <x:c r="O21" s="12" t="str">
        <x:v>FACTUAL</x:v>
      </x:c>
      <x:c r="P21" s="12" t="str">
        <x:v>PASS</x:v>
      </x:c>
      <x:c r="Q21" s="12" t="str">
        <x:v>https://www.apple.com/newsroom/2017/11/apple-reports-fourth-quarter-results/</x:v>
      </x:c>
      <x:c r="R21" s="12" t="str">
        <x:v>URL was re-checked on the live web on 2026-08-31; page identity, event date and source origin were verified.</x:v>
      </x:c>
    </x:row>
    <x:row r="22">
      <x:c r="A22" s="12" t="str">
        <x:v>2017-11-02</x:v>
      </x:c>
      <x:c r="B22" s="12" t="str">
        <x:v>AAPL</x:v>
      </x:c>
      <x:c r="C22" s="12" t="str">
        <x:v>reaction</x:v>
      </x:c>
      <x:c r="D22" s="12" t="str">
        <x:v>2017-11-03</x:v>
      </x:c>
      <x:c r="E22" s="12" t="n">
        <x:v>1</x:v>
      </x:c>
      <x:c r="F22" s="12" t="str">
        <x:v>The Motley Fool</x:v>
      </x:c>
      <x:c r="G22" s="12" t="str">
        <x:v>What Happened in the Stock Market Today</x:v>
      </x:c>
      <x:c r="H22" s="12" t="str">
        <x:v>https://www.fool.com/investing/2017/11/03/what-happened-in-the-stock-market-today.aspx</x:v>
      </x:c>
      <x:c r="I22" s="12" t="str">
        <x:v>LIVE_VERIFIED_2026-08-31</x:v>
      </x:c>
      <x:c r="J22" s="12" t="str">
        <x:v>PASS</x:v>
      </x:c>
      <x:c r="K22" s="12" t="str">
        <x:v>PASS</x:v>
      </x:c>
      <x:c r="L22" s="12" t="str">
        <x:v>PASS</x:v>
      </x:c>
      <x:c r="M22" s="12" t="str">
        <x:v>NO</x:v>
      </x:c>
      <x:c r="N22" s="12" t="str">
        <x:v>PASS</x:v>
      </x:c>
      <x:c r="O22" s="12" t="str">
        <x:v>CONTEMPORANEOUS_ATTRIBUTION</x:v>
      </x:c>
      <x:c r="P22" s="12" t="str">
        <x:v>PASS</x:v>
      </x:c>
      <x:c r="Q22" s="12" t="str">
        <x:v>https://www.fool.com/investing/2017/11/03/what-happened-in-the-stock-market-today.aspx</x:v>
      </x:c>
      <x:c r="R22" s="12" t="str">
        <x:v>URL was re-checked on the live web on 2026-08-31; page identity, event date and source origin were verified.</x:v>
      </x:c>
    </x:row>
    <x:row r="23">
      <x:c r="A23" s="12" t="str">
        <x:v>2018-02-01</x:v>
      </x:c>
      <x:c r="B23" s="12" t="str">
        <x:v>AAPL</x:v>
      </x:c>
      <x:c r="C23" s="12" t="str">
        <x:v>prior</x:v>
      </x:c>
      <x:c r="D23" s="12" t="str">
        <x:v>2017-11-02</x:v>
      </x:c>
      <x:c r="E23" s="12" t="n">
        <x:v>-91</x:v>
      </x:c>
      <x:c r="F23" s="12" t="str">
        <x:v>Apple</x:v>
      </x:c>
      <x:c r="G23" s="12" t="str">
        <x:v>Apple Reports Fourth Quarter Results</x:v>
      </x:c>
      <x:c r="H23" s="12" t="str">
        <x:v>https://www.apple.com/newsroom/2017/11/apple-reports-fourth-quarter-results/</x:v>
      </x:c>
      <x:c r="I23" s="12" t="str">
        <x:v>LIVE_VERIFIED_2026-08-31</x:v>
      </x:c>
      <x:c r="J23" s="12" t="str">
        <x:v>PASS</x:v>
      </x:c>
      <x:c r="K23" s="12" t="str">
        <x:v>PASS</x:v>
      </x:c>
      <x:c r="L23" s="12" t="str">
        <x:v>PASS</x:v>
      </x:c>
      <x:c r="M23" s="12" t="str">
        <x:v>NO</x:v>
      </x:c>
      <x:c r="N23" s="12" t="str">
        <x:v>PASS</x:v>
      </x:c>
      <x:c r="O23" s="12" t="str">
        <x:v>FACTUAL</x:v>
      </x:c>
      <x:c r="P23" s="12" t="str">
        <x:v>PASS</x:v>
      </x:c>
      <x:c r="Q23" s="12" t="str">
        <x:v>https://www.apple.com/newsroom/2017/11/apple-reports-fourth-quarter-results/</x:v>
      </x:c>
      <x:c r="R23" s="12" t="str">
        <x:v>URL was re-checked on the live web on 2026-08-31; page identity, event date and source origin were verified.</x:v>
      </x:c>
    </x:row>
    <x:row r="24">
      <x:c r="A24" s="12" t="str">
        <x:v>2018-02-01</x:v>
      </x:c>
      <x:c r="B24" s="12" t="str">
        <x:v>AAPL</x:v>
      </x:c>
      <x:c r="C24" s="12" t="str">
        <x:v>release</x:v>
      </x:c>
      <x:c r="D24" s="12" t="str">
        <x:v>2018-02-01</x:v>
      </x:c>
      <x:c r="E24" s="12" t="n">
        <x:v>0</x:v>
      </x:c>
      <x:c r="F24" s="12" t="str">
        <x:v>Apple</x:v>
      </x:c>
      <x:c r="G24" s="12" t="str">
        <x:v>Apple Reports First Quarter Results</x:v>
      </x:c>
      <x:c r="H24" s="12" t="str">
        <x:v>https://www.apple.com/newsroom/2018/02/apple-reports-first-quarter-results/</x:v>
      </x:c>
      <x:c r="I24" s="12" t="str">
        <x:v>LIVE_VERIFIED_2026-08-31</x:v>
      </x:c>
      <x:c r="J24" s="12" t="str">
        <x:v>PASS</x:v>
      </x:c>
      <x:c r="K24" s="12" t="str">
        <x:v>PASS</x:v>
      </x:c>
      <x:c r="L24" s="12" t="str">
        <x:v>PASS</x:v>
      </x:c>
      <x:c r="M24" s="12" t="str">
        <x:v>NO</x:v>
      </x:c>
      <x:c r="N24" s="12" t="str">
        <x:v>PASS</x:v>
      </x:c>
      <x:c r="O24" s="12" t="str">
        <x:v>FACTUAL</x:v>
      </x:c>
      <x:c r="P24" s="12" t="str">
        <x:v>PASS</x:v>
      </x:c>
      <x:c r="Q24" s="12" t="str">
        <x:v>https://www.apple.com/newsroom/2018/02/apple-reports-first-quarter-results/</x:v>
      </x:c>
      <x:c r="R24" s="12" t="str">
        <x:v>URL was re-checked on the live web on 2026-08-31; page identity, event date and source origin were verified.</x:v>
      </x:c>
    </x:row>
    <x:row r="25">
      <x:c r="A25" s="12" t="str">
        <x:v>2018-02-01</x:v>
      </x:c>
      <x:c r="B25" s="12" t="str">
        <x:v>AAPL</x:v>
      </x:c>
      <x:c r="C25" s="12" t="str">
        <x:v>reaction</x:v>
      </x:c>
      <x:c r="D25" s="12" t="str">
        <x:v>2018-02-02</x:v>
      </x:c>
      <x:c r="E25" s="12" t="n">
        <x:v>1</x:v>
      </x:c>
      <x:c r="F25" s="12" t="str">
        <x:v>The Motley Fool</x:v>
      </x:c>
      <x:c r="G25" s="12" t="str">
        <x:v>Why Apple, Alphabet, and Chevron Slumped Today</x:v>
      </x:c>
      <x:c r="H25" s="12" t="str">
        <x:v>https://www.fool.com/investing/2018/02/02/why-apple-alphabet-and-chevron-slumped-today.aspx</x:v>
      </x:c>
      <x:c r="I25" s="12" t="str">
        <x:v>LIVE_VERIFIED_2026-08-31</x:v>
      </x:c>
      <x:c r="J25" s="12" t="str">
        <x:v>PASS</x:v>
      </x:c>
      <x:c r="K25" s="12" t="str">
        <x:v>PASS</x:v>
      </x:c>
      <x:c r="L25" s="12" t="str">
        <x:v>PASS</x:v>
      </x:c>
      <x:c r="M25" s="12" t="str">
        <x:v>NO</x:v>
      </x:c>
      <x:c r="N25" s="12" t="str">
        <x:v>PASS</x:v>
      </x:c>
      <x:c r="O25" s="12" t="str">
        <x:v>CONTEMPORANEOUS_ATTRIBUTION</x:v>
      </x:c>
      <x:c r="P25" s="12" t="str">
        <x:v>PASS</x:v>
      </x:c>
      <x:c r="Q25" s="12" t="str">
        <x:v>https://www.fool.com/investing/2018/02/02/why-apple-alphabet-and-chevron-slumped-today.aspx</x:v>
      </x:c>
      <x:c r="R25" s="12" t="str">
        <x:v>URL was re-checked on the live web on 2026-08-31; page identity, event date and source origin were verified.</x:v>
      </x:c>
    </x:row>
    <x:row r="26">
      <x:c r="A26" s="12" t="str">
        <x:v>2018-05-01</x:v>
      </x:c>
      <x:c r="B26" s="12" t="str">
        <x:v>AAPL</x:v>
      </x:c>
      <x:c r="C26" s="12" t="str">
        <x:v>prior</x:v>
      </x:c>
      <x:c r="D26" s="12" t="str">
        <x:v>2018-02-01</x:v>
      </x:c>
      <x:c r="E26" s="12" t="n">
        <x:v>-89</x:v>
      </x:c>
      <x:c r="F26" s="12" t="str">
        <x:v>Apple</x:v>
      </x:c>
      <x:c r="G26" s="12" t="str">
        <x:v>Apple Reports First Quarter Results</x:v>
      </x:c>
      <x:c r="H26" s="12" t="str">
        <x:v>https://www.apple.com/newsroom/2018/02/apple-reports-first-quarter-results/</x:v>
      </x:c>
      <x:c r="I26" s="12" t="str">
        <x:v>LIVE_VERIFIED_2026-08-31</x:v>
      </x:c>
      <x:c r="J26" s="12" t="str">
        <x:v>PASS</x:v>
      </x:c>
      <x:c r="K26" s="12" t="str">
        <x:v>PASS</x:v>
      </x:c>
      <x:c r="L26" s="12" t="str">
        <x:v>PASS</x:v>
      </x:c>
      <x:c r="M26" s="12" t="str">
        <x:v>NO</x:v>
      </x:c>
      <x:c r="N26" s="12" t="str">
        <x:v>PASS</x:v>
      </x:c>
      <x:c r="O26" s="12" t="str">
        <x:v>FACTUAL</x:v>
      </x:c>
      <x:c r="P26" s="12" t="str">
        <x:v>PASS</x:v>
      </x:c>
      <x:c r="Q26" s="12" t="str">
        <x:v>https://www.apple.com/newsroom/2018/02/apple-reports-first-quarter-results/</x:v>
      </x:c>
      <x:c r="R26" s="12" t="str">
        <x:v>URL was re-checked on the live web on 2026-08-31; page identity, event date and source origin were verified.</x:v>
      </x:c>
    </x:row>
    <x:row r="27">
      <x:c r="A27" s="12" t="str">
        <x:v>2018-05-01</x:v>
      </x:c>
      <x:c r="B27" s="12" t="str">
        <x:v>AAPL</x:v>
      </x:c>
      <x:c r="C27" s="12" t="str">
        <x:v>release</x:v>
      </x:c>
      <x:c r="D27" s="12" t="str">
        <x:v>2018-05-01</x:v>
      </x:c>
      <x:c r="E27" s="12" t="n">
        <x:v>0</x:v>
      </x:c>
      <x:c r="F27" s="12" t="str">
        <x:v>Apple</x:v>
      </x:c>
      <x:c r="G27" s="12" t="str">
        <x:v>Apple Reports Second Quarter Results</x:v>
      </x:c>
      <x:c r="H27" s="12" t="str">
        <x:v>https://www.apple.com/newsroom/2018/05/apple-reports-second-quarter-results/</x:v>
      </x:c>
      <x:c r="I27" s="12" t="str">
        <x:v>LIVE_VERIFIED_2026-08-31</x:v>
      </x:c>
      <x:c r="J27" s="12" t="str">
        <x:v>PASS</x:v>
      </x:c>
      <x:c r="K27" s="12" t="str">
        <x:v>PASS</x:v>
      </x:c>
      <x:c r="L27" s="12" t="str">
        <x:v>PASS</x:v>
      </x:c>
      <x:c r="M27" s="12" t="str">
        <x:v>NO</x:v>
      </x:c>
      <x:c r="N27" s="12" t="str">
        <x:v>PASS</x:v>
      </x:c>
      <x:c r="O27" s="12" t="str">
        <x:v>FACTUAL</x:v>
      </x:c>
      <x:c r="P27" s="12" t="str">
        <x:v>PASS</x:v>
      </x:c>
      <x:c r="Q27" s="12" t="str">
        <x:v>https://www.apple.com/newsroom/2018/05/apple-reports-second-quarter-results/</x:v>
      </x:c>
      <x:c r="R27" s="12" t="str">
        <x:v>URL was re-checked on the live web on 2026-08-31; page identity, event date and source origin were verified.</x:v>
      </x:c>
    </x:row>
    <x:row r="28">
      <x:c r="A28" s="12" t="str">
        <x:v>2018-05-01</x:v>
      </x:c>
      <x:c r="B28" s="12" t="str">
        <x:v>AAPL</x:v>
      </x:c>
      <x:c r="C28" s="12" t="str">
        <x:v>reaction</x:v>
      </x:c>
      <x:c r="D28" s="12" t="str">
        <x:v>2018-05-02</x:v>
      </x:c>
      <x:c r="E28" s="12" t="n">
        <x:v>1</x:v>
      </x:c>
      <x:c r="F28" s="12" t="str">
        <x:v>The Motley Fool</x:v>
      </x:c>
      <x:c r="G28" s="12" t="str">
        <x:v>Why Apple, Inc. Stock Popped 5% Wednesday</x:v>
      </x:c>
      <x:c r="H28" s="12" t="str">
        <x:v>https://www.fool.com/investing/2018/05/02/why-apple-inc-stock-popped-5-wednesday.aspx</x:v>
      </x:c>
      <x:c r="I28" s="12" t="str">
        <x:v>LIVE_VERIFIED_2026-08-31</x:v>
      </x:c>
      <x:c r="J28" s="12" t="str">
        <x:v>PASS</x:v>
      </x:c>
      <x:c r="K28" s="12" t="str">
        <x:v>PASS</x:v>
      </x:c>
      <x:c r="L28" s="12" t="str">
        <x:v>PASS</x:v>
      </x:c>
      <x:c r="M28" s="12" t="str">
        <x:v>NO</x:v>
      </x:c>
      <x:c r="N28" s="12" t="str">
        <x:v>PASS</x:v>
      </x:c>
      <x:c r="O28" s="12" t="str">
        <x:v>CONTEMPORANEOUS_ATTRIBUTION</x:v>
      </x:c>
      <x:c r="P28" s="12" t="str">
        <x:v>PASS</x:v>
      </x:c>
      <x:c r="Q28" s="12" t="str">
        <x:v>https://www.fool.com/investing/2018/05/02/why-apple-inc-stock-popped-5-wednesday.aspx</x:v>
      </x:c>
      <x:c r="R28" s="12" t="str">
        <x:v>URL was re-checked on the live web on 2026-08-31; page identity, event date and source origin were verified.</x:v>
      </x:c>
    </x:row>
    <x:row r="29">
      <x:c r="A29" s="12" t="str">
        <x:v>2018-07-31</x:v>
      </x:c>
      <x:c r="B29" s="12" t="str">
        <x:v>AAPL</x:v>
      </x:c>
      <x:c r="C29" s="12" t="str">
        <x:v>prior</x:v>
      </x:c>
      <x:c r="D29" s="12" t="str">
        <x:v>2018-05-01</x:v>
      </x:c>
      <x:c r="E29" s="12" t="n">
        <x:v>-91</x:v>
      </x:c>
      <x:c r="F29" s="12" t="str">
        <x:v>Apple</x:v>
      </x:c>
      <x:c r="G29" s="12" t="str">
        <x:v>Apple Reports Second Quarter Results</x:v>
      </x:c>
      <x:c r="H29" s="12" t="str">
        <x:v>https://www.apple.com/newsroom/2018/05/apple-reports-second-quarter-results/</x:v>
      </x:c>
      <x:c r="I29" s="12" t="str">
        <x:v>LIVE_VERIFIED_2026-08-31</x:v>
      </x:c>
      <x:c r="J29" s="12" t="str">
        <x:v>PASS</x:v>
      </x:c>
      <x:c r="K29" s="12" t="str">
        <x:v>PASS</x:v>
      </x:c>
      <x:c r="L29" s="12" t="str">
        <x:v>PASS</x:v>
      </x:c>
      <x:c r="M29" s="12" t="str">
        <x:v>NO</x:v>
      </x:c>
      <x:c r="N29" s="12" t="str">
        <x:v>PASS</x:v>
      </x:c>
      <x:c r="O29" s="12" t="str">
        <x:v>FACTUAL</x:v>
      </x:c>
      <x:c r="P29" s="12" t="str">
        <x:v>PASS</x:v>
      </x:c>
      <x:c r="Q29" s="12" t="str">
        <x:v>https://www.apple.com/newsroom/2018/05/apple-reports-second-quarter-results/</x:v>
      </x:c>
      <x:c r="R29" s="12" t="str">
        <x:v>URL was re-checked on the live web on 2026-08-31; page identity, event date and source origin were verified.</x:v>
      </x:c>
    </x:row>
    <x:row r="30">
      <x:c r="A30" s="12" t="str">
        <x:v>2018-07-31</x:v>
      </x:c>
      <x:c r="B30" s="12" t="str">
        <x:v>AAPL</x:v>
      </x:c>
      <x:c r="C30" s="12" t="str">
        <x:v>release</x:v>
      </x:c>
      <x:c r="D30" s="12" t="str">
        <x:v>2018-07-31</x:v>
      </x:c>
      <x:c r="E30" s="12" t="n">
        <x:v>0</x:v>
      </x:c>
      <x:c r="F30" s="12" t="str">
        <x:v>Apple</x:v>
      </x:c>
      <x:c r="G30" s="12" t="str">
        <x:v>Apple Reports Third Quarter Results</x:v>
      </x:c>
      <x:c r="H30" s="12" t="str">
        <x:v>https://www.apple.com/newsroom/2018/07/apple-reports-third-quarter-results/</x:v>
      </x:c>
      <x:c r="I30" s="12" t="str">
        <x:v>LIVE_VERIFIED_2026-08-31</x:v>
      </x:c>
      <x:c r="J30" s="12" t="str">
        <x:v>PASS</x:v>
      </x:c>
      <x:c r="K30" s="12" t="str">
        <x:v>PASS</x:v>
      </x:c>
      <x:c r="L30" s="12" t="str">
        <x:v>PASS</x:v>
      </x:c>
      <x:c r="M30" s="12" t="str">
        <x:v>NO</x:v>
      </x:c>
      <x:c r="N30" s="12" t="str">
        <x:v>PASS</x:v>
      </x:c>
      <x:c r="O30" s="12" t="str">
        <x:v>FACTUAL</x:v>
      </x:c>
      <x:c r="P30" s="12" t="str">
        <x:v>PASS</x:v>
      </x:c>
      <x:c r="Q30" s="12" t="str">
        <x:v>https://www.apple.com/newsroom/2018/07/apple-reports-third-quarter-results/</x:v>
      </x:c>
      <x:c r="R30" s="12" t="str">
        <x:v>URL was re-checked on the live web on 2026-08-31; page identity, event date and source origin were verified.</x:v>
      </x:c>
    </x:row>
    <x:row r="31">
      <x:c r="A31" s="12" t="str">
        <x:v>2018-07-31</x:v>
      </x:c>
      <x:c r="B31" s="12" t="str">
        <x:v>AAPL</x:v>
      </x:c>
      <x:c r="C31" s="12" t="str">
        <x:v>reaction</x:v>
      </x:c>
      <x:c r="D31" s="12" t="str">
        <x:v>2018-08-01</x:v>
      </x:c>
      <x:c r="E31" s="12" t="n">
        <x:v>1</x:v>
      </x:c>
      <x:c r="F31" s="12" t="str">
        <x:v>The Motley Fool</x:v>
      </x:c>
      <x:c r="G31" s="12" t="str">
        <x:v>Why Apple, Inc. Stock Jumped Today</x:v>
      </x:c>
      <x:c r="H31" s="12" t="str">
        <x:v>https://www.fool.com/investing/2018/08/01/why-apple-inc-stock-jumped-today.aspx</x:v>
      </x:c>
      <x:c r="I31" s="12" t="str">
        <x:v>LIVE_VERIFIED_2026-08-31</x:v>
      </x:c>
      <x:c r="J31" s="12" t="str">
        <x:v>PASS</x:v>
      </x:c>
      <x:c r="K31" s="12" t="str">
        <x:v>PASS</x:v>
      </x:c>
      <x:c r="L31" s="12" t="str">
        <x:v>PASS</x:v>
      </x:c>
      <x:c r="M31" s="12" t="str">
        <x:v>NO</x:v>
      </x:c>
      <x:c r="N31" s="12" t="str">
        <x:v>PASS</x:v>
      </x:c>
      <x:c r="O31" s="12" t="str">
        <x:v>CONTEMPORANEOUS_ATTRIBUTION</x:v>
      </x:c>
      <x:c r="P31" s="12" t="str">
        <x:v>PASS</x:v>
      </x:c>
      <x:c r="Q31" s="12" t="str">
        <x:v>https://www.fool.com/investing/2018/08/01/why-apple-inc-stock-jumped-today.aspx</x:v>
      </x:c>
      <x:c r="R31" s="12" t="str">
        <x:v>URL was re-checked on the live web on 2026-08-31; page identity, event date and source origin were verified.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2016-04-26</x:v>
      </x:c>
      <x:c r="B2" t="str">
        <x:v>AAPL</x:v>
      </x:c>
      <x:c r="C2" s="20" t="n">
        <x:v>-1.03</x:v>
      </x:c>
      <x:c r="D2" s="20" t="n">
        <x:v>-6.52</x:v>
      </x:c>
      <x:c r="E2" t="str">
        <x:v>ret_1daypost_pct</x:v>
      </x:c>
      <x:c r="F2" t="str">
        <x:f>IF(D2&gt;0.1,"UP",IF(D2&lt;-0.1,"DOWN","FLAT"))</x:f>
        <x:v>DOWN</x:v>
      </x:c>
      <x:c r="G2" t="str">
        <x:v>DOWN</x:v>
      </x:c>
      <x:c r="H2" t="str">
        <x:f>IF(F2=G2,"PASS","FAIL")</x:f>
        <x:v>PASS</x:v>
      </x:c>
      <x:c r="I2" t="n">
        <x:v>3</x:v>
      </x:c>
      <x:c r="J2" t="n">
        <x:f>COUNTIFS('Source Audit'!$A:$A,A2,'Source Audit'!$P:$P,"PASS")</x:f>
        <x:v>3</x:v>
      </x:c>
      <x:c r="K2" t="str">
        <x:f>IF(AND(H2="PASS",J2=I2),"PASS","FAIL")</x:f>
        <x:v>PASS</x:v>
      </x:c>
    </x:row>
    <x:row r="3">
      <x:c r="A3" t="str">
        <x:v>2016-07-26</x:v>
      </x:c>
      <x:c r="B3" t="str">
        <x:v>AAPL</x:v>
      </x:c>
      <x:c r="C3" s="20" t="n">
        <x:v>-0.85</x:v>
      </x:c>
      <x:c r="D3" s="20" t="n">
        <x:v>6.62</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2016-10-25</x:v>
      </x:c>
      <x:c r="B4" t="str">
        <x:v>AAPL</x:v>
      </x:c>
      <x:c r="C4" s="20" t="n">
        <x:v>0.95</x:v>
      </x:c>
      <x:c r="D4" s="20" t="n">
        <x:v>-1.97</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2017-01-31</x:v>
      </x:c>
      <x:c r="B5" t="str">
        <x:v>AAPL</x:v>
      </x:c>
      <x:c r="C5" s="20" t="n">
        <x:v>-0.31</x:v>
      </x:c>
      <x:c r="D5" s="20" t="n">
        <x:v>6.07</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2017-05-02</x:v>
      </x:c>
      <x:c r="B6" t="str">
        <x:v>AAPL</x:v>
      </x:c>
      <x:c r="C6" s="20" t="n">
        <x:v>0.61</x:v>
      </x:c>
      <x:c r="D6" s="20" t="n">
        <x:v>-0.05</x:v>
      </x:c>
      <x:c r="E6" t="str">
        <x:v>ret_1daypost_pct</x:v>
      </x:c>
      <x:c r="F6" t="str">
        <x:f>IF(D6&gt;0.1,"UP",IF(D6&lt;-0.1,"DOWN","FLAT"))</x:f>
        <x:v>FLAT</x:v>
      </x:c>
      <x:c r="G6" t="str">
        <x:v>FLAT</x:v>
      </x:c>
      <x:c r="H6" t="str">
        <x:f>IF(F6=G6,"PASS","FAIL")</x:f>
        <x:v>PASS</x:v>
      </x:c>
      <x:c r="I6" t="n">
        <x:v>3</x:v>
      </x:c>
      <x:c r="J6" t="n">
        <x:f>COUNTIFS('Source Audit'!$A:$A,A6,'Source Audit'!$P:$P,"PASS")</x:f>
        <x:v>3</x:v>
      </x:c>
      <x:c r="K6" t="str">
        <x:f>IF(AND(H6="PASS",J6=I6),"PASS","FAIL")</x:f>
        <x:v>PASS</x:v>
      </x:c>
    </x:row>
    <x:row r="7">
      <x:c r="A7" t="str">
        <x:v>2017-08-01</x:v>
      </x:c>
      <x:c r="B7" t="str">
        <x:v>AAPL</x:v>
      </x:c>
      <x:c r="C7" s="20" t="n">
        <x:v>0.65</x:v>
      </x:c>
      <x:c r="D7" s="20" t="n">
        <x:v>4.82</x:v>
      </x:c>
      <x:c r="E7" t="str">
        <x:v>ret_1daypost_pct</x:v>
      </x:c>
      <x:c r="F7" t="str">
        <x:f>IF(D7&gt;0.1,"UP",IF(D7&lt;-0.1,"DOWN","FLAT"))</x:f>
        <x:v>UP</x:v>
      </x:c>
      <x:c r="G7" t="str">
        <x:v>UP</x:v>
      </x:c>
      <x:c r="H7" t="str">
        <x:f>IF(F7=G7,"PASS","FAIL")</x:f>
        <x:v>PASS</x:v>
      </x:c>
      <x:c r="I7" t="n">
        <x:v>3</x:v>
      </x:c>
      <x:c r="J7" t="n">
        <x:f>COUNTIFS('Source Audit'!$A:$A,A7,'Source Audit'!$P:$P,"PASS")</x:f>
        <x:v>3</x:v>
      </x:c>
      <x:c r="K7" t="str">
        <x:f>IF(AND(H7="PASS",J7=I7),"PASS","FAIL")</x:f>
        <x:v>PASS</x:v>
      </x:c>
    </x:row>
    <x:row r="8">
      <x:c r="A8" t="str">
        <x:v>2017-11-02</x:v>
      </x:c>
      <x:c r="B8" t="str">
        <x:v>AAPL</x:v>
      </x:c>
      <x:c r="C8" s="20" t="n">
        <x:v>0.7</x:v>
      </x:c>
      <x:c r="D8" s="20" t="n">
        <x:v>2.33</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2018-02-01</x:v>
      </x:c>
      <x:c r="B9" t="str">
        <x:v>AAPL</x:v>
      </x:c>
      <x:c r="C9" s="20" t="n">
        <x:v>0.24</x:v>
      </x:c>
      <x:c r="D9" s="20" t="n">
        <x:v>-2.25</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2018-05-01</x:v>
      </x:c>
      <x:c r="B10" t="str">
        <x:v>AAPL</x:v>
      </x:c>
      <x:c r="C10" s="20" t="n">
        <x:v>2.1</x:v>
      </x:c>
      <x:c r="D10" s="20" t="n">
        <x:v>4.97</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2018-07-31</x:v>
      </x:c>
      <x:c r="B11" t="str">
        <x:v>AAPL</x:v>
      </x:c>
      <x:c r="C11" s="20" t="n">
        <x:v>-0.35</x:v>
      </x:c>
      <x:c r="D11" s="20" t="n">
        <x:v>6.02</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5" hidden="0" customWidth="1"/>
  </x:cols>
  <x:sheetData>
    <x:row r="1">
      <x:c r="A1" s="5" t="str">
        <x:v>Item</x:v>
      </x:c>
      <x:c r="B1" s="5" t="str">
        <x:v>Rule</x:v>
      </x:c>
    </x:row>
    <x:row r="2">
      <x:c r="A2" s="12" t="str">
        <x:v>Rebuild status</x:v>
      </x:c>
      <x:c r="B2" s="12" t="str">
        <x:v>AAPL fully rebuilt again because the previous workbook contained legacy URLs that did not reliably resolve.</x:v>
      </x:c>
    </x:row>
    <x:row r="3">
      <x:c r="A3" s="12" t="str">
        <x:v>Live-link verification</x:v>
      </x:c>
      <x:c r="B3" s="12" t="str">
        <x:v>Every included source URL was re-checked on the live web on 2026-08-31. The Source Audit contains the plain URL and a clickable 'Open source' hyperlink.</x:v>
      </x:c>
    </x:row>
    <x:row r="4">
      <x:c r="A4" s="12" t="str">
        <x:v>Identity source</x:v>
      </x:c>
      <x:c r="B4" s="12" t="str">
        <x:v>Ticker/company, exact earnings dates and return fields come directly from group_observations.csv.</x:v>
      </x:c>
    </x:row>
    <x:row r="5">
      <x:c r="A5" s="12" t="str">
        <x:v>Reaction basis</x:v>
      </x:c>
      <x:c r="B5" s="12" t="str">
        <x:v>Apple released the sampled earnings after the U.S. market close; ret_1daypost_pct is used for mechanical direction QA.</x:v>
      </x:c>
    </x:row>
    <x:row r="6">
      <x:c r="A6" s="12" t="str">
        <x:v>Narrative</x:v>
      </x:c>
      <x:c r="B6" s="12" t="str">
        <x:v>Short Prior Context, detailed Current Earnings Release, three concise event-specific Possible Drivers.</x:v>
      </x:c>
    </x:row>
    <x:row r="7">
      <x:c r="A7" s="12" t="str">
        <x:v>Timing</x:v>
      </x:c>
      <x:c r="B7" s="12" t="str">
        <x:v>Prior = -100..-1 days; release = day 0; reaction = day 0..+3.</x:v>
      </x:c>
    </x:row>
    <x:row r="8">
      <x:c r="A8" s="12" t="str">
        <x:v>Restrictions</x:v>
      </x:c>
      <x:c r="B8" s="12" t="str">
        <x:v>No WSJ, Reuters, Dow Jones or MarketWatch-syndicated article is included.</x:v>
      </x:c>
    </x:row>
    <x:row r="9">
      <x:c r="A9" s="12" t="str">
        <x:v>QA</x:v>
      </x:c>
      <x:c r="B9" s="12" t="str">
        <x:v>Event QA recomputes the post-release direction and requires three PASS source-audit rows for every event.</x:v>
      </x:c>
    </x:row>
  </x:sheetData>
  <x:pageMargins left="0.7" right="0.7" top="0.75" bottom="0.75" header="0.3" footer="0.3"/>
</x:worksheet>
</file>